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91914\Desktop\Smart-Allocation-Engine-Portfolio-Decision-Modeling\Excel\"/>
    </mc:Choice>
  </mc:AlternateContent>
  <xr:revisionPtr revIDLastSave="0" documentId="13_ncr:1_{DF849DA6-CCEB-4ADE-8FAA-564A86C9C17E}" xr6:coauthVersionLast="47" xr6:coauthVersionMax="47" xr10:uidLastSave="{00000000-0000-0000-0000-000000000000}"/>
  <bookViews>
    <workbookView xWindow="-110" yWindow="-110" windowWidth="19420" windowHeight="10300" activeTab="1" xr2:uid="{70D3F3DF-D758-454A-8F01-2D0F9EC01432}"/>
  </bookViews>
  <sheets>
    <sheet name="tbl_allocation" sheetId="1" r:id="rId1"/>
    <sheet name="work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2" i="2" l="1"/>
  <c r="P3" i="2"/>
  <c r="P4" i="2"/>
  <c r="P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64" i="2"/>
  <c r="P65" i="2"/>
  <c r="P66" i="2"/>
  <c r="P67" i="2"/>
  <c r="P68" i="2"/>
  <c r="P69" i="2"/>
  <c r="P70" i="2"/>
  <c r="P71" i="2"/>
  <c r="P72" i="2"/>
  <c r="P73" i="2"/>
  <c r="P74" i="2"/>
  <c r="P75" i="2"/>
  <c r="P76" i="2"/>
  <c r="P77" i="2"/>
  <c r="P78" i="2"/>
  <c r="P79" i="2"/>
  <c r="P80" i="2"/>
  <c r="P81" i="2"/>
  <c r="P82" i="2"/>
  <c r="P83" i="2"/>
  <c r="P84" i="2"/>
  <c r="P85" i="2"/>
  <c r="P86" i="2"/>
  <c r="P87" i="2"/>
  <c r="P88" i="2"/>
  <c r="P89" i="2"/>
  <c r="P90" i="2"/>
  <c r="P91" i="2"/>
  <c r="P92" i="2"/>
  <c r="P93" i="2"/>
  <c r="P94" i="2"/>
  <c r="P95" i="2"/>
  <c r="P96" i="2"/>
  <c r="P97" i="2"/>
  <c r="P98" i="2"/>
  <c r="P99" i="2"/>
  <c r="P100" i="2"/>
  <c r="P101" i="2"/>
  <c r="P102" i="2"/>
  <c r="P103" i="2"/>
  <c r="P104" i="2"/>
  <c r="P105" i="2"/>
  <c r="P106" i="2"/>
  <c r="P107" i="2"/>
  <c r="P108" i="2"/>
  <c r="P109" i="2"/>
  <c r="P110" i="2"/>
  <c r="P111" i="2"/>
  <c r="P112" i="2"/>
  <c r="P113" i="2"/>
  <c r="P114" i="2"/>
  <c r="P115" i="2"/>
  <c r="P116" i="2"/>
  <c r="P117" i="2"/>
  <c r="P118" i="2"/>
  <c r="P119" i="2"/>
  <c r="P120" i="2"/>
  <c r="P121" i="2"/>
  <c r="P122" i="2"/>
  <c r="P123" i="2"/>
  <c r="P124" i="2"/>
  <c r="P125" i="2"/>
  <c r="P126" i="2"/>
  <c r="P127" i="2"/>
  <c r="P128" i="2"/>
  <c r="P129" i="2"/>
  <c r="P130" i="2"/>
  <c r="P131" i="2"/>
  <c r="P132" i="2"/>
  <c r="P133" i="2"/>
  <c r="P134" i="2"/>
  <c r="P135" i="2"/>
  <c r="P136" i="2"/>
  <c r="P137" i="2"/>
  <c r="P138" i="2"/>
  <c r="P139" i="2"/>
  <c r="P140" i="2"/>
  <c r="P141" i="2"/>
  <c r="P142" i="2"/>
  <c r="P143" i="2"/>
  <c r="P144" i="2"/>
  <c r="P145" i="2"/>
  <c r="P146" i="2"/>
  <c r="P147" i="2"/>
  <c r="P148" i="2"/>
  <c r="P149" i="2"/>
  <c r="P150" i="2"/>
  <c r="P151" i="2"/>
  <c r="P152" i="2"/>
  <c r="P153" i="2"/>
  <c r="P154" i="2"/>
  <c r="P155" i="2"/>
  <c r="P156" i="2"/>
  <c r="P157" i="2"/>
  <c r="P158" i="2"/>
  <c r="P159" i="2"/>
  <c r="P160" i="2"/>
  <c r="P161" i="2"/>
  <c r="P162" i="2"/>
  <c r="P163" i="2"/>
  <c r="P164" i="2"/>
  <c r="P165" i="2"/>
  <c r="P166" i="2"/>
  <c r="P167" i="2"/>
  <c r="P168" i="2"/>
  <c r="P169" i="2"/>
  <c r="P170" i="2"/>
  <c r="P171" i="2"/>
  <c r="P172" i="2"/>
  <c r="P173" i="2"/>
  <c r="P174" i="2"/>
  <c r="P175" i="2"/>
  <c r="P176" i="2"/>
  <c r="P177" i="2"/>
  <c r="P178" i="2"/>
  <c r="P179" i="2"/>
  <c r="P180" i="2"/>
  <c r="P181" i="2"/>
  <c r="P182" i="2"/>
  <c r="P183" i="2"/>
  <c r="P184" i="2"/>
  <c r="P185" i="2"/>
  <c r="P186" i="2"/>
  <c r="P187" i="2"/>
  <c r="P188" i="2"/>
  <c r="P189" i="2"/>
  <c r="P190" i="2"/>
  <c r="P191" i="2"/>
  <c r="P192" i="2"/>
  <c r="P193" i="2"/>
  <c r="P194" i="2"/>
  <c r="P195" i="2"/>
  <c r="P196" i="2"/>
  <c r="P197" i="2"/>
  <c r="P198" i="2"/>
  <c r="P199" i="2"/>
  <c r="P200" i="2"/>
  <c r="P201" i="2"/>
  <c r="P202" i="2"/>
  <c r="P203" i="2"/>
  <c r="P204" i="2"/>
  <c r="P205" i="2"/>
  <c r="P206" i="2"/>
  <c r="P207" i="2"/>
  <c r="P208" i="2"/>
  <c r="P209" i="2"/>
  <c r="P210" i="2"/>
  <c r="P211" i="2"/>
  <c r="P212" i="2"/>
  <c r="P213" i="2"/>
  <c r="P214" i="2"/>
  <c r="P215" i="2"/>
  <c r="P216" i="2"/>
  <c r="P217" i="2"/>
  <c r="P218" i="2"/>
  <c r="P219" i="2"/>
  <c r="P220" i="2"/>
  <c r="P221" i="2"/>
  <c r="P222" i="2"/>
  <c r="P223" i="2"/>
  <c r="P224" i="2"/>
  <c r="P225" i="2"/>
  <c r="P226" i="2"/>
  <c r="P227" i="2"/>
  <c r="P228" i="2"/>
  <c r="P229" i="2"/>
  <c r="P230" i="2"/>
  <c r="P231" i="2"/>
  <c r="P232" i="2"/>
  <c r="P233" i="2"/>
  <c r="P234" i="2"/>
  <c r="P235" i="2"/>
  <c r="P236" i="2"/>
  <c r="P237" i="2"/>
  <c r="P238" i="2"/>
  <c r="P239" i="2"/>
  <c r="P240" i="2"/>
  <c r="P241" i="2"/>
  <c r="P242" i="2"/>
  <c r="P243" i="2"/>
  <c r="P244" i="2"/>
  <c r="P245" i="2"/>
  <c r="P246" i="2"/>
  <c r="P247" i="2"/>
  <c r="P248" i="2"/>
  <c r="P249" i="2"/>
  <c r="P250" i="2"/>
  <c r="P251" i="2"/>
  <c r="P252" i="2"/>
  <c r="P253" i="2"/>
  <c r="P254" i="2"/>
  <c r="P255" i="2"/>
  <c r="P256" i="2"/>
  <c r="P257" i="2"/>
  <c r="P258" i="2"/>
  <c r="P259" i="2"/>
  <c r="P260" i="2"/>
  <c r="P261" i="2"/>
  <c r="P262" i="2"/>
  <c r="P263" i="2"/>
  <c r="P264" i="2"/>
  <c r="P265" i="2"/>
  <c r="P266" i="2"/>
  <c r="P267" i="2"/>
  <c r="P268" i="2"/>
  <c r="P269" i="2"/>
  <c r="P270" i="2"/>
  <c r="P271" i="2"/>
  <c r="P272" i="2"/>
  <c r="P273" i="2"/>
  <c r="P274" i="2"/>
  <c r="P275" i="2"/>
  <c r="P276" i="2"/>
  <c r="P277" i="2"/>
  <c r="P278" i="2"/>
  <c r="P279" i="2"/>
  <c r="P280" i="2"/>
  <c r="P281" i="2"/>
  <c r="P282" i="2"/>
  <c r="P283" i="2"/>
  <c r="P284" i="2"/>
  <c r="P285" i="2"/>
  <c r="P286" i="2"/>
  <c r="P287" i="2"/>
  <c r="P288" i="2"/>
  <c r="P289" i="2"/>
  <c r="P290" i="2"/>
  <c r="P291" i="2"/>
  <c r="P292" i="2"/>
  <c r="P293" i="2"/>
  <c r="P294" i="2"/>
  <c r="P295" i="2"/>
  <c r="P296" i="2"/>
  <c r="P297" i="2"/>
  <c r="P298" i="2"/>
  <c r="P299" i="2"/>
  <c r="P300" i="2"/>
  <c r="P301" i="2"/>
  <c r="P302" i="2"/>
  <c r="P303" i="2"/>
  <c r="P304" i="2"/>
  <c r="P305" i="2"/>
  <c r="P306" i="2"/>
  <c r="P307" i="2"/>
  <c r="P308" i="2"/>
  <c r="P309" i="2"/>
  <c r="P310" i="2"/>
  <c r="P311" i="2"/>
  <c r="P312" i="2"/>
  <c r="P313" i="2"/>
  <c r="P314" i="2"/>
  <c r="P315" i="2"/>
  <c r="P316" i="2"/>
  <c r="P317" i="2"/>
  <c r="P318" i="2"/>
  <c r="P319" i="2"/>
  <c r="P320" i="2"/>
  <c r="P321" i="2"/>
  <c r="P322" i="2"/>
  <c r="P323" i="2"/>
  <c r="P324" i="2"/>
  <c r="P325" i="2"/>
  <c r="P326" i="2"/>
  <c r="P327" i="2"/>
  <c r="P328" i="2"/>
  <c r="P329" i="2"/>
  <c r="P330" i="2"/>
  <c r="P331" i="2"/>
  <c r="P332" i="2"/>
  <c r="P333" i="2"/>
  <c r="P334" i="2"/>
  <c r="P335" i="2"/>
  <c r="P336" i="2"/>
  <c r="P337" i="2"/>
  <c r="P338" i="2"/>
  <c r="P339" i="2"/>
  <c r="P340" i="2"/>
  <c r="P341" i="2"/>
  <c r="P342" i="2"/>
  <c r="P343" i="2"/>
  <c r="P344" i="2"/>
  <c r="P345" i="2"/>
  <c r="P346" i="2"/>
  <c r="P347" i="2"/>
  <c r="P348" i="2"/>
  <c r="P349" i="2"/>
  <c r="P350" i="2"/>
  <c r="P351" i="2"/>
  <c r="P352" i="2"/>
  <c r="P353" i="2"/>
  <c r="P354" i="2"/>
  <c r="P355" i="2"/>
  <c r="P356" i="2"/>
  <c r="P357" i="2"/>
  <c r="P358" i="2"/>
  <c r="P359" i="2"/>
  <c r="P360" i="2"/>
  <c r="P361" i="2"/>
  <c r="P362" i="2"/>
  <c r="P363" i="2"/>
  <c r="P364" i="2"/>
  <c r="P365" i="2"/>
  <c r="P366" i="2"/>
  <c r="P367" i="2"/>
  <c r="P368" i="2"/>
  <c r="P369" i="2"/>
  <c r="P370" i="2"/>
  <c r="P371" i="2"/>
  <c r="P372" i="2"/>
  <c r="P373" i="2"/>
  <c r="P374" i="2"/>
  <c r="P375" i="2"/>
  <c r="P376" i="2"/>
  <c r="P377" i="2"/>
  <c r="P378" i="2"/>
  <c r="P379" i="2"/>
  <c r="P380" i="2"/>
  <c r="P381" i="2"/>
  <c r="P382" i="2"/>
  <c r="P383" i="2"/>
  <c r="P384" i="2"/>
  <c r="P385" i="2"/>
  <c r="P386" i="2"/>
  <c r="P387" i="2"/>
  <c r="P388" i="2"/>
  <c r="P389" i="2"/>
  <c r="P390" i="2"/>
  <c r="P391" i="2"/>
  <c r="P392" i="2"/>
  <c r="P393" i="2"/>
  <c r="P394" i="2"/>
  <c r="P395" i="2"/>
  <c r="P396" i="2"/>
  <c r="P397" i="2"/>
  <c r="P398" i="2"/>
  <c r="P399" i="2"/>
  <c r="P400" i="2"/>
  <c r="P401" i="2"/>
  <c r="P402" i="2"/>
  <c r="P403" i="2"/>
  <c r="P404" i="2"/>
  <c r="P405" i="2"/>
  <c r="P406" i="2"/>
  <c r="P407" i="2"/>
  <c r="P408" i="2"/>
  <c r="P409" i="2"/>
  <c r="P410" i="2"/>
  <c r="P411" i="2"/>
  <c r="P412" i="2"/>
  <c r="P413" i="2"/>
  <c r="P414" i="2"/>
  <c r="P415" i="2"/>
  <c r="P416" i="2"/>
  <c r="P417" i="2"/>
  <c r="P418" i="2"/>
  <c r="P419" i="2"/>
  <c r="P420" i="2"/>
  <c r="P421" i="2"/>
  <c r="P422" i="2"/>
  <c r="P423" i="2"/>
  <c r="P424" i="2"/>
  <c r="P425" i="2"/>
  <c r="P426" i="2"/>
  <c r="P427" i="2"/>
  <c r="P428" i="2"/>
  <c r="P429" i="2"/>
  <c r="P430" i="2"/>
  <c r="P431" i="2"/>
  <c r="P432" i="2"/>
  <c r="P433" i="2"/>
  <c r="P434" i="2"/>
  <c r="P435" i="2"/>
  <c r="P436" i="2"/>
  <c r="P437" i="2"/>
  <c r="P438" i="2"/>
  <c r="P439" i="2"/>
  <c r="P440" i="2"/>
  <c r="P441" i="2"/>
  <c r="P442" i="2"/>
  <c r="P443" i="2"/>
  <c r="P444" i="2"/>
  <c r="P445" i="2"/>
  <c r="P446" i="2"/>
  <c r="P447" i="2"/>
  <c r="P448" i="2"/>
  <c r="P449" i="2"/>
  <c r="P450" i="2"/>
  <c r="P451" i="2"/>
  <c r="P452" i="2"/>
  <c r="P453" i="2"/>
  <c r="P454" i="2"/>
  <c r="P455" i="2"/>
  <c r="P456" i="2"/>
  <c r="P457" i="2"/>
  <c r="P458" i="2"/>
  <c r="P459" i="2"/>
  <c r="P460" i="2"/>
  <c r="P461" i="2"/>
  <c r="P462" i="2"/>
  <c r="P463" i="2"/>
  <c r="P464" i="2"/>
  <c r="P465" i="2"/>
  <c r="P466" i="2"/>
  <c r="P467" i="2"/>
  <c r="P468" i="2"/>
  <c r="P469" i="2"/>
  <c r="P470" i="2"/>
  <c r="P471" i="2"/>
  <c r="P472" i="2"/>
  <c r="P473" i="2"/>
  <c r="P474" i="2"/>
  <c r="P475" i="2"/>
  <c r="P476" i="2"/>
  <c r="P477" i="2"/>
  <c r="P478" i="2"/>
  <c r="P479" i="2"/>
  <c r="P480" i="2"/>
  <c r="P481" i="2"/>
  <c r="P482" i="2"/>
  <c r="P483" i="2"/>
  <c r="P484" i="2"/>
  <c r="P485" i="2"/>
  <c r="P486" i="2"/>
  <c r="P487" i="2"/>
  <c r="P488" i="2"/>
  <c r="P489" i="2"/>
  <c r="P490" i="2"/>
  <c r="P491" i="2"/>
  <c r="P492" i="2"/>
  <c r="P493" i="2"/>
  <c r="P494" i="2"/>
  <c r="P495" i="2"/>
  <c r="P496" i="2"/>
  <c r="P497" i="2"/>
  <c r="P498" i="2"/>
  <c r="P499" i="2"/>
  <c r="P500" i="2"/>
  <c r="P501" i="2"/>
  <c r="P502" i="2"/>
  <c r="P503" i="2"/>
  <c r="P504" i="2"/>
  <c r="P505" i="2"/>
  <c r="P506" i="2"/>
  <c r="P507" i="2"/>
  <c r="P508" i="2"/>
  <c r="P509" i="2"/>
  <c r="P510" i="2"/>
  <c r="P511" i="2"/>
  <c r="P512" i="2"/>
  <c r="P513" i="2"/>
  <c r="P514" i="2"/>
  <c r="P515" i="2"/>
  <c r="P516" i="2"/>
  <c r="P517" i="2"/>
  <c r="P518" i="2"/>
  <c r="P519" i="2"/>
  <c r="P520" i="2"/>
  <c r="P521" i="2"/>
  <c r="P522" i="2"/>
  <c r="P523" i="2"/>
  <c r="P524" i="2"/>
  <c r="P525" i="2"/>
  <c r="P526" i="2"/>
  <c r="P527" i="2"/>
  <c r="P528" i="2"/>
  <c r="P529" i="2"/>
  <c r="P530" i="2"/>
  <c r="P531" i="2"/>
  <c r="P532" i="2"/>
  <c r="P533" i="2"/>
  <c r="P534" i="2"/>
  <c r="P535" i="2"/>
  <c r="P536" i="2"/>
  <c r="P537" i="2"/>
  <c r="P538" i="2"/>
  <c r="P539" i="2"/>
  <c r="P540" i="2"/>
  <c r="P541" i="2"/>
  <c r="P542" i="2"/>
  <c r="P543" i="2"/>
  <c r="P544" i="2"/>
  <c r="P545" i="2"/>
  <c r="P546" i="2"/>
  <c r="P547" i="2"/>
  <c r="P548" i="2"/>
  <c r="P549" i="2"/>
  <c r="P550" i="2"/>
  <c r="P551" i="2"/>
  <c r="P552" i="2"/>
  <c r="P553" i="2"/>
  <c r="P554" i="2"/>
  <c r="P555" i="2"/>
  <c r="P556" i="2"/>
  <c r="P557" i="2"/>
  <c r="P558" i="2"/>
  <c r="P559" i="2"/>
  <c r="P560" i="2"/>
  <c r="P561" i="2"/>
  <c r="P562" i="2"/>
  <c r="P563" i="2"/>
  <c r="P564" i="2"/>
  <c r="P565" i="2"/>
  <c r="P566" i="2"/>
  <c r="P567" i="2"/>
  <c r="P568" i="2"/>
  <c r="P569" i="2"/>
  <c r="P570" i="2"/>
  <c r="P571" i="2"/>
  <c r="P572" i="2"/>
  <c r="P573" i="2"/>
  <c r="P574" i="2"/>
  <c r="P575" i="2"/>
  <c r="P576" i="2"/>
  <c r="P577" i="2"/>
  <c r="P578" i="2"/>
  <c r="P579" i="2"/>
  <c r="P580" i="2"/>
  <c r="P581" i="2"/>
  <c r="P582" i="2"/>
  <c r="P583" i="2"/>
  <c r="P584" i="2"/>
  <c r="P585" i="2"/>
  <c r="P586" i="2"/>
  <c r="P587" i="2"/>
  <c r="P588" i="2"/>
  <c r="P589" i="2"/>
  <c r="P590" i="2"/>
  <c r="P591" i="2"/>
  <c r="P592" i="2"/>
  <c r="P593" i="2"/>
  <c r="P594" i="2"/>
  <c r="P595" i="2"/>
  <c r="P596" i="2"/>
  <c r="P597" i="2"/>
  <c r="P598" i="2"/>
  <c r="P599" i="2"/>
  <c r="P600" i="2"/>
  <c r="P601" i="2"/>
  <c r="P602" i="2"/>
  <c r="P603" i="2"/>
  <c r="P604" i="2"/>
  <c r="P605" i="2"/>
  <c r="P606" i="2"/>
  <c r="P607" i="2"/>
  <c r="P608" i="2"/>
  <c r="P609" i="2"/>
  <c r="P610" i="2"/>
  <c r="P611" i="2"/>
  <c r="P612" i="2"/>
  <c r="P613" i="2"/>
  <c r="P614" i="2"/>
  <c r="P615" i="2"/>
  <c r="P616" i="2"/>
  <c r="P617" i="2"/>
  <c r="P618" i="2"/>
  <c r="P619" i="2"/>
  <c r="P620" i="2"/>
  <c r="P621" i="2"/>
  <c r="P622" i="2"/>
  <c r="P623" i="2"/>
  <c r="P624" i="2"/>
  <c r="P625" i="2"/>
  <c r="P626" i="2"/>
  <c r="P627" i="2"/>
  <c r="P628" i="2"/>
  <c r="P629" i="2"/>
  <c r="P630" i="2"/>
  <c r="P631" i="2"/>
  <c r="P632" i="2"/>
  <c r="P633" i="2"/>
  <c r="P634" i="2"/>
  <c r="P635" i="2"/>
  <c r="P636" i="2"/>
  <c r="P637" i="2"/>
  <c r="P638" i="2"/>
  <c r="P639" i="2"/>
  <c r="P640" i="2"/>
  <c r="P641" i="2"/>
  <c r="P642" i="2"/>
  <c r="P643" i="2"/>
  <c r="P644" i="2"/>
  <c r="P645" i="2"/>
  <c r="P646" i="2"/>
  <c r="P647" i="2"/>
  <c r="P648" i="2"/>
  <c r="P649" i="2"/>
  <c r="P650" i="2"/>
  <c r="P651" i="2"/>
  <c r="P652" i="2"/>
  <c r="P653" i="2"/>
  <c r="P654" i="2"/>
  <c r="P655" i="2"/>
  <c r="P656" i="2"/>
  <c r="P657" i="2"/>
  <c r="P658" i="2"/>
  <c r="P659" i="2"/>
  <c r="P660" i="2"/>
  <c r="P661" i="2"/>
  <c r="P662" i="2"/>
  <c r="P663" i="2"/>
  <c r="P664" i="2"/>
  <c r="P665" i="2"/>
  <c r="P666" i="2"/>
  <c r="P667" i="2"/>
  <c r="P668" i="2"/>
  <c r="P669" i="2"/>
  <c r="P670" i="2"/>
  <c r="P671" i="2"/>
  <c r="P672" i="2"/>
  <c r="P673" i="2"/>
  <c r="P674" i="2"/>
  <c r="P675" i="2"/>
  <c r="P676" i="2"/>
  <c r="P677" i="2"/>
  <c r="P678" i="2"/>
  <c r="P679" i="2"/>
  <c r="P680" i="2"/>
  <c r="P681" i="2"/>
  <c r="P682" i="2"/>
  <c r="P683" i="2"/>
  <c r="P684" i="2"/>
  <c r="P685" i="2"/>
  <c r="P686" i="2"/>
  <c r="P687" i="2"/>
  <c r="P688" i="2"/>
  <c r="P689" i="2"/>
  <c r="P690" i="2"/>
  <c r="P691" i="2"/>
  <c r="P692" i="2"/>
  <c r="P693" i="2"/>
  <c r="P694" i="2"/>
  <c r="P695" i="2"/>
  <c r="P696" i="2"/>
  <c r="P697" i="2"/>
  <c r="P698" i="2"/>
  <c r="P699" i="2"/>
  <c r="P700" i="2"/>
  <c r="P701" i="2"/>
  <c r="P702" i="2"/>
  <c r="P703" i="2"/>
  <c r="P704" i="2"/>
  <c r="P705" i="2"/>
  <c r="P706" i="2"/>
  <c r="P707" i="2"/>
  <c r="P708" i="2"/>
  <c r="P709" i="2"/>
  <c r="P710" i="2"/>
  <c r="P711" i="2"/>
  <c r="P712" i="2"/>
  <c r="P713" i="2"/>
  <c r="P714" i="2"/>
  <c r="P715" i="2"/>
  <c r="P716" i="2"/>
  <c r="P717" i="2"/>
  <c r="P718" i="2"/>
  <c r="P719" i="2"/>
  <c r="P720" i="2"/>
  <c r="P721" i="2"/>
  <c r="P722" i="2"/>
  <c r="P723" i="2"/>
  <c r="P724" i="2"/>
  <c r="P725" i="2"/>
  <c r="P726" i="2"/>
  <c r="P727" i="2"/>
  <c r="P728" i="2"/>
  <c r="P729" i="2"/>
  <c r="P730" i="2"/>
  <c r="P731" i="2"/>
  <c r="P732" i="2"/>
  <c r="P733" i="2"/>
  <c r="P734" i="2"/>
  <c r="P735" i="2"/>
  <c r="P736" i="2"/>
  <c r="P737" i="2"/>
  <c r="P738" i="2"/>
  <c r="P739" i="2"/>
  <c r="P740" i="2"/>
  <c r="P741" i="2"/>
  <c r="P742" i="2"/>
  <c r="P743" i="2"/>
  <c r="P744" i="2"/>
  <c r="P745" i="2"/>
  <c r="P746" i="2"/>
  <c r="P747" i="2"/>
  <c r="P748" i="2"/>
  <c r="P749" i="2"/>
  <c r="P750" i="2"/>
  <c r="P751" i="2"/>
  <c r="P752" i="2"/>
  <c r="P753" i="2"/>
  <c r="P754" i="2"/>
  <c r="P755" i="2"/>
  <c r="P756" i="2"/>
  <c r="P757" i="2"/>
  <c r="P758" i="2"/>
  <c r="P759" i="2"/>
  <c r="P760" i="2"/>
  <c r="P761" i="2"/>
  <c r="P762" i="2"/>
  <c r="P763" i="2"/>
  <c r="P764" i="2"/>
  <c r="P765" i="2"/>
  <c r="P766" i="2"/>
  <c r="P767" i="2"/>
  <c r="P768" i="2"/>
  <c r="P769" i="2"/>
  <c r="P770" i="2"/>
  <c r="P771" i="2"/>
  <c r="P772" i="2"/>
  <c r="P773" i="2"/>
  <c r="P774" i="2"/>
  <c r="P775" i="2"/>
  <c r="P776" i="2"/>
  <c r="P777" i="2"/>
  <c r="P778" i="2"/>
  <c r="P779" i="2"/>
  <c r="P780" i="2"/>
  <c r="P781" i="2"/>
  <c r="P782" i="2"/>
  <c r="P783" i="2"/>
  <c r="P784" i="2"/>
  <c r="P785" i="2"/>
  <c r="P786" i="2"/>
  <c r="P787" i="2"/>
  <c r="P788" i="2"/>
  <c r="P789" i="2"/>
  <c r="P790" i="2"/>
  <c r="P791" i="2"/>
  <c r="P792" i="2"/>
  <c r="P793" i="2"/>
  <c r="P794" i="2"/>
  <c r="P795" i="2"/>
  <c r="P796" i="2"/>
  <c r="P797" i="2"/>
  <c r="P798" i="2"/>
  <c r="P799" i="2"/>
  <c r="P800" i="2"/>
  <c r="P801" i="2"/>
  <c r="P802" i="2"/>
  <c r="P803" i="2"/>
  <c r="P804" i="2"/>
  <c r="P805" i="2"/>
  <c r="P806" i="2"/>
  <c r="P807" i="2"/>
  <c r="P808" i="2"/>
  <c r="P809" i="2"/>
  <c r="P810" i="2"/>
  <c r="P811" i="2"/>
  <c r="P812" i="2"/>
  <c r="P813" i="2"/>
  <c r="P814" i="2"/>
  <c r="P815" i="2"/>
  <c r="P816" i="2"/>
  <c r="P817" i="2"/>
  <c r="P818" i="2"/>
  <c r="P819" i="2"/>
  <c r="P820" i="2"/>
  <c r="P821" i="2"/>
  <c r="P822" i="2"/>
  <c r="P823" i="2"/>
  <c r="P824" i="2"/>
  <c r="P825" i="2"/>
  <c r="P826" i="2"/>
  <c r="P827" i="2"/>
  <c r="P828" i="2"/>
  <c r="P829" i="2"/>
  <c r="P830" i="2"/>
  <c r="P831" i="2"/>
  <c r="P832" i="2"/>
  <c r="P833" i="2"/>
  <c r="P834" i="2"/>
  <c r="P835" i="2"/>
  <c r="P836" i="2"/>
  <c r="P837" i="2"/>
  <c r="P838" i="2"/>
  <c r="P839" i="2"/>
  <c r="P840" i="2"/>
  <c r="P841" i="2"/>
  <c r="P842" i="2"/>
  <c r="P843" i="2"/>
  <c r="P844" i="2"/>
  <c r="P845" i="2"/>
  <c r="P846" i="2"/>
  <c r="P847" i="2"/>
  <c r="P848" i="2"/>
  <c r="P849" i="2"/>
  <c r="P850" i="2"/>
  <c r="P851" i="2"/>
  <c r="P852" i="2"/>
  <c r="P853" i="2"/>
  <c r="P854" i="2"/>
  <c r="P855" i="2"/>
  <c r="P856" i="2"/>
  <c r="P857" i="2"/>
  <c r="P858" i="2"/>
  <c r="P859" i="2"/>
  <c r="P860" i="2"/>
  <c r="P861" i="2"/>
  <c r="P862" i="2"/>
  <c r="P863" i="2"/>
  <c r="P864" i="2"/>
  <c r="P865" i="2"/>
  <c r="P866" i="2"/>
  <c r="P867" i="2"/>
  <c r="P868" i="2"/>
  <c r="P869" i="2"/>
  <c r="P870" i="2"/>
  <c r="P871" i="2"/>
  <c r="P872" i="2"/>
  <c r="P873" i="2"/>
  <c r="P874" i="2"/>
  <c r="P875" i="2"/>
  <c r="P876" i="2"/>
  <c r="P877" i="2"/>
  <c r="P878" i="2"/>
  <c r="P879" i="2"/>
  <c r="P880" i="2"/>
  <c r="P881" i="2"/>
  <c r="P882" i="2"/>
  <c r="P883" i="2"/>
  <c r="P884" i="2"/>
  <c r="P885" i="2"/>
  <c r="P886" i="2"/>
  <c r="P887" i="2"/>
  <c r="P888" i="2"/>
  <c r="P889" i="2"/>
  <c r="P890" i="2"/>
  <c r="P891" i="2"/>
  <c r="P892" i="2"/>
  <c r="P893" i="2"/>
  <c r="P894" i="2"/>
  <c r="P895" i="2"/>
  <c r="P896" i="2"/>
  <c r="P897" i="2"/>
  <c r="P898" i="2"/>
  <c r="P899" i="2"/>
  <c r="P900" i="2"/>
  <c r="P901" i="2"/>
  <c r="P902" i="2"/>
  <c r="P903" i="2"/>
  <c r="P904" i="2"/>
  <c r="P905" i="2"/>
  <c r="P906" i="2"/>
  <c r="P907" i="2"/>
  <c r="P908" i="2"/>
  <c r="P909" i="2"/>
  <c r="P910" i="2"/>
  <c r="P911" i="2"/>
  <c r="P912" i="2"/>
  <c r="P913" i="2"/>
  <c r="P914" i="2"/>
  <c r="P915" i="2"/>
  <c r="P916" i="2"/>
  <c r="P917" i="2"/>
  <c r="P918" i="2"/>
  <c r="P919" i="2"/>
  <c r="P920" i="2"/>
  <c r="P921" i="2"/>
  <c r="P922" i="2"/>
  <c r="P923" i="2"/>
  <c r="P924" i="2"/>
  <c r="P925" i="2"/>
  <c r="P926" i="2"/>
  <c r="P927" i="2"/>
  <c r="P928" i="2"/>
  <c r="P929" i="2"/>
  <c r="P930" i="2"/>
  <c r="P931" i="2"/>
  <c r="P932" i="2"/>
  <c r="P933" i="2"/>
  <c r="P934" i="2"/>
  <c r="P935" i="2"/>
  <c r="P936" i="2"/>
  <c r="P937" i="2"/>
  <c r="P938" i="2"/>
  <c r="P939" i="2"/>
  <c r="P940" i="2"/>
  <c r="P941" i="2"/>
  <c r="P942" i="2"/>
  <c r="P943" i="2"/>
  <c r="P944" i="2"/>
  <c r="P945" i="2"/>
  <c r="P946" i="2"/>
  <c r="P947" i="2"/>
  <c r="P948" i="2"/>
  <c r="P949" i="2"/>
  <c r="P950" i="2"/>
  <c r="P951" i="2"/>
  <c r="P952" i="2"/>
  <c r="P953" i="2"/>
  <c r="P954" i="2"/>
  <c r="P955" i="2"/>
  <c r="P956" i="2"/>
  <c r="P957" i="2"/>
  <c r="P958" i="2"/>
  <c r="P959" i="2"/>
  <c r="P960" i="2"/>
  <c r="P961" i="2"/>
  <c r="P962" i="2"/>
  <c r="P963" i="2"/>
  <c r="P964" i="2"/>
  <c r="P965" i="2"/>
  <c r="P966" i="2"/>
  <c r="P967" i="2"/>
  <c r="P968" i="2"/>
  <c r="P969" i="2"/>
  <c r="P970" i="2"/>
  <c r="P971" i="2"/>
  <c r="P972" i="2"/>
  <c r="P973" i="2"/>
  <c r="P974" i="2"/>
  <c r="P975" i="2"/>
  <c r="P976" i="2"/>
  <c r="P977" i="2"/>
  <c r="P978" i="2"/>
  <c r="P979" i="2"/>
  <c r="P980" i="2"/>
  <c r="P981" i="2"/>
  <c r="P982" i="2"/>
  <c r="P983" i="2"/>
  <c r="P984" i="2"/>
  <c r="P985" i="2"/>
  <c r="P986" i="2"/>
  <c r="P987" i="2"/>
  <c r="P988" i="2"/>
  <c r="P989" i="2"/>
  <c r="P990" i="2"/>
  <c r="P991" i="2"/>
  <c r="P992" i="2"/>
  <c r="P993" i="2"/>
  <c r="P994" i="2"/>
  <c r="P995" i="2"/>
  <c r="P996" i="2"/>
  <c r="P997" i="2"/>
  <c r="P998" i="2"/>
  <c r="P999" i="2"/>
  <c r="P1000" i="2"/>
  <c r="P1001" i="2"/>
  <c r="P1002" i="2"/>
  <c r="P1003" i="2"/>
  <c r="P1004" i="2"/>
  <c r="P1005" i="2"/>
  <c r="P1006" i="2"/>
  <c r="P1007" i="2"/>
  <c r="P1008" i="2"/>
  <c r="P1009" i="2"/>
  <c r="P1010" i="2"/>
  <c r="P1011" i="2"/>
  <c r="P1012" i="2"/>
  <c r="P1013" i="2"/>
  <c r="P1014" i="2"/>
  <c r="P1015" i="2"/>
  <c r="P1016" i="2"/>
  <c r="P1017" i="2"/>
  <c r="P1018" i="2"/>
  <c r="P1019" i="2"/>
  <c r="P1020" i="2"/>
  <c r="P1021" i="2"/>
  <c r="P1022" i="2"/>
  <c r="P1023" i="2"/>
  <c r="P1024" i="2"/>
  <c r="P1025" i="2"/>
  <c r="P1026" i="2"/>
  <c r="P1027" i="2"/>
  <c r="P1028" i="2"/>
  <c r="P1029" i="2"/>
  <c r="P1030" i="2"/>
  <c r="P1031" i="2"/>
  <c r="P1032" i="2"/>
  <c r="P1033" i="2"/>
  <c r="P1034" i="2"/>
  <c r="P1035" i="2"/>
  <c r="P1036" i="2"/>
  <c r="P1037" i="2"/>
  <c r="P1038" i="2"/>
  <c r="P1039" i="2"/>
  <c r="P1040" i="2"/>
  <c r="P1041" i="2"/>
  <c r="P1042" i="2"/>
  <c r="P1043" i="2"/>
  <c r="P1044" i="2"/>
  <c r="P1045" i="2"/>
  <c r="P1046" i="2"/>
  <c r="P1047" i="2"/>
  <c r="P1048" i="2"/>
  <c r="P1049" i="2"/>
  <c r="P1050" i="2"/>
  <c r="P1051" i="2"/>
  <c r="P1052" i="2"/>
  <c r="P1053" i="2"/>
  <c r="P1054" i="2"/>
  <c r="P1055" i="2"/>
  <c r="P1056" i="2"/>
  <c r="P1057" i="2"/>
  <c r="P1058" i="2"/>
  <c r="P1059" i="2"/>
  <c r="P1060" i="2"/>
  <c r="P1061" i="2"/>
  <c r="P1062" i="2"/>
  <c r="P1063" i="2"/>
  <c r="P1064" i="2"/>
  <c r="P1065" i="2"/>
  <c r="P1066" i="2"/>
  <c r="P1067" i="2"/>
  <c r="P1068" i="2"/>
  <c r="P1069" i="2"/>
  <c r="P1070" i="2"/>
  <c r="P1071" i="2"/>
  <c r="P1072" i="2"/>
  <c r="P1073" i="2"/>
  <c r="P1074" i="2"/>
  <c r="P1075" i="2"/>
  <c r="P1076" i="2"/>
  <c r="P1077" i="2"/>
  <c r="P1078" i="2"/>
  <c r="P1079" i="2"/>
  <c r="P1080" i="2"/>
  <c r="P1081" i="2"/>
  <c r="P1082" i="2"/>
  <c r="P1083" i="2"/>
  <c r="P1084" i="2"/>
  <c r="P1085" i="2"/>
  <c r="P1086" i="2"/>
  <c r="P1087" i="2"/>
  <c r="P1088" i="2"/>
  <c r="P1089" i="2"/>
  <c r="P1090" i="2"/>
  <c r="P1091" i="2"/>
  <c r="P1092" i="2"/>
  <c r="P1093" i="2"/>
  <c r="P1094" i="2"/>
  <c r="P1095" i="2"/>
  <c r="P1096" i="2"/>
  <c r="P1097" i="2"/>
  <c r="P1098" i="2"/>
  <c r="P1099" i="2"/>
  <c r="P1100" i="2"/>
  <c r="P1101" i="2"/>
  <c r="P1102" i="2"/>
  <c r="P1103" i="2"/>
  <c r="P1104" i="2"/>
  <c r="P1105" i="2"/>
  <c r="P1106" i="2"/>
  <c r="P1107" i="2"/>
  <c r="P1108" i="2"/>
  <c r="P1109" i="2"/>
  <c r="P1110" i="2"/>
  <c r="P1111" i="2"/>
  <c r="P1112" i="2"/>
  <c r="P1113" i="2"/>
  <c r="P1114" i="2"/>
  <c r="P1115" i="2"/>
  <c r="P1116" i="2"/>
  <c r="P1117" i="2"/>
  <c r="P1118" i="2"/>
  <c r="P1119" i="2"/>
  <c r="P1120" i="2"/>
  <c r="P1121" i="2"/>
  <c r="P1122" i="2"/>
  <c r="P1123" i="2"/>
  <c r="P1124" i="2"/>
  <c r="P1125" i="2"/>
  <c r="P1126" i="2"/>
  <c r="P1127" i="2"/>
  <c r="P1128" i="2"/>
  <c r="P1129" i="2"/>
  <c r="P1130" i="2"/>
  <c r="P1131" i="2"/>
  <c r="P1132" i="2"/>
  <c r="P1133" i="2"/>
  <c r="P1134" i="2"/>
  <c r="P1135" i="2"/>
  <c r="P1136" i="2"/>
  <c r="P1137" i="2"/>
  <c r="P1138" i="2"/>
  <c r="P1139" i="2"/>
  <c r="P1140" i="2"/>
  <c r="P1141" i="2"/>
  <c r="P1142" i="2"/>
  <c r="P1143" i="2"/>
  <c r="P1144" i="2"/>
  <c r="P1145" i="2"/>
  <c r="P1146" i="2"/>
  <c r="P1147" i="2"/>
  <c r="P1148" i="2"/>
  <c r="P1149" i="2"/>
  <c r="P1150" i="2"/>
  <c r="P1151" i="2"/>
  <c r="P1152" i="2"/>
  <c r="P1153" i="2"/>
  <c r="P1154" i="2"/>
  <c r="P1155" i="2"/>
  <c r="P1156" i="2"/>
  <c r="P1157" i="2"/>
  <c r="P1158" i="2"/>
  <c r="P1159" i="2"/>
  <c r="P1160" i="2"/>
  <c r="P1161" i="2"/>
  <c r="P1162" i="2"/>
  <c r="P1163" i="2"/>
  <c r="P1164" i="2"/>
  <c r="P1165" i="2"/>
  <c r="P1166" i="2"/>
  <c r="P1167" i="2"/>
  <c r="P1168" i="2"/>
  <c r="P1169" i="2"/>
  <c r="P1170" i="2"/>
  <c r="P1171" i="2"/>
  <c r="P1172" i="2"/>
  <c r="P1173" i="2"/>
  <c r="P1174" i="2"/>
  <c r="P1175" i="2"/>
  <c r="P1176" i="2"/>
  <c r="P1177" i="2"/>
  <c r="P1178" i="2"/>
  <c r="P1179" i="2"/>
  <c r="P1180" i="2"/>
  <c r="P1181" i="2"/>
  <c r="P1182" i="2"/>
  <c r="P1183" i="2"/>
  <c r="P1184" i="2"/>
  <c r="P1185" i="2"/>
  <c r="P1186" i="2"/>
  <c r="P1187" i="2"/>
  <c r="P1188" i="2"/>
  <c r="P1189" i="2"/>
  <c r="P1190" i="2"/>
  <c r="P1191" i="2"/>
  <c r="P1192" i="2"/>
  <c r="P1193" i="2"/>
  <c r="P1194" i="2"/>
  <c r="P1195" i="2"/>
  <c r="P1196" i="2"/>
  <c r="P1197" i="2"/>
  <c r="P1198" i="2"/>
  <c r="P1199" i="2"/>
  <c r="P1200" i="2"/>
  <c r="P1201" i="2"/>
  <c r="P1202" i="2"/>
  <c r="P1203" i="2"/>
  <c r="P1204" i="2"/>
  <c r="P1205" i="2"/>
  <c r="P1206" i="2"/>
  <c r="P1207" i="2"/>
  <c r="P1208" i="2"/>
  <c r="P1209" i="2"/>
  <c r="P1210" i="2"/>
  <c r="P1211" i="2"/>
  <c r="P1212" i="2"/>
  <c r="P1213" i="2"/>
  <c r="P1214" i="2"/>
  <c r="P1215" i="2"/>
  <c r="P1216" i="2"/>
  <c r="P1217" i="2"/>
  <c r="P1218" i="2"/>
  <c r="P1219" i="2"/>
  <c r="P1220" i="2"/>
  <c r="P1221" i="2"/>
  <c r="P1222" i="2"/>
  <c r="P1223" i="2"/>
  <c r="P1224" i="2"/>
  <c r="P1225" i="2"/>
  <c r="P1226" i="2"/>
  <c r="P1227" i="2"/>
  <c r="P1228" i="2"/>
  <c r="P1229" i="2"/>
  <c r="P1230" i="2"/>
  <c r="P1231" i="2"/>
  <c r="P1232" i="2"/>
  <c r="P1233" i="2"/>
  <c r="P1234" i="2"/>
  <c r="P1235" i="2"/>
  <c r="P1236" i="2"/>
  <c r="P1237" i="2"/>
  <c r="P1238" i="2"/>
  <c r="P1239" i="2"/>
  <c r="P1240" i="2"/>
  <c r="P1241" i="2"/>
  <c r="P1242" i="2"/>
  <c r="P1243" i="2"/>
  <c r="P1244" i="2"/>
  <c r="P1245" i="2"/>
  <c r="P1246" i="2"/>
  <c r="P1247" i="2"/>
  <c r="P1248" i="2"/>
  <c r="P1249" i="2"/>
  <c r="P1250" i="2"/>
  <c r="P1251" i="2"/>
  <c r="P1252" i="2"/>
  <c r="P1253" i="2"/>
  <c r="P1254" i="2"/>
  <c r="P1255" i="2"/>
  <c r="P1256" i="2"/>
  <c r="P1257" i="2"/>
  <c r="P1258" i="2"/>
  <c r="P1259" i="2"/>
  <c r="P1260" i="2"/>
  <c r="P1261" i="2"/>
  <c r="P1262" i="2"/>
  <c r="P1263" i="2"/>
  <c r="P1264" i="2"/>
  <c r="P1265" i="2"/>
  <c r="P1266" i="2"/>
  <c r="P1267" i="2"/>
  <c r="P1268" i="2"/>
  <c r="P1269" i="2"/>
  <c r="P1270" i="2"/>
  <c r="P1271" i="2"/>
  <c r="P1272" i="2"/>
  <c r="P1273" i="2"/>
  <c r="P1274" i="2"/>
  <c r="P1275" i="2"/>
  <c r="P1276" i="2"/>
  <c r="P1277" i="2"/>
  <c r="P1278" i="2"/>
  <c r="P1279" i="2"/>
  <c r="P1280" i="2"/>
  <c r="P1281" i="2"/>
  <c r="P1282" i="2"/>
  <c r="P1283" i="2"/>
  <c r="P1284" i="2"/>
  <c r="P1285" i="2"/>
  <c r="P1286" i="2"/>
  <c r="P1287" i="2"/>
  <c r="P1288" i="2"/>
  <c r="P1289" i="2"/>
  <c r="P1290" i="2"/>
  <c r="P1291" i="2"/>
  <c r="P1292" i="2"/>
  <c r="P1293" i="2"/>
  <c r="P1294" i="2"/>
  <c r="P1295" i="2"/>
  <c r="P1296" i="2"/>
  <c r="P1297" i="2"/>
  <c r="P1298" i="2"/>
  <c r="P1299" i="2"/>
  <c r="P1300" i="2"/>
  <c r="P1301" i="2"/>
  <c r="P1302" i="2"/>
  <c r="P1303" i="2"/>
  <c r="P1304" i="2"/>
  <c r="P1305" i="2"/>
  <c r="P1306" i="2"/>
  <c r="P1307" i="2"/>
  <c r="P1308" i="2"/>
  <c r="P1309" i="2"/>
  <c r="P1310" i="2"/>
  <c r="P1311" i="2"/>
  <c r="P1312" i="2"/>
  <c r="P1313" i="2"/>
  <c r="P1314" i="2"/>
  <c r="P1315" i="2"/>
  <c r="P1316" i="2"/>
  <c r="P1317" i="2"/>
  <c r="P1318" i="2"/>
  <c r="P1319" i="2"/>
  <c r="P1320" i="2"/>
  <c r="P1321" i="2"/>
  <c r="P1322" i="2"/>
  <c r="P1323" i="2"/>
  <c r="P1324" i="2"/>
  <c r="P1325" i="2"/>
  <c r="P1326" i="2"/>
  <c r="P1327" i="2"/>
  <c r="P1328" i="2"/>
  <c r="P1329" i="2"/>
  <c r="P1330" i="2"/>
  <c r="P1331" i="2"/>
  <c r="P1332" i="2"/>
  <c r="P1333" i="2"/>
  <c r="P1334" i="2"/>
  <c r="P1335" i="2"/>
  <c r="P1336" i="2"/>
  <c r="P1337" i="2"/>
  <c r="P1338" i="2"/>
  <c r="P1339" i="2"/>
  <c r="P1340" i="2"/>
  <c r="P1341" i="2"/>
  <c r="P1342" i="2"/>
  <c r="P1343" i="2"/>
  <c r="P1344" i="2"/>
  <c r="P1345" i="2"/>
  <c r="P1346" i="2"/>
  <c r="P1347" i="2"/>
  <c r="P1348" i="2"/>
  <c r="P1349" i="2"/>
  <c r="P1350" i="2"/>
  <c r="P1351" i="2"/>
  <c r="P1352" i="2"/>
  <c r="P1353" i="2"/>
  <c r="P1354" i="2"/>
  <c r="P1355" i="2"/>
  <c r="P1356" i="2"/>
  <c r="P1357" i="2"/>
  <c r="P1358" i="2"/>
  <c r="P1359" i="2"/>
  <c r="P1360" i="2"/>
  <c r="P1361" i="2"/>
  <c r="P1362" i="2"/>
  <c r="P1363" i="2"/>
  <c r="P1364" i="2"/>
  <c r="P1365" i="2"/>
  <c r="P1366" i="2"/>
  <c r="P1367" i="2"/>
  <c r="P1368" i="2"/>
  <c r="P1369" i="2"/>
  <c r="P1370" i="2"/>
  <c r="P1371" i="2"/>
  <c r="P1372" i="2"/>
  <c r="P1373" i="2"/>
  <c r="P1374" i="2"/>
  <c r="P1375" i="2"/>
  <c r="P1376" i="2"/>
  <c r="P1377" i="2"/>
  <c r="P1378" i="2"/>
  <c r="P1379" i="2"/>
  <c r="P1380" i="2"/>
  <c r="P1381" i="2"/>
  <c r="P1382" i="2"/>
  <c r="P1383" i="2"/>
  <c r="P1384" i="2"/>
  <c r="P1385" i="2"/>
  <c r="P1386" i="2"/>
  <c r="P1387" i="2"/>
  <c r="P1388" i="2"/>
  <c r="P1389" i="2"/>
  <c r="P1390" i="2"/>
  <c r="P1391" i="2"/>
  <c r="P1392" i="2"/>
  <c r="P1393" i="2"/>
  <c r="P1394" i="2"/>
  <c r="P1395" i="2"/>
  <c r="P1396" i="2"/>
  <c r="P1397" i="2"/>
  <c r="P1398" i="2"/>
  <c r="P1399" i="2"/>
  <c r="P1400" i="2"/>
  <c r="P1401" i="2"/>
  <c r="P1402" i="2"/>
  <c r="P1403" i="2"/>
  <c r="P1404" i="2"/>
  <c r="P1405" i="2"/>
  <c r="P1406" i="2"/>
  <c r="P1407" i="2"/>
  <c r="P1408" i="2"/>
  <c r="P1409" i="2"/>
  <c r="P1410" i="2"/>
  <c r="P1411" i="2"/>
  <c r="P1412" i="2"/>
  <c r="P1413" i="2"/>
  <c r="P1414" i="2"/>
  <c r="P1415" i="2"/>
  <c r="P1416" i="2"/>
  <c r="P1417" i="2"/>
  <c r="P1418" i="2"/>
  <c r="P1419" i="2"/>
  <c r="P1420" i="2"/>
  <c r="P1421" i="2"/>
  <c r="P1422" i="2"/>
  <c r="P1423" i="2"/>
  <c r="P1424" i="2"/>
  <c r="P1425" i="2"/>
  <c r="P1426" i="2"/>
  <c r="P1427" i="2"/>
  <c r="P1428" i="2"/>
  <c r="P1429" i="2"/>
  <c r="P1430" i="2"/>
  <c r="P1431" i="2"/>
  <c r="P1432" i="2"/>
  <c r="P1433" i="2"/>
  <c r="P1434" i="2"/>
  <c r="P1435" i="2"/>
  <c r="P1436" i="2"/>
  <c r="P1437" i="2"/>
  <c r="P1438" i="2"/>
  <c r="P1439" i="2"/>
  <c r="P1440" i="2"/>
  <c r="P1441" i="2"/>
  <c r="P1442" i="2"/>
  <c r="P1443" i="2"/>
  <c r="P1444" i="2"/>
  <c r="P1445" i="2"/>
  <c r="P1446" i="2"/>
  <c r="P1447" i="2"/>
  <c r="P1448" i="2"/>
  <c r="P1449" i="2"/>
  <c r="P1450" i="2"/>
  <c r="P1451" i="2"/>
  <c r="P1452" i="2"/>
  <c r="P1453" i="2"/>
  <c r="P1454" i="2"/>
  <c r="P1455" i="2"/>
  <c r="P1456" i="2"/>
  <c r="P1457" i="2"/>
  <c r="P1458" i="2"/>
  <c r="P1459" i="2"/>
  <c r="P1460" i="2"/>
  <c r="P1461" i="2"/>
  <c r="P1462" i="2"/>
  <c r="P1463" i="2"/>
  <c r="P1464" i="2"/>
  <c r="P1465" i="2"/>
  <c r="P1466" i="2"/>
  <c r="P1467" i="2"/>
  <c r="P1468" i="2"/>
  <c r="P1469" i="2"/>
  <c r="P1470" i="2"/>
  <c r="P1471" i="2"/>
  <c r="P1472" i="2"/>
  <c r="P1473" i="2"/>
  <c r="P1474" i="2"/>
  <c r="P1475" i="2"/>
  <c r="P1476" i="2"/>
  <c r="P1477" i="2"/>
  <c r="P1478" i="2"/>
  <c r="P1479" i="2"/>
  <c r="P1480" i="2"/>
  <c r="P1481" i="2"/>
  <c r="P1482" i="2"/>
  <c r="P1483" i="2"/>
  <c r="P1484" i="2"/>
  <c r="P1485" i="2"/>
  <c r="P1486" i="2"/>
  <c r="P1487" i="2"/>
  <c r="P1488" i="2"/>
  <c r="P1489" i="2"/>
  <c r="P1490" i="2"/>
  <c r="P1491" i="2"/>
  <c r="P1492" i="2"/>
  <c r="P1493" i="2"/>
  <c r="P1494" i="2"/>
  <c r="P1495" i="2"/>
  <c r="P1496" i="2"/>
  <c r="P1497" i="2"/>
  <c r="P1498" i="2"/>
  <c r="P1499" i="2"/>
  <c r="P1500" i="2"/>
  <c r="P1501" i="2"/>
  <c r="P1502" i="2"/>
  <c r="P1503" i="2"/>
  <c r="P1504" i="2"/>
  <c r="P1505" i="2"/>
  <c r="P1506" i="2"/>
  <c r="P1507" i="2"/>
  <c r="P1508" i="2"/>
  <c r="P1509" i="2"/>
  <c r="P1510" i="2"/>
  <c r="P1511" i="2"/>
  <c r="P1512" i="2"/>
  <c r="P1513" i="2"/>
  <c r="P1514" i="2"/>
  <c r="P1515" i="2"/>
  <c r="P1516" i="2"/>
  <c r="P1517" i="2"/>
  <c r="P1518" i="2"/>
  <c r="P1519" i="2"/>
  <c r="P1520" i="2"/>
  <c r="P1521" i="2"/>
  <c r="P1522" i="2"/>
  <c r="P1523" i="2"/>
  <c r="P1524" i="2"/>
  <c r="P1525" i="2"/>
  <c r="P1526" i="2"/>
  <c r="P1527" i="2"/>
  <c r="P1528" i="2"/>
  <c r="P1529" i="2"/>
  <c r="P1530" i="2"/>
  <c r="P1531" i="2"/>
  <c r="P1532" i="2"/>
  <c r="P1533" i="2"/>
  <c r="P1534" i="2"/>
  <c r="P1535" i="2"/>
  <c r="P1536" i="2"/>
  <c r="P1537" i="2"/>
  <c r="P1538" i="2"/>
  <c r="P1539" i="2"/>
  <c r="P1540" i="2"/>
  <c r="P1541" i="2"/>
  <c r="P1542" i="2"/>
  <c r="P1543" i="2"/>
  <c r="P1544" i="2"/>
  <c r="P1545" i="2"/>
  <c r="P1546" i="2"/>
  <c r="P1547" i="2"/>
  <c r="P1548" i="2"/>
  <c r="P1549" i="2"/>
  <c r="P1550" i="2"/>
  <c r="P1551" i="2"/>
  <c r="P1552" i="2"/>
  <c r="P1553" i="2"/>
  <c r="P1554" i="2"/>
  <c r="P1555" i="2"/>
  <c r="P1556" i="2"/>
  <c r="P1557" i="2"/>
  <c r="P1558" i="2"/>
  <c r="P1559" i="2"/>
  <c r="P1560" i="2"/>
  <c r="P1561" i="2"/>
  <c r="P1562" i="2"/>
  <c r="P1563" i="2"/>
  <c r="P1564" i="2"/>
  <c r="P1565" i="2"/>
  <c r="P1566" i="2"/>
  <c r="P1567" i="2"/>
  <c r="P1568" i="2"/>
  <c r="P1569" i="2"/>
  <c r="P1570" i="2"/>
  <c r="P1571" i="2"/>
  <c r="P1572" i="2"/>
  <c r="P1573" i="2"/>
  <c r="P1574" i="2"/>
  <c r="P1575" i="2"/>
  <c r="P1576" i="2"/>
  <c r="P1577" i="2"/>
  <c r="P1578" i="2"/>
  <c r="P1579" i="2"/>
  <c r="P1580" i="2"/>
  <c r="P1581" i="2"/>
  <c r="P1582" i="2"/>
  <c r="P1583" i="2"/>
  <c r="P1584" i="2"/>
  <c r="P1585" i="2"/>
  <c r="P1586" i="2"/>
  <c r="P1587" i="2"/>
  <c r="P1588" i="2"/>
  <c r="P1589" i="2"/>
  <c r="P1590" i="2"/>
  <c r="P1591" i="2"/>
  <c r="P1592" i="2"/>
  <c r="P1593" i="2"/>
  <c r="P1594" i="2"/>
  <c r="P1595" i="2"/>
  <c r="P1596" i="2"/>
  <c r="P1597" i="2"/>
  <c r="P1598" i="2"/>
  <c r="P1599" i="2"/>
  <c r="P1600" i="2"/>
  <c r="P1601" i="2"/>
  <c r="P1602" i="2"/>
  <c r="P1603" i="2"/>
  <c r="P1604" i="2"/>
  <c r="P1605" i="2"/>
  <c r="P1606" i="2"/>
  <c r="P1607" i="2"/>
  <c r="P1608" i="2"/>
  <c r="P1609" i="2"/>
  <c r="P1610" i="2"/>
  <c r="P1611" i="2"/>
  <c r="P1612" i="2"/>
  <c r="P1613" i="2"/>
  <c r="P1614" i="2"/>
  <c r="P1615" i="2"/>
  <c r="P1616" i="2"/>
  <c r="P1617" i="2"/>
  <c r="P1618" i="2"/>
  <c r="P1619" i="2"/>
  <c r="P1620" i="2"/>
  <c r="P1621" i="2"/>
  <c r="P1622" i="2"/>
  <c r="P1623" i="2"/>
  <c r="P1624" i="2"/>
  <c r="P1625" i="2"/>
  <c r="P1626" i="2"/>
  <c r="P1627" i="2"/>
  <c r="P1628" i="2"/>
  <c r="P1629" i="2"/>
  <c r="P1630" i="2"/>
  <c r="P1631" i="2"/>
  <c r="P1632" i="2"/>
  <c r="P1633" i="2"/>
  <c r="P1634" i="2"/>
  <c r="P1635" i="2"/>
  <c r="P1636" i="2"/>
  <c r="P1637" i="2"/>
  <c r="P1638" i="2"/>
  <c r="P1639" i="2"/>
  <c r="P1640" i="2"/>
  <c r="P1641" i="2"/>
  <c r="P1642" i="2"/>
  <c r="P1643" i="2"/>
  <c r="P1644" i="2"/>
  <c r="P1645" i="2"/>
  <c r="P1646" i="2"/>
  <c r="P1647" i="2"/>
  <c r="P1648" i="2"/>
  <c r="P1649" i="2"/>
  <c r="P1650" i="2"/>
  <c r="P1651" i="2"/>
  <c r="P1652" i="2"/>
  <c r="P1653" i="2"/>
  <c r="P1654" i="2"/>
  <c r="P1655" i="2"/>
  <c r="P1656" i="2"/>
  <c r="P1657" i="2"/>
  <c r="P1658" i="2"/>
  <c r="P1659" i="2"/>
  <c r="P1660" i="2"/>
  <c r="P1661" i="2"/>
  <c r="P1662" i="2"/>
  <c r="P1663" i="2"/>
  <c r="P1664" i="2"/>
  <c r="P1665" i="2"/>
  <c r="P1666" i="2"/>
  <c r="P1667" i="2"/>
  <c r="P1668" i="2"/>
  <c r="P1669" i="2"/>
  <c r="P1670" i="2"/>
  <c r="P1671" i="2"/>
  <c r="P1672" i="2"/>
  <c r="P1673" i="2"/>
  <c r="P1674" i="2"/>
  <c r="P1675" i="2"/>
  <c r="P1676" i="2"/>
  <c r="P1677" i="2"/>
  <c r="P1678" i="2"/>
  <c r="P1679" i="2"/>
  <c r="P1680" i="2"/>
  <c r="P1681" i="2"/>
  <c r="P1682" i="2"/>
  <c r="P1683" i="2"/>
  <c r="P1684" i="2"/>
  <c r="P1685" i="2"/>
  <c r="P1686" i="2"/>
  <c r="P1687" i="2"/>
  <c r="P1688" i="2"/>
  <c r="P1689" i="2"/>
  <c r="P1690" i="2"/>
  <c r="P1691" i="2"/>
  <c r="P1692" i="2"/>
  <c r="P1693" i="2"/>
  <c r="P1694" i="2"/>
  <c r="P1695" i="2"/>
  <c r="P1696" i="2"/>
  <c r="P1697" i="2"/>
  <c r="P1698" i="2"/>
  <c r="P1699" i="2"/>
  <c r="P1700" i="2"/>
  <c r="P1701" i="2"/>
  <c r="P1702" i="2"/>
  <c r="P1703" i="2"/>
  <c r="P1704" i="2"/>
  <c r="P1705" i="2"/>
  <c r="P1706" i="2"/>
  <c r="P1707" i="2"/>
  <c r="P1708" i="2"/>
  <c r="P1709" i="2"/>
  <c r="P1710" i="2"/>
  <c r="P1711" i="2"/>
  <c r="P1712" i="2"/>
  <c r="P1713" i="2"/>
  <c r="P1714" i="2"/>
  <c r="P1715" i="2"/>
  <c r="P1716" i="2"/>
  <c r="P1717" i="2"/>
  <c r="P1718" i="2"/>
  <c r="P1719" i="2"/>
  <c r="P1720" i="2"/>
  <c r="P1721" i="2"/>
  <c r="P1722" i="2"/>
  <c r="P1723" i="2"/>
  <c r="P1724" i="2"/>
  <c r="P1725" i="2"/>
  <c r="P1726" i="2"/>
  <c r="P1727" i="2"/>
  <c r="P1728" i="2"/>
  <c r="P1729" i="2"/>
  <c r="P1730" i="2"/>
  <c r="P1731" i="2"/>
  <c r="P1732" i="2"/>
  <c r="P1733" i="2"/>
  <c r="P1734" i="2"/>
  <c r="P1735" i="2"/>
  <c r="P1736" i="2"/>
  <c r="P1737" i="2"/>
  <c r="P1738" i="2"/>
  <c r="P1739" i="2"/>
  <c r="P1740" i="2"/>
  <c r="P1741" i="2"/>
  <c r="P1742" i="2"/>
  <c r="P1743" i="2"/>
  <c r="P1744" i="2"/>
  <c r="P1745" i="2"/>
  <c r="P1746" i="2"/>
  <c r="P1747" i="2"/>
  <c r="P1748" i="2"/>
  <c r="P1749" i="2"/>
  <c r="P1750" i="2"/>
  <c r="P1751" i="2"/>
  <c r="P1752" i="2"/>
  <c r="P1753" i="2"/>
  <c r="P1754" i="2"/>
  <c r="P1755" i="2"/>
  <c r="P1756" i="2"/>
  <c r="P1757" i="2"/>
  <c r="P1758" i="2"/>
  <c r="P1759" i="2"/>
  <c r="P1760" i="2"/>
  <c r="P1761" i="2"/>
  <c r="P1762" i="2"/>
  <c r="P1763" i="2"/>
  <c r="P1764" i="2"/>
  <c r="P1765" i="2"/>
  <c r="P1766" i="2"/>
  <c r="P1767" i="2"/>
  <c r="P1768" i="2"/>
  <c r="P1769" i="2"/>
  <c r="P1770" i="2"/>
  <c r="P1771" i="2"/>
  <c r="P1772" i="2"/>
  <c r="P1773" i="2"/>
  <c r="P1774" i="2"/>
  <c r="P1775" i="2"/>
  <c r="P1776" i="2"/>
  <c r="P1777" i="2"/>
  <c r="P1778" i="2"/>
  <c r="P1779" i="2"/>
  <c r="P1780" i="2"/>
  <c r="P1781" i="2"/>
  <c r="P1782" i="2"/>
  <c r="P1783" i="2"/>
  <c r="P1784" i="2"/>
  <c r="P1785" i="2"/>
  <c r="P1786" i="2"/>
  <c r="P1787" i="2"/>
  <c r="P1788" i="2"/>
  <c r="P1789" i="2"/>
  <c r="P1790" i="2"/>
  <c r="P1791" i="2"/>
  <c r="P1792" i="2"/>
  <c r="P1793" i="2"/>
  <c r="P1794" i="2"/>
  <c r="P1795" i="2"/>
  <c r="P1796" i="2"/>
  <c r="P1797" i="2"/>
  <c r="P1798" i="2"/>
  <c r="P1799" i="2"/>
  <c r="P1800" i="2"/>
  <c r="P1801" i="2"/>
  <c r="P1802" i="2"/>
  <c r="P1803" i="2"/>
  <c r="P1804" i="2"/>
  <c r="P1805" i="2"/>
  <c r="P1806" i="2"/>
  <c r="P1807" i="2"/>
  <c r="P1808" i="2"/>
  <c r="P1809" i="2"/>
  <c r="P1810" i="2"/>
  <c r="P1811" i="2"/>
  <c r="P1812" i="2"/>
  <c r="P1813" i="2"/>
  <c r="P1814" i="2"/>
  <c r="P1815" i="2"/>
  <c r="P1816" i="2"/>
  <c r="P1817" i="2"/>
  <c r="P1818" i="2"/>
  <c r="P1819" i="2"/>
  <c r="P1820" i="2"/>
  <c r="P1821" i="2"/>
  <c r="P1822" i="2"/>
  <c r="P1823" i="2"/>
  <c r="P1824" i="2"/>
  <c r="P1825" i="2"/>
  <c r="P1826" i="2"/>
  <c r="P1827" i="2"/>
  <c r="P1828" i="2"/>
  <c r="P1829" i="2"/>
  <c r="P1830" i="2"/>
  <c r="P1831" i="2"/>
  <c r="P1832" i="2"/>
  <c r="P1833" i="2"/>
  <c r="P1834" i="2"/>
  <c r="P1835" i="2"/>
  <c r="P1836" i="2"/>
  <c r="P1837" i="2"/>
  <c r="P1838" i="2"/>
  <c r="P1839" i="2"/>
  <c r="P1840" i="2"/>
  <c r="P1841" i="2"/>
  <c r="P1842" i="2"/>
  <c r="P1843" i="2"/>
  <c r="P1844" i="2"/>
  <c r="P1845" i="2"/>
  <c r="P1846" i="2"/>
  <c r="P1847" i="2"/>
  <c r="P1848" i="2"/>
  <c r="P1849" i="2"/>
  <c r="P1850" i="2"/>
  <c r="P1851" i="2"/>
  <c r="P1852" i="2"/>
  <c r="P1853" i="2"/>
  <c r="P1854" i="2"/>
  <c r="P1855" i="2"/>
  <c r="P1856" i="2"/>
  <c r="P1857" i="2"/>
  <c r="P1858" i="2"/>
  <c r="P1859" i="2"/>
  <c r="P1860" i="2"/>
  <c r="P1861" i="2"/>
  <c r="P1862" i="2"/>
  <c r="P1863" i="2"/>
  <c r="P1864" i="2"/>
  <c r="P1865" i="2"/>
  <c r="P1866" i="2"/>
  <c r="P1867" i="2"/>
  <c r="P1868" i="2"/>
  <c r="P1869" i="2"/>
  <c r="P1870" i="2"/>
  <c r="P1871" i="2"/>
  <c r="P1872" i="2"/>
  <c r="P1873" i="2"/>
  <c r="P1874" i="2"/>
  <c r="P1875" i="2"/>
  <c r="P1876" i="2"/>
  <c r="P1877" i="2"/>
  <c r="P1878" i="2"/>
  <c r="P1879" i="2"/>
  <c r="P1880" i="2"/>
  <c r="P1881" i="2"/>
  <c r="P1882" i="2"/>
  <c r="P1883" i="2"/>
  <c r="P1884" i="2"/>
  <c r="P1885" i="2"/>
  <c r="P1886" i="2"/>
  <c r="P1887" i="2"/>
  <c r="P1888" i="2"/>
  <c r="P1889" i="2"/>
  <c r="P1890" i="2"/>
  <c r="P1891" i="2"/>
  <c r="P1892" i="2"/>
  <c r="P1893" i="2"/>
  <c r="P1894" i="2"/>
  <c r="P1895" i="2"/>
  <c r="P1896" i="2"/>
  <c r="P1897" i="2"/>
  <c r="P1898" i="2"/>
  <c r="P1899" i="2"/>
  <c r="P1900" i="2"/>
  <c r="P1901" i="2"/>
  <c r="P1902" i="2"/>
  <c r="P1903" i="2"/>
  <c r="P1904" i="2"/>
  <c r="P1905" i="2"/>
  <c r="P1906" i="2"/>
  <c r="P1907" i="2"/>
  <c r="P1908" i="2"/>
  <c r="P1909" i="2"/>
  <c r="P1910" i="2"/>
  <c r="P1911" i="2"/>
  <c r="P1912" i="2"/>
  <c r="P1913" i="2"/>
  <c r="P1914" i="2"/>
  <c r="P1915" i="2"/>
  <c r="P1916" i="2"/>
  <c r="P1917" i="2"/>
  <c r="P1918" i="2"/>
  <c r="P1919" i="2"/>
  <c r="P1920" i="2"/>
  <c r="P1921" i="2"/>
  <c r="P1922" i="2"/>
  <c r="P1923" i="2"/>
  <c r="P1924" i="2"/>
  <c r="P1925" i="2"/>
  <c r="P1926" i="2"/>
  <c r="P1927" i="2"/>
  <c r="P1928" i="2"/>
  <c r="P1929" i="2"/>
  <c r="P1930" i="2"/>
  <c r="P1931" i="2"/>
  <c r="P1932" i="2"/>
  <c r="P1933" i="2"/>
  <c r="P1934" i="2"/>
  <c r="P1935" i="2"/>
  <c r="P1936" i="2"/>
  <c r="P1937" i="2"/>
  <c r="P1938" i="2"/>
  <c r="P1939" i="2"/>
  <c r="P1940" i="2"/>
  <c r="P1941" i="2"/>
  <c r="P1942" i="2"/>
  <c r="P1943" i="2"/>
  <c r="P1944" i="2"/>
  <c r="P1945" i="2"/>
  <c r="P1946" i="2"/>
  <c r="P1947" i="2"/>
  <c r="P1948" i="2"/>
  <c r="P1949" i="2"/>
  <c r="P1950" i="2"/>
  <c r="P1951" i="2"/>
  <c r="P1952" i="2"/>
  <c r="P1953" i="2"/>
  <c r="P1954" i="2"/>
  <c r="P1955" i="2"/>
  <c r="P1956" i="2"/>
  <c r="P1957" i="2"/>
  <c r="P1958" i="2"/>
  <c r="P1959" i="2"/>
  <c r="P1960" i="2"/>
  <c r="P1961" i="2"/>
  <c r="P1962" i="2"/>
  <c r="P1963" i="2"/>
  <c r="P1964" i="2"/>
  <c r="P1965" i="2"/>
  <c r="P1966" i="2"/>
  <c r="P1967" i="2"/>
  <c r="P1968" i="2"/>
  <c r="P1969" i="2"/>
  <c r="P1970" i="2"/>
  <c r="P1971" i="2"/>
  <c r="P1972" i="2"/>
  <c r="P1973" i="2"/>
  <c r="P1974" i="2"/>
  <c r="P1975" i="2"/>
  <c r="P1976" i="2"/>
  <c r="P1977" i="2"/>
  <c r="P1978" i="2"/>
  <c r="P1979" i="2"/>
  <c r="P1980" i="2"/>
  <c r="P1981" i="2"/>
  <c r="P1982" i="2"/>
  <c r="P1983" i="2"/>
  <c r="P1984" i="2"/>
  <c r="P1985" i="2"/>
  <c r="P1986" i="2"/>
  <c r="P1987" i="2"/>
  <c r="P1988" i="2"/>
  <c r="P1989" i="2"/>
  <c r="P1990" i="2"/>
  <c r="P1991" i="2"/>
  <c r="P1992" i="2"/>
  <c r="P1993" i="2"/>
  <c r="P1994" i="2"/>
  <c r="P1995" i="2"/>
  <c r="P1996" i="2"/>
  <c r="P1997" i="2"/>
  <c r="P1998" i="2"/>
  <c r="P1999" i="2"/>
  <c r="P2000" i="2"/>
  <c r="P2001" i="2"/>
  <c r="P2002" i="2"/>
  <c r="P2003" i="2"/>
  <c r="P2004" i="2"/>
  <c r="P2005" i="2"/>
  <c r="P2006" i="2"/>
  <c r="P2007" i="2"/>
  <c r="P2008" i="2"/>
  <c r="P2009" i="2"/>
  <c r="P2010" i="2"/>
  <c r="P2011" i="2"/>
  <c r="P2012" i="2"/>
  <c r="P2013" i="2"/>
  <c r="P2014" i="2"/>
  <c r="P2015" i="2"/>
  <c r="P2016" i="2"/>
  <c r="P2017" i="2"/>
  <c r="P2018" i="2"/>
  <c r="P2019" i="2"/>
  <c r="P2020" i="2"/>
  <c r="P2021" i="2"/>
  <c r="P2022" i="2"/>
  <c r="P2023" i="2"/>
  <c r="P2024" i="2"/>
  <c r="P2025" i="2"/>
  <c r="P2026" i="2"/>
  <c r="P2027" i="2"/>
  <c r="P2028" i="2"/>
  <c r="P2029" i="2"/>
  <c r="P2030" i="2"/>
  <c r="P2031" i="2"/>
  <c r="P2032" i="2"/>
  <c r="P2033" i="2"/>
  <c r="P2034" i="2"/>
  <c r="P2035" i="2"/>
  <c r="P2036" i="2"/>
  <c r="P2037" i="2"/>
  <c r="P2038" i="2"/>
  <c r="P2039" i="2"/>
  <c r="P2040" i="2"/>
  <c r="P2041" i="2"/>
  <c r="P2042" i="2"/>
  <c r="P2043" i="2"/>
  <c r="P2044" i="2"/>
  <c r="P2045" i="2"/>
  <c r="P2046" i="2"/>
  <c r="P2047" i="2"/>
  <c r="P2048" i="2"/>
  <c r="P2049" i="2"/>
  <c r="P2050" i="2"/>
  <c r="P2051" i="2"/>
  <c r="P2052" i="2"/>
  <c r="P2053" i="2"/>
  <c r="P2054" i="2"/>
  <c r="P2055" i="2"/>
  <c r="P2056" i="2"/>
  <c r="P2057" i="2"/>
  <c r="P2058" i="2"/>
  <c r="P2059" i="2"/>
  <c r="P2060" i="2"/>
  <c r="P2061" i="2"/>
  <c r="P2062" i="2"/>
  <c r="P2063" i="2"/>
  <c r="P2064" i="2"/>
  <c r="P2065" i="2"/>
  <c r="P2066" i="2"/>
  <c r="P2067" i="2"/>
  <c r="P2068" i="2"/>
  <c r="P2069" i="2"/>
  <c r="P2070" i="2"/>
  <c r="P2071" i="2"/>
  <c r="P2072" i="2"/>
  <c r="P2073" i="2"/>
  <c r="P2074" i="2"/>
  <c r="P2075" i="2"/>
  <c r="P2076" i="2"/>
  <c r="P2077" i="2"/>
  <c r="P2078" i="2"/>
  <c r="P2079" i="2"/>
  <c r="P2080" i="2"/>
  <c r="P2081" i="2"/>
  <c r="P2082" i="2"/>
  <c r="P2083" i="2"/>
  <c r="P2084" i="2"/>
  <c r="P2085" i="2"/>
  <c r="P2086" i="2"/>
  <c r="P2087" i="2"/>
  <c r="P2088" i="2"/>
  <c r="P2089" i="2"/>
  <c r="P2090" i="2"/>
  <c r="P2091" i="2"/>
  <c r="P2092" i="2"/>
  <c r="P2093" i="2"/>
  <c r="P2094" i="2"/>
  <c r="P2095" i="2"/>
  <c r="P2096" i="2"/>
  <c r="P2097" i="2"/>
  <c r="P2098" i="2"/>
  <c r="P2099" i="2"/>
  <c r="P2100" i="2"/>
  <c r="P2101" i="2"/>
  <c r="P2102" i="2"/>
  <c r="P2103" i="2"/>
  <c r="P2104" i="2"/>
  <c r="P2105" i="2"/>
  <c r="P2106" i="2"/>
  <c r="P2107" i="2"/>
  <c r="P2108" i="2"/>
  <c r="P2109" i="2"/>
  <c r="P2110" i="2"/>
  <c r="P2111" i="2"/>
  <c r="P2112" i="2"/>
  <c r="P2113" i="2"/>
  <c r="P2114" i="2"/>
  <c r="P2115" i="2"/>
  <c r="P2116" i="2"/>
  <c r="P2117" i="2"/>
  <c r="P2118" i="2"/>
  <c r="P2119" i="2"/>
  <c r="P2120" i="2"/>
  <c r="P2121" i="2"/>
  <c r="P2122" i="2"/>
  <c r="P2123" i="2"/>
  <c r="P2124" i="2"/>
  <c r="P2125" i="2"/>
  <c r="P2126" i="2"/>
  <c r="P2127" i="2"/>
  <c r="P2128" i="2"/>
  <c r="P2129" i="2"/>
  <c r="P2130" i="2"/>
  <c r="P2131" i="2"/>
  <c r="P2132" i="2"/>
  <c r="P2133" i="2"/>
  <c r="P2134" i="2"/>
  <c r="P2135" i="2"/>
  <c r="P2136" i="2"/>
  <c r="P2137" i="2"/>
  <c r="P2138" i="2"/>
  <c r="P2139" i="2"/>
  <c r="P2140" i="2"/>
  <c r="P2141" i="2"/>
  <c r="P2142" i="2"/>
  <c r="P2143" i="2"/>
  <c r="P2144" i="2"/>
  <c r="P2145" i="2"/>
  <c r="P2146" i="2"/>
  <c r="P2147" i="2"/>
  <c r="P2148" i="2"/>
  <c r="P2149" i="2"/>
  <c r="P2150" i="2"/>
  <c r="P2151" i="2"/>
  <c r="P2152" i="2"/>
  <c r="P2153" i="2"/>
  <c r="P2154" i="2"/>
  <c r="P2155" i="2"/>
  <c r="P2156" i="2"/>
  <c r="P2157" i="2"/>
  <c r="P2158" i="2"/>
  <c r="P2159" i="2"/>
  <c r="P2160" i="2"/>
  <c r="P2161" i="2"/>
  <c r="P2162" i="2"/>
  <c r="P2163" i="2"/>
  <c r="P2164" i="2"/>
  <c r="P2165" i="2"/>
  <c r="P2166" i="2"/>
  <c r="P2167" i="2"/>
  <c r="P2168" i="2"/>
  <c r="P2169" i="2"/>
  <c r="P2170" i="2"/>
  <c r="P2171" i="2"/>
  <c r="P2172" i="2"/>
  <c r="P2173" i="2"/>
  <c r="P2174" i="2"/>
  <c r="P2175" i="2"/>
  <c r="P2176" i="2"/>
  <c r="P2177" i="2"/>
  <c r="P2178" i="2"/>
  <c r="P2179" i="2"/>
  <c r="P2180" i="2"/>
  <c r="P2181" i="2"/>
  <c r="P2182" i="2"/>
  <c r="P2183" i="2"/>
  <c r="P2184" i="2"/>
  <c r="P2185" i="2"/>
  <c r="P2186" i="2"/>
  <c r="P2187" i="2"/>
  <c r="P2188" i="2"/>
  <c r="P2189" i="2"/>
  <c r="P2190" i="2"/>
  <c r="P2191" i="2"/>
  <c r="P2192" i="2"/>
  <c r="P2193" i="2"/>
  <c r="P2194" i="2"/>
  <c r="P2195" i="2"/>
  <c r="P2196" i="2"/>
  <c r="P2197" i="2"/>
  <c r="P2198" i="2"/>
  <c r="P2199" i="2"/>
  <c r="P2200" i="2"/>
  <c r="P2201" i="2"/>
  <c r="P2202" i="2"/>
  <c r="P2203" i="2"/>
  <c r="P2204" i="2"/>
  <c r="P2205" i="2"/>
  <c r="P2206" i="2"/>
  <c r="P2207" i="2"/>
  <c r="P2208" i="2"/>
  <c r="P2209" i="2"/>
  <c r="P2210" i="2"/>
  <c r="P2211" i="2"/>
  <c r="P2212" i="2"/>
  <c r="P2213" i="2"/>
  <c r="P2214" i="2"/>
  <c r="P2215" i="2"/>
  <c r="P2216" i="2"/>
  <c r="P2217" i="2"/>
  <c r="P2218" i="2"/>
  <c r="P2219" i="2"/>
  <c r="P2220" i="2"/>
  <c r="P2221" i="2"/>
  <c r="P2222" i="2"/>
  <c r="P2223" i="2"/>
  <c r="P2224" i="2"/>
  <c r="P2225" i="2"/>
  <c r="P2226" i="2"/>
  <c r="P2227" i="2"/>
  <c r="P2228" i="2"/>
  <c r="P2229" i="2"/>
  <c r="P2230" i="2"/>
  <c r="P2231" i="2"/>
  <c r="P2232" i="2"/>
  <c r="P2233" i="2"/>
  <c r="P2234" i="2"/>
  <c r="P2235" i="2"/>
  <c r="P2236" i="2"/>
  <c r="P2237" i="2"/>
  <c r="P2238" i="2"/>
  <c r="P2239" i="2"/>
  <c r="P2240" i="2"/>
  <c r="P2241" i="2"/>
  <c r="P2242" i="2"/>
  <c r="P2243" i="2"/>
  <c r="P2244" i="2"/>
  <c r="P2245" i="2"/>
  <c r="P2246" i="2"/>
  <c r="P2247" i="2"/>
  <c r="P2248" i="2"/>
  <c r="P2249" i="2"/>
  <c r="P2250" i="2"/>
  <c r="P2251" i="2"/>
  <c r="P2252" i="2"/>
  <c r="P2253" i="2"/>
  <c r="P2254" i="2"/>
  <c r="P2255" i="2"/>
  <c r="P2256" i="2"/>
  <c r="P2257" i="2"/>
  <c r="P2258" i="2"/>
  <c r="P2259" i="2"/>
  <c r="P2260" i="2"/>
  <c r="P2261" i="2"/>
  <c r="P2262" i="2"/>
  <c r="P2263" i="2"/>
  <c r="P2264" i="2"/>
  <c r="P2265" i="2"/>
  <c r="P2266" i="2"/>
  <c r="P2267" i="2"/>
  <c r="P2268" i="2"/>
  <c r="P2269" i="2"/>
  <c r="P2270" i="2"/>
  <c r="P2271" i="2"/>
  <c r="P2272" i="2"/>
  <c r="P2273" i="2"/>
  <c r="P2274" i="2"/>
  <c r="P2275" i="2"/>
  <c r="P2276" i="2"/>
  <c r="P2277" i="2"/>
  <c r="P2278" i="2"/>
  <c r="P2279" i="2"/>
  <c r="P2280" i="2"/>
  <c r="P2281" i="2"/>
  <c r="P2282" i="2"/>
  <c r="P2283" i="2"/>
  <c r="P2284" i="2"/>
  <c r="P2285" i="2"/>
  <c r="P2286" i="2"/>
  <c r="P2287" i="2"/>
  <c r="P2288" i="2"/>
  <c r="P2289" i="2"/>
  <c r="P2290" i="2"/>
  <c r="P2291" i="2"/>
  <c r="P2292" i="2"/>
  <c r="P2293" i="2"/>
  <c r="P2294" i="2"/>
  <c r="P2295" i="2"/>
  <c r="P2296" i="2"/>
  <c r="P2297" i="2"/>
  <c r="P2298" i="2"/>
  <c r="P2299" i="2"/>
  <c r="P2300" i="2"/>
  <c r="P2301" i="2"/>
  <c r="P2302" i="2"/>
  <c r="P2303" i="2"/>
  <c r="P2304" i="2"/>
  <c r="P2305" i="2"/>
  <c r="P2306" i="2"/>
  <c r="P2307" i="2"/>
  <c r="P2308" i="2"/>
  <c r="P2309" i="2"/>
  <c r="P2310" i="2"/>
  <c r="P2311" i="2"/>
  <c r="P2312" i="2"/>
  <c r="P2313" i="2"/>
  <c r="P2314" i="2"/>
  <c r="P2315" i="2"/>
  <c r="P2316" i="2"/>
  <c r="P2317" i="2"/>
  <c r="P2318" i="2"/>
  <c r="P2319" i="2"/>
  <c r="P2320" i="2"/>
  <c r="P2321" i="2"/>
  <c r="P2322" i="2"/>
  <c r="P2323" i="2"/>
  <c r="P2324" i="2"/>
  <c r="P2325" i="2"/>
  <c r="P2326" i="2"/>
  <c r="P2327" i="2"/>
  <c r="P2328" i="2"/>
  <c r="P2329" i="2"/>
  <c r="P2330" i="2"/>
  <c r="P2331" i="2"/>
  <c r="P2332" i="2"/>
  <c r="P2333" i="2"/>
  <c r="P2334" i="2"/>
  <c r="P2335" i="2"/>
  <c r="P2336" i="2"/>
  <c r="P2337" i="2"/>
  <c r="P2338" i="2"/>
  <c r="P2339" i="2"/>
  <c r="P2340" i="2"/>
  <c r="P2341" i="2"/>
  <c r="P2342" i="2"/>
  <c r="P2343" i="2"/>
  <c r="P2344" i="2"/>
  <c r="P2345" i="2"/>
  <c r="P2346" i="2"/>
  <c r="P2347" i="2"/>
  <c r="P2348" i="2"/>
  <c r="P2349" i="2"/>
  <c r="P2350" i="2"/>
  <c r="P2351" i="2"/>
  <c r="P2352" i="2"/>
  <c r="P2353" i="2"/>
  <c r="P2354" i="2"/>
  <c r="P2355" i="2"/>
  <c r="P2356" i="2"/>
  <c r="P2357" i="2"/>
  <c r="P2358" i="2"/>
  <c r="P2359" i="2"/>
  <c r="P2360" i="2"/>
  <c r="P2361" i="2"/>
  <c r="P2362" i="2"/>
  <c r="P2363" i="2"/>
  <c r="P2364" i="2"/>
  <c r="P2365" i="2"/>
  <c r="P2366" i="2"/>
  <c r="P2367" i="2"/>
  <c r="P2368" i="2"/>
  <c r="P2369" i="2"/>
  <c r="P2370" i="2"/>
  <c r="P2371" i="2"/>
  <c r="P2372" i="2"/>
  <c r="P2373" i="2"/>
  <c r="P2374" i="2"/>
  <c r="P2375" i="2"/>
  <c r="P2376" i="2"/>
  <c r="P2377" i="2"/>
  <c r="P2378" i="2"/>
  <c r="P2379" i="2"/>
  <c r="P2380" i="2"/>
  <c r="P2381" i="2"/>
  <c r="P2382" i="2"/>
  <c r="P2383" i="2"/>
  <c r="P2384" i="2"/>
  <c r="P2385" i="2"/>
  <c r="P2386" i="2"/>
  <c r="P2387" i="2"/>
  <c r="P2388" i="2"/>
  <c r="Q2" i="2"/>
  <c r="Q3" i="2"/>
  <c r="Q4" i="2"/>
  <c r="Q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Q67" i="2"/>
  <c r="Q68" i="2"/>
  <c r="Q69" i="2"/>
  <c r="Q70" i="2"/>
  <c r="Q71" i="2"/>
  <c r="Q72" i="2"/>
  <c r="Q73" i="2"/>
  <c r="Q74" i="2"/>
  <c r="Q75" i="2"/>
  <c r="Q76" i="2"/>
  <c r="Q77" i="2"/>
  <c r="Q78" i="2"/>
  <c r="Q79" i="2"/>
  <c r="Q80" i="2"/>
  <c r="Q81" i="2"/>
  <c r="Q82" i="2"/>
  <c r="Q83" i="2"/>
  <c r="Q84" i="2"/>
  <c r="Q85" i="2"/>
  <c r="Q86" i="2"/>
  <c r="Q87" i="2"/>
  <c r="Q88" i="2"/>
  <c r="Q89" i="2"/>
  <c r="Q90" i="2"/>
  <c r="Q91" i="2"/>
  <c r="Q92" i="2"/>
  <c r="Q93" i="2"/>
  <c r="Q94" i="2"/>
  <c r="Q95" i="2"/>
  <c r="Q96" i="2"/>
  <c r="Q97" i="2"/>
  <c r="Q98" i="2"/>
  <c r="Q99" i="2"/>
  <c r="Q100" i="2"/>
  <c r="Q101" i="2"/>
  <c r="Q102" i="2"/>
  <c r="Q103" i="2"/>
  <c r="Q104" i="2"/>
  <c r="Q105" i="2"/>
  <c r="Q106" i="2"/>
  <c r="Q107" i="2"/>
  <c r="Q108" i="2"/>
  <c r="Q109" i="2"/>
  <c r="Q110" i="2"/>
  <c r="Q111" i="2"/>
  <c r="Q112" i="2"/>
  <c r="Q113" i="2"/>
  <c r="Q114" i="2"/>
  <c r="Q115" i="2"/>
  <c r="Q116" i="2"/>
  <c r="Q117" i="2"/>
  <c r="Q118" i="2"/>
  <c r="Q119" i="2"/>
  <c r="Q120" i="2"/>
  <c r="Q121" i="2"/>
  <c r="Q122" i="2"/>
  <c r="Q123" i="2"/>
  <c r="Q124" i="2"/>
  <c r="Q125" i="2"/>
  <c r="Q126" i="2"/>
  <c r="Q127" i="2"/>
  <c r="Q128" i="2"/>
  <c r="Q129" i="2"/>
  <c r="Q130" i="2"/>
  <c r="Q131" i="2"/>
  <c r="Q132" i="2"/>
  <c r="Q133" i="2"/>
  <c r="Q134" i="2"/>
  <c r="Q135" i="2"/>
  <c r="Q136" i="2"/>
  <c r="Q137" i="2"/>
  <c r="Q138" i="2"/>
  <c r="Q139" i="2"/>
  <c r="Q140" i="2"/>
  <c r="Q141" i="2"/>
  <c r="Q142" i="2"/>
  <c r="Q143" i="2"/>
  <c r="Q144" i="2"/>
  <c r="Q145" i="2"/>
  <c r="Q146" i="2"/>
  <c r="Q147" i="2"/>
  <c r="Q148" i="2"/>
  <c r="Q149" i="2"/>
  <c r="Q150" i="2"/>
  <c r="Q151" i="2"/>
  <c r="Q152" i="2"/>
  <c r="Q153" i="2"/>
  <c r="Q154" i="2"/>
  <c r="Q155" i="2"/>
  <c r="Q156" i="2"/>
  <c r="Q157" i="2"/>
  <c r="Q158" i="2"/>
  <c r="Q159" i="2"/>
  <c r="Q160" i="2"/>
  <c r="Q161" i="2"/>
  <c r="Q162" i="2"/>
  <c r="Q163" i="2"/>
  <c r="Q164" i="2"/>
  <c r="Q165" i="2"/>
  <c r="Q166" i="2"/>
  <c r="Q167" i="2"/>
  <c r="Q168" i="2"/>
  <c r="Q169" i="2"/>
  <c r="Q170" i="2"/>
  <c r="Q171" i="2"/>
  <c r="Q172" i="2"/>
  <c r="Q173" i="2"/>
  <c r="Q174" i="2"/>
  <c r="Q175" i="2"/>
  <c r="Q176" i="2"/>
  <c r="Q177" i="2"/>
  <c r="Q178" i="2"/>
  <c r="Q179" i="2"/>
  <c r="Q180" i="2"/>
  <c r="Q181" i="2"/>
  <c r="Q182" i="2"/>
  <c r="Q183" i="2"/>
  <c r="Q184" i="2"/>
  <c r="Q185" i="2"/>
  <c r="Q186" i="2"/>
  <c r="Q187" i="2"/>
  <c r="Q188" i="2"/>
  <c r="Q189" i="2"/>
  <c r="Q190" i="2"/>
  <c r="Q191" i="2"/>
  <c r="Q192" i="2"/>
  <c r="Q193" i="2"/>
  <c r="Q194" i="2"/>
  <c r="Q195" i="2"/>
  <c r="Q196" i="2"/>
  <c r="Q197" i="2"/>
  <c r="Q198" i="2"/>
  <c r="Q199" i="2"/>
  <c r="Q200" i="2"/>
  <c r="Q201" i="2"/>
  <c r="Q202" i="2"/>
  <c r="Q203" i="2"/>
  <c r="Q204" i="2"/>
  <c r="Q205" i="2"/>
  <c r="Q206" i="2"/>
  <c r="Q207" i="2"/>
  <c r="Q208" i="2"/>
  <c r="Q209" i="2"/>
  <c r="Q210" i="2"/>
  <c r="Q211" i="2"/>
  <c r="Q212" i="2"/>
  <c r="Q213" i="2"/>
  <c r="Q214" i="2"/>
  <c r="Q215" i="2"/>
  <c r="Q216" i="2"/>
  <c r="Q217" i="2"/>
  <c r="Q218" i="2"/>
  <c r="Q219" i="2"/>
  <c r="Q220" i="2"/>
  <c r="Q221" i="2"/>
  <c r="Q222" i="2"/>
  <c r="Q223" i="2"/>
  <c r="Q224" i="2"/>
  <c r="Q225" i="2"/>
  <c r="Q226" i="2"/>
  <c r="Q227" i="2"/>
  <c r="Q228" i="2"/>
  <c r="Q229" i="2"/>
  <c r="Q230" i="2"/>
  <c r="Q231" i="2"/>
  <c r="Q232" i="2"/>
  <c r="Q233" i="2"/>
  <c r="Q234" i="2"/>
  <c r="Q235" i="2"/>
  <c r="Q236" i="2"/>
  <c r="Q237" i="2"/>
  <c r="Q238" i="2"/>
  <c r="Q239" i="2"/>
  <c r="Q240" i="2"/>
  <c r="Q241" i="2"/>
  <c r="Q242" i="2"/>
  <c r="Q243" i="2"/>
  <c r="Q244" i="2"/>
  <c r="Q245" i="2"/>
  <c r="Q246" i="2"/>
  <c r="Q247" i="2"/>
  <c r="Q248" i="2"/>
  <c r="Q249" i="2"/>
  <c r="Q250" i="2"/>
  <c r="Q251" i="2"/>
  <c r="Q252" i="2"/>
  <c r="Q253" i="2"/>
  <c r="Q254" i="2"/>
  <c r="Q255" i="2"/>
  <c r="Q256" i="2"/>
  <c r="Q257" i="2"/>
  <c r="Q258" i="2"/>
  <c r="Q259" i="2"/>
  <c r="Q260" i="2"/>
  <c r="Q261" i="2"/>
  <c r="Q262" i="2"/>
  <c r="Q263" i="2"/>
  <c r="Q264" i="2"/>
  <c r="Q265" i="2"/>
  <c r="Q266" i="2"/>
  <c r="Q267" i="2"/>
  <c r="Q268" i="2"/>
  <c r="Q269" i="2"/>
  <c r="Q270" i="2"/>
  <c r="Q271" i="2"/>
  <c r="Q272" i="2"/>
  <c r="Q273" i="2"/>
  <c r="Q274" i="2"/>
  <c r="Q275" i="2"/>
  <c r="Q276" i="2"/>
  <c r="Q277" i="2"/>
  <c r="Q278" i="2"/>
  <c r="Q279" i="2"/>
  <c r="Q280" i="2"/>
  <c r="Q281" i="2"/>
  <c r="Q282" i="2"/>
  <c r="Q283" i="2"/>
  <c r="Q284" i="2"/>
  <c r="Q285" i="2"/>
  <c r="Q286" i="2"/>
  <c r="Q287" i="2"/>
  <c r="Q288" i="2"/>
  <c r="Q289" i="2"/>
  <c r="Q290" i="2"/>
  <c r="Q291" i="2"/>
  <c r="Q292" i="2"/>
  <c r="Q293" i="2"/>
  <c r="Q294" i="2"/>
  <c r="Q295" i="2"/>
  <c r="Q296" i="2"/>
  <c r="Q297" i="2"/>
  <c r="Q298" i="2"/>
  <c r="Q299" i="2"/>
  <c r="Q300" i="2"/>
  <c r="Q301" i="2"/>
  <c r="Q302" i="2"/>
  <c r="Q303" i="2"/>
  <c r="Q304" i="2"/>
  <c r="Q305" i="2"/>
  <c r="Q306" i="2"/>
  <c r="Q307" i="2"/>
  <c r="Q308" i="2"/>
  <c r="Q309" i="2"/>
  <c r="Q310" i="2"/>
  <c r="Q311" i="2"/>
  <c r="Q312" i="2"/>
  <c r="Q313" i="2"/>
  <c r="Q314" i="2"/>
  <c r="Q315" i="2"/>
  <c r="Q316" i="2"/>
  <c r="Q317" i="2"/>
  <c r="Q318" i="2"/>
  <c r="Q319" i="2"/>
  <c r="Q320" i="2"/>
  <c r="Q321" i="2"/>
  <c r="Q322" i="2"/>
  <c r="Q323" i="2"/>
  <c r="Q324" i="2"/>
  <c r="Q325" i="2"/>
  <c r="Q326" i="2"/>
  <c r="Q327" i="2"/>
  <c r="Q328" i="2"/>
  <c r="Q329" i="2"/>
  <c r="Q330" i="2"/>
  <c r="Q331" i="2"/>
  <c r="Q332" i="2"/>
  <c r="Q333" i="2"/>
  <c r="Q334" i="2"/>
  <c r="Q335" i="2"/>
  <c r="Q336" i="2"/>
  <c r="Q337" i="2"/>
  <c r="Q338" i="2"/>
  <c r="Q339" i="2"/>
  <c r="Q340" i="2"/>
  <c r="Q341" i="2"/>
  <c r="Q342" i="2"/>
  <c r="Q343" i="2"/>
  <c r="Q344" i="2"/>
  <c r="Q345" i="2"/>
  <c r="Q346" i="2"/>
  <c r="Q347" i="2"/>
  <c r="Q348" i="2"/>
  <c r="Q349" i="2"/>
  <c r="Q350" i="2"/>
  <c r="Q351" i="2"/>
  <c r="Q352" i="2"/>
  <c r="Q353" i="2"/>
  <c r="Q354" i="2"/>
  <c r="Q355" i="2"/>
  <c r="Q356" i="2"/>
  <c r="Q357" i="2"/>
  <c r="Q358" i="2"/>
  <c r="Q359" i="2"/>
  <c r="Q360" i="2"/>
  <c r="Q361" i="2"/>
  <c r="Q362" i="2"/>
  <c r="Q363" i="2"/>
  <c r="Q364" i="2"/>
  <c r="Q365" i="2"/>
  <c r="Q366" i="2"/>
  <c r="Q367" i="2"/>
  <c r="Q368" i="2"/>
  <c r="Q369" i="2"/>
  <c r="Q370" i="2"/>
  <c r="Q371" i="2"/>
  <c r="Q372" i="2"/>
  <c r="Q373" i="2"/>
  <c r="Q374" i="2"/>
  <c r="Q375" i="2"/>
  <c r="Q376" i="2"/>
  <c r="Q377" i="2"/>
  <c r="Q378" i="2"/>
  <c r="Q379" i="2"/>
  <c r="Q380" i="2"/>
  <c r="Q381" i="2"/>
  <c r="Q382" i="2"/>
  <c r="Q383" i="2"/>
  <c r="Q384" i="2"/>
  <c r="Q385" i="2"/>
  <c r="Q386" i="2"/>
  <c r="Q387" i="2"/>
  <c r="Q388" i="2"/>
  <c r="Q389" i="2"/>
  <c r="Q390" i="2"/>
  <c r="Q391" i="2"/>
  <c r="Q392" i="2"/>
  <c r="Q393" i="2"/>
  <c r="Q394" i="2"/>
  <c r="Q395" i="2"/>
  <c r="Q396" i="2"/>
  <c r="Q397" i="2"/>
  <c r="Q398" i="2"/>
  <c r="Q399" i="2"/>
  <c r="Q400" i="2"/>
  <c r="Q401" i="2"/>
  <c r="Q402" i="2"/>
  <c r="Q403" i="2"/>
  <c r="Q404" i="2"/>
  <c r="Q405" i="2"/>
  <c r="Q406" i="2"/>
  <c r="Q407" i="2"/>
  <c r="Q408" i="2"/>
  <c r="Q409" i="2"/>
  <c r="Q410" i="2"/>
  <c r="Q411" i="2"/>
  <c r="Q412" i="2"/>
  <c r="Q413" i="2"/>
  <c r="Q414" i="2"/>
  <c r="Q415" i="2"/>
  <c r="Q416" i="2"/>
  <c r="Q417" i="2"/>
  <c r="Q418" i="2"/>
  <c r="Q419" i="2"/>
  <c r="Q420" i="2"/>
  <c r="Q421" i="2"/>
  <c r="Q422" i="2"/>
  <c r="Q423" i="2"/>
  <c r="Q424" i="2"/>
  <c r="Q425" i="2"/>
  <c r="Q426" i="2"/>
  <c r="Q427" i="2"/>
  <c r="Q428" i="2"/>
  <c r="Q429" i="2"/>
  <c r="Q430" i="2"/>
  <c r="Q431" i="2"/>
  <c r="Q432" i="2"/>
  <c r="Q433" i="2"/>
  <c r="Q434" i="2"/>
  <c r="Q435" i="2"/>
  <c r="Q436" i="2"/>
  <c r="Q437" i="2"/>
  <c r="Q438" i="2"/>
  <c r="Q439" i="2"/>
  <c r="Q440" i="2"/>
  <c r="Q441" i="2"/>
  <c r="Q442" i="2"/>
  <c r="Q443" i="2"/>
  <c r="Q444" i="2"/>
  <c r="Q445" i="2"/>
  <c r="Q446" i="2"/>
  <c r="Q447" i="2"/>
  <c r="Q448" i="2"/>
  <c r="Q449" i="2"/>
  <c r="Q450" i="2"/>
  <c r="Q451" i="2"/>
  <c r="Q452" i="2"/>
  <c r="Q453" i="2"/>
  <c r="Q454" i="2"/>
  <c r="Q455" i="2"/>
  <c r="Q456" i="2"/>
  <c r="Q457" i="2"/>
  <c r="Q458" i="2"/>
  <c r="Q459" i="2"/>
  <c r="Q460" i="2"/>
  <c r="Q461" i="2"/>
  <c r="Q462" i="2"/>
  <c r="Q463" i="2"/>
  <c r="Q464" i="2"/>
  <c r="Q465" i="2"/>
  <c r="Q466" i="2"/>
  <c r="Q467" i="2"/>
  <c r="Q468" i="2"/>
  <c r="Q469" i="2"/>
  <c r="Q470" i="2"/>
  <c r="Q471" i="2"/>
  <c r="Q472" i="2"/>
  <c r="Q473" i="2"/>
  <c r="Q474" i="2"/>
  <c r="Q475" i="2"/>
  <c r="Q476" i="2"/>
  <c r="Q477" i="2"/>
  <c r="Q478" i="2"/>
  <c r="Q479" i="2"/>
  <c r="Q480" i="2"/>
  <c r="Q481" i="2"/>
  <c r="Q482" i="2"/>
  <c r="Q483" i="2"/>
  <c r="Q484" i="2"/>
  <c r="Q485" i="2"/>
  <c r="Q486" i="2"/>
  <c r="Q487" i="2"/>
  <c r="Q488" i="2"/>
  <c r="Q489" i="2"/>
  <c r="Q490" i="2"/>
  <c r="Q491" i="2"/>
  <c r="Q492" i="2"/>
  <c r="Q493" i="2"/>
  <c r="Q494" i="2"/>
  <c r="Q495" i="2"/>
  <c r="Q496" i="2"/>
  <c r="Q497" i="2"/>
  <c r="Q498" i="2"/>
  <c r="Q499" i="2"/>
  <c r="Q500" i="2"/>
  <c r="Q501" i="2"/>
  <c r="Q502" i="2"/>
  <c r="Q503" i="2"/>
  <c r="Q504" i="2"/>
  <c r="Q505" i="2"/>
  <c r="Q506" i="2"/>
  <c r="Q507" i="2"/>
  <c r="Q508" i="2"/>
  <c r="Q509" i="2"/>
  <c r="Q510" i="2"/>
  <c r="Q511" i="2"/>
  <c r="Q512" i="2"/>
  <c r="Q513" i="2"/>
  <c r="Q514" i="2"/>
  <c r="Q515" i="2"/>
  <c r="Q516" i="2"/>
  <c r="Q517" i="2"/>
  <c r="Q518" i="2"/>
  <c r="Q519" i="2"/>
  <c r="Q520" i="2"/>
  <c r="Q521" i="2"/>
  <c r="Q522" i="2"/>
  <c r="Q523" i="2"/>
  <c r="Q524" i="2"/>
  <c r="Q525" i="2"/>
  <c r="Q526" i="2"/>
  <c r="Q527" i="2"/>
  <c r="Q528" i="2"/>
  <c r="Q529" i="2"/>
  <c r="Q530" i="2"/>
  <c r="Q531" i="2"/>
  <c r="Q532" i="2"/>
  <c r="Q533" i="2"/>
  <c r="Q534" i="2"/>
  <c r="Q535" i="2"/>
  <c r="Q536" i="2"/>
  <c r="Q537" i="2"/>
  <c r="Q538" i="2"/>
  <c r="Q539" i="2"/>
  <c r="Q540" i="2"/>
  <c r="Q541" i="2"/>
  <c r="Q542" i="2"/>
  <c r="Q543" i="2"/>
  <c r="Q544" i="2"/>
  <c r="Q545" i="2"/>
  <c r="Q546" i="2"/>
  <c r="Q547" i="2"/>
  <c r="Q548" i="2"/>
  <c r="Q549" i="2"/>
  <c r="Q550" i="2"/>
  <c r="Q551" i="2"/>
  <c r="Q552" i="2"/>
  <c r="Q553" i="2"/>
  <c r="Q554" i="2"/>
  <c r="Q555" i="2"/>
  <c r="Q556" i="2"/>
  <c r="Q557" i="2"/>
  <c r="Q558" i="2"/>
  <c r="Q559" i="2"/>
  <c r="Q560" i="2"/>
  <c r="Q561" i="2"/>
  <c r="Q562" i="2"/>
  <c r="Q563" i="2"/>
  <c r="Q564" i="2"/>
  <c r="Q565" i="2"/>
  <c r="Q566" i="2"/>
  <c r="Q567" i="2"/>
  <c r="Q568" i="2"/>
  <c r="Q569" i="2"/>
  <c r="Q570" i="2"/>
  <c r="Q571" i="2"/>
  <c r="Q572" i="2"/>
  <c r="Q573" i="2"/>
  <c r="Q574" i="2"/>
  <c r="Q575" i="2"/>
  <c r="Q576" i="2"/>
  <c r="Q577" i="2"/>
  <c r="Q578" i="2"/>
  <c r="Q579" i="2"/>
  <c r="Q580" i="2"/>
  <c r="Q581" i="2"/>
  <c r="Q582" i="2"/>
  <c r="Q583" i="2"/>
  <c r="Q584" i="2"/>
  <c r="Q585" i="2"/>
  <c r="Q586" i="2"/>
  <c r="Q587" i="2"/>
  <c r="Q588" i="2"/>
  <c r="Q589" i="2"/>
  <c r="Q590" i="2"/>
  <c r="Q591" i="2"/>
  <c r="Q592" i="2"/>
  <c r="Q593" i="2"/>
  <c r="Q594" i="2"/>
  <c r="Q595" i="2"/>
  <c r="Q596" i="2"/>
  <c r="Q597" i="2"/>
  <c r="Q598" i="2"/>
  <c r="Q599" i="2"/>
  <c r="Q600" i="2"/>
  <c r="Q601" i="2"/>
  <c r="Q602" i="2"/>
  <c r="Q603" i="2"/>
  <c r="Q604" i="2"/>
  <c r="Q605" i="2"/>
  <c r="Q606" i="2"/>
  <c r="Q607" i="2"/>
  <c r="Q608" i="2"/>
  <c r="Q609" i="2"/>
  <c r="Q610" i="2"/>
  <c r="Q611" i="2"/>
  <c r="Q612" i="2"/>
  <c r="Q613" i="2"/>
  <c r="Q614" i="2"/>
  <c r="Q615" i="2"/>
  <c r="Q616" i="2"/>
  <c r="Q617" i="2"/>
  <c r="Q618" i="2"/>
  <c r="Q619" i="2"/>
  <c r="Q620" i="2"/>
  <c r="Q621" i="2"/>
  <c r="Q622" i="2"/>
  <c r="Q623" i="2"/>
  <c r="Q624" i="2"/>
  <c r="Q625" i="2"/>
  <c r="Q626" i="2"/>
  <c r="Q627" i="2"/>
  <c r="Q628" i="2"/>
  <c r="Q629" i="2"/>
  <c r="Q630" i="2"/>
  <c r="Q631" i="2"/>
  <c r="Q632" i="2"/>
  <c r="Q633" i="2"/>
  <c r="Q634" i="2"/>
  <c r="Q635" i="2"/>
  <c r="Q636" i="2"/>
  <c r="Q637" i="2"/>
  <c r="Q638" i="2"/>
  <c r="Q639" i="2"/>
  <c r="Q640" i="2"/>
  <c r="Q641" i="2"/>
  <c r="Q642" i="2"/>
  <c r="Q643" i="2"/>
  <c r="Q644" i="2"/>
  <c r="Q645" i="2"/>
  <c r="Q646" i="2"/>
  <c r="Q647" i="2"/>
  <c r="Q648" i="2"/>
  <c r="Q649" i="2"/>
  <c r="Q650" i="2"/>
  <c r="Q651" i="2"/>
  <c r="Q652" i="2"/>
  <c r="Q653" i="2"/>
  <c r="Q654" i="2"/>
  <c r="Q655" i="2"/>
  <c r="Q656" i="2"/>
  <c r="Q657" i="2"/>
  <c r="Q658" i="2"/>
  <c r="Q659" i="2"/>
  <c r="Q660" i="2"/>
  <c r="Q661" i="2"/>
  <c r="Q662" i="2"/>
  <c r="Q663" i="2"/>
  <c r="Q664" i="2"/>
  <c r="Q665" i="2"/>
  <c r="Q666" i="2"/>
  <c r="Q667" i="2"/>
  <c r="Q668" i="2"/>
  <c r="Q669" i="2"/>
  <c r="Q670" i="2"/>
  <c r="Q671" i="2"/>
  <c r="Q672" i="2"/>
  <c r="Q673" i="2"/>
  <c r="Q674" i="2"/>
  <c r="Q675" i="2"/>
  <c r="Q676" i="2"/>
  <c r="Q677" i="2"/>
  <c r="Q678" i="2"/>
  <c r="Q679" i="2"/>
  <c r="Q680" i="2"/>
  <c r="Q681" i="2"/>
  <c r="Q682" i="2"/>
  <c r="Q683" i="2"/>
  <c r="Q684" i="2"/>
  <c r="Q685" i="2"/>
  <c r="Q686" i="2"/>
  <c r="Q687" i="2"/>
  <c r="Q688" i="2"/>
  <c r="Q689" i="2"/>
  <c r="Q690" i="2"/>
  <c r="Q691" i="2"/>
  <c r="Q692" i="2"/>
  <c r="Q693" i="2"/>
  <c r="Q694" i="2"/>
  <c r="Q695" i="2"/>
  <c r="Q696" i="2"/>
  <c r="Q697" i="2"/>
  <c r="Q698" i="2"/>
  <c r="Q699" i="2"/>
  <c r="Q700" i="2"/>
  <c r="Q701" i="2"/>
  <c r="Q702" i="2"/>
  <c r="Q703" i="2"/>
  <c r="Q704" i="2"/>
  <c r="Q705" i="2"/>
  <c r="Q706" i="2"/>
  <c r="Q707" i="2"/>
  <c r="Q708" i="2"/>
  <c r="Q709" i="2"/>
  <c r="Q710" i="2"/>
  <c r="Q711" i="2"/>
  <c r="Q712" i="2"/>
  <c r="Q713" i="2"/>
  <c r="Q714" i="2"/>
  <c r="Q715" i="2"/>
  <c r="Q716" i="2"/>
  <c r="Q717" i="2"/>
  <c r="Q718" i="2"/>
  <c r="Q719" i="2"/>
  <c r="Q720" i="2"/>
  <c r="Q721" i="2"/>
  <c r="Q722" i="2"/>
  <c r="Q723" i="2"/>
  <c r="Q724" i="2"/>
  <c r="Q725" i="2"/>
  <c r="Q726" i="2"/>
  <c r="Q727" i="2"/>
  <c r="Q728" i="2"/>
  <c r="Q729" i="2"/>
  <c r="Q730" i="2"/>
  <c r="Q731" i="2"/>
  <c r="Q732" i="2"/>
  <c r="Q733" i="2"/>
  <c r="Q734" i="2"/>
  <c r="Q735" i="2"/>
  <c r="Q736" i="2"/>
  <c r="Q737" i="2"/>
  <c r="Q738" i="2"/>
  <c r="Q739" i="2"/>
  <c r="Q740" i="2"/>
  <c r="Q741" i="2"/>
  <c r="Q742" i="2"/>
  <c r="Q743" i="2"/>
  <c r="Q744" i="2"/>
  <c r="Q745" i="2"/>
  <c r="Q746" i="2"/>
  <c r="Q747" i="2"/>
  <c r="Q748" i="2"/>
  <c r="Q749" i="2"/>
  <c r="Q750" i="2"/>
  <c r="Q751" i="2"/>
  <c r="Q752" i="2"/>
  <c r="Q753" i="2"/>
  <c r="Q754" i="2"/>
  <c r="Q755" i="2"/>
  <c r="Q756" i="2"/>
  <c r="Q757" i="2"/>
  <c r="Q758" i="2"/>
  <c r="Q759" i="2"/>
  <c r="Q760" i="2"/>
  <c r="Q761" i="2"/>
  <c r="Q762" i="2"/>
  <c r="Q763" i="2"/>
  <c r="Q764" i="2"/>
  <c r="Q765" i="2"/>
  <c r="Q766" i="2"/>
  <c r="Q767" i="2"/>
  <c r="Q768" i="2"/>
  <c r="Q769" i="2"/>
  <c r="Q770" i="2"/>
  <c r="Q771" i="2"/>
  <c r="Q772" i="2"/>
  <c r="Q773" i="2"/>
  <c r="Q774" i="2"/>
  <c r="Q775" i="2"/>
  <c r="Q776" i="2"/>
  <c r="Q777" i="2"/>
  <c r="Q778" i="2"/>
  <c r="Q779" i="2"/>
  <c r="Q780" i="2"/>
  <c r="Q781" i="2"/>
  <c r="Q782" i="2"/>
  <c r="Q783" i="2"/>
  <c r="Q784" i="2"/>
  <c r="Q785" i="2"/>
  <c r="Q786" i="2"/>
  <c r="Q787" i="2"/>
  <c r="Q788" i="2"/>
  <c r="Q789" i="2"/>
  <c r="Q790" i="2"/>
  <c r="Q791" i="2"/>
  <c r="Q792" i="2"/>
  <c r="Q793" i="2"/>
  <c r="Q794" i="2"/>
  <c r="Q795" i="2"/>
  <c r="Q796" i="2"/>
  <c r="Q797" i="2"/>
  <c r="Q798" i="2"/>
  <c r="Q799" i="2"/>
  <c r="Q800" i="2"/>
  <c r="Q801" i="2"/>
  <c r="Q802" i="2"/>
  <c r="Q803" i="2"/>
  <c r="Q804" i="2"/>
  <c r="Q805" i="2"/>
  <c r="Q806" i="2"/>
  <c r="Q807" i="2"/>
  <c r="Q808" i="2"/>
  <c r="Q809" i="2"/>
  <c r="Q810" i="2"/>
  <c r="Q811" i="2"/>
  <c r="Q812" i="2"/>
  <c r="Q813" i="2"/>
  <c r="Q814" i="2"/>
  <c r="Q815" i="2"/>
  <c r="Q816" i="2"/>
  <c r="Q817" i="2"/>
  <c r="Q818" i="2"/>
  <c r="Q819" i="2"/>
  <c r="Q820" i="2"/>
  <c r="Q821" i="2"/>
  <c r="Q822" i="2"/>
  <c r="Q823" i="2"/>
  <c r="Q824" i="2"/>
  <c r="Q825" i="2"/>
  <c r="Q826" i="2"/>
  <c r="Q827" i="2"/>
  <c r="Q828" i="2"/>
  <c r="Q829" i="2"/>
  <c r="Q830" i="2"/>
  <c r="Q831" i="2"/>
  <c r="Q832" i="2"/>
  <c r="Q833" i="2"/>
  <c r="Q834" i="2"/>
  <c r="Q835" i="2"/>
  <c r="Q836" i="2"/>
  <c r="Q837" i="2"/>
  <c r="Q838" i="2"/>
  <c r="Q839" i="2"/>
  <c r="Q840" i="2"/>
  <c r="Q841" i="2"/>
  <c r="Q842" i="2"/>
  <c r="Q843" i="2"/>
  <c r="Q844" i="2"/>
  <c r="Q845" i="2"/>
  <c r="Q846" i="2"/>
  <c r="Q847" i="2"/>
  <c r="Q848" i="2"/>
  <c r="Q849" i="2"/>
  <c r="Q850" i="2"/>
  <c r="Q851" i="2"/>
  <c r="Q852" i="2"/>
  <c r="Q853" i="2"/>
  <c r="Q854" i="2"/>
  <c r="Q855" i="2"/>
  <c r="Q856" i="2"/>
  <c r="Q857" i="2"/>
  <c r="Q858" i="2"/>
  <c r="Q859" i="2"/>
  <c r="Q860" i="2"/>
  <c r="Q861" i="2"/>
  <c r="Q862" i="2"/>
  <c r="Q863" i="2"/>
  <c r="Q864" i="2"/>
  <c r="Q865" i="2"/>
  <c r="Q866" i="2"/>
  <c r="Q867" i="2"/>
  <c r="Q868" i="2"/>
  <c r="Q869" i="2"/>
  <c r="Q870" i="2"/>
  <c r="Q871" i="2"/>
  <c r="Q872" i="2"/>
  <c r="Q873" i="2"/>
  <c r="Q874" i="2"/>
  <c r="Q875" i="2"/>
  <c r="Q876" i="2"/>
  <c r="Q877" i="2"/>
  <c r="Q878" i="2"/>
  <c r="Q879" i="2"/>
  <c r="Q880" i="2"/>
  <c r="Q881" i="2"/>
  <c r="Q882" i="2"/>
  <c r="Q883" i="2"/>
  <c r="Q884" i="2"/>
  <c r="Q885" i="2"/>
  <c r="Q886" i="2"/>
  <c r="Q887" i="2"/>
  <c r="Q888" i="2"/>
  <c r="Q889" i="2"/>
  <c r="Q890" i="2"/>
  <c r="Q891" i="2"/>
  <c r="Q892" i="2"/>
  <c r="Q893" i="2"/>
  <c r="Q894" i="2"/>
  <c r="Q895" i="2"/>
  <c r="Q896" i="2"/>
  <c r="Q897" i="2"/>
  <c r="Q898" i="2"/>
  <c r="Q899" i="2"/>
  <c r="Q900" i="2"/>
  <c r="Q901" i="2"/>
  <c r="Q902" i="2"/>
  <c r="Q903" i="2"/>
  <c r="Q904" i="2"/>
  <c r="Q905" i="2"/>
  <c r="Q906" i="2"/>
  <c r="Q907" i="2"/>
  <c r="Q908" i="2"/>
  <c r="Q909" i="2"/>
  <c r="Q910" i="2"/>
  <c r="Q911" i="2"/>
  <c r="Q912" i="2"/>
  <c r="Q913" i="2"/>
  <c r="Q914" i="2"/>
  <c r="Q915" i="2"/>
  <c r="Q916" i="2"/>
  <c r="Q917" i="2"/>
  <c r="Q918" i="2"/>
  <c r="Q919" i="2"/>
  <c r="Q920" i="2"/>
  <c r="Q921" i="2"/>
  <c r="Q922" i="2"/>
  <c r="Q923" i="2"/>
  <c r="Q924" i="2"/>
  <c r="Q925" i="2"/>
  <c r="Q926" i="2"/>
  <c r="Q927" i="2"/>
  <c r="Q928" i="2"/>
  <c r="Q929" i="2"/>
  <c r="Q930" i="2"/>
  <c r="Q931" i="2"/>
  <c r="Q932" i="2"/>
  <c r="Q933" i="2"/>
  <c r="Q934" i="2"/>
  <c r="Q935" i="2"/>
  <c r="Q936" i="2"/>
  <c r="Q937" i="2"/>
  <c r="Q938" i="2"/>
  <c r="Q939" i="2"/>
  <c r="Q940" i="2"/>
  <c r="Q941" i="2"/>
  <c r="Q942" i="2"/>
  <c r="Q943" i="2"/>
  <c r="Q944" i="2"/>
  <c r="Q945" i="2"/>
  <c r="Q946" i="2"/>
  <c r="Q947" i="2"/>
  <c r="Q948" i="2"/>
  <c r="Q949" i="2"/>
  <c r="Q950" i="2"/>
  <c r="Q951" i="2"/>
  <c r="Q952" i="2"/>
  <c r="Q953" i="2"/>
  <c r="Q954" i="2"/>
  <c r="Q955" i="2"/>
  <c r="Q956" i="2"/>
  <c r="Q957" i="2"/>
  <c r="Q958" i="2"/>
  <c r="Q959" i="2"/>
  <c r="Q960" i="2"/>
  <c r="Q961" i="2"/>
  <c r="Q962" i="2"/>
  <c r="Q963" i="2"/>
  <c r="Q964" i="2"/>
  <c r="Q965" i="2"/>
  <c r="Q966" i="2"/>
  <c r="Q967" i="2"/>
  <c r="Q968" i="2"/>
  <c r="Q969" i="2"/>
  <c r="Q970" i="2"/>
  <c r="Q971" i="2"/>
  <c r="Q972" i="2"/>
  <c r="Q973" i="2"/>
  <c r="Q974" i="2"/>
  <c r="Q975" i="2"/>
  <c r="Q976" i="2"/>
  <c r="Q977" i="2"/>
  <c r="Q978" i="2"/>
  <c r="Q979" i="2"/>
  <c r="Q980" i="2"/>
  <c r="Q981" i="2"/>
  <c r="Q982" i="2"/>
  <c r="Q983" i="2"/>
  <c r="Q984" i="2"/>
  <c r="Q985" i="2"/>
  <c r="Q986" i="2"/>
  <c r="Q987" i="2"/>
  <c r="Q988" i="2"/>
  <c r="Q989" i="2"/>
  <c r="Q990" i="2"/>
  <c r="Q991" i="2"/>
  <c r="Q992" i="2"/>
  <c r="Q993" i="2"/>
  <c r="Q994" i="2"/>
  <c r="Q995" i="2"/>
  <c r="Q996" i="2"/>
  <c r="Q997" i="2"/>
  <c r="Q998" i="2"/>
  <c r="Q999" i="2"/>
  <c r="Q1000" i="2"/>
  <c r="Q1001" i="2"/>
  <c r="Q1002" i="2"/>
  <c r="Q1003" i="2"/>
  <c r="Q1004" i="2"/>
  <c r="Q1005" i="2"/>
  <c r="Q1006" i="2"/>
  <c r="Q1007" i="2"/>
  <c r="Q1008" i="2"/>
  <c r="Q1009" i="2"/>
  <c r="Q1010" i="2"/>
  <c r="Q1011" i="2"/>
  <c r="Q1012" i="2"/>
  <c r="Q1013" i="2"/>
  <c r="Q1014" i="2"/>
  <c r="Q1015" i="2"/>
  <c r="Q1016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Q1053" i="2"/>
  <c r="Q1054" i="2"/>
  <c r="Q1055" i="2"/>
  <c r="Q1056" i="2"/>
  <c r="Q1057" i="2"/>
  <c r="Q1058" i="2"/>
  <c r="Q1059" i="2"/>
  <c r="Q1060" i="2"/>
  <c r="Q1061" i="2"/>
  <c r="Q1062" i="2"/>
  <c r="Q1063" i="2"/>
  <c r="Q1064" i="2"/>
  <c r="Q1065" i="2"/>
  <c r="Q1066" i="2"/>
  <c r="Q1067" i="2"/>
  <c r="Q1068" i="2"/>
  <c r="Q1069" i="2"/>
  <c r="Q1070" i="2"/>
  <c r="Q1071" i="2"/>
  <c r="Q1072" i="2"/>
  <c r="Q1073" i="2"/>
  <c r="Q1074" i="2"/>
  <c r="Q1075" i="2"/>
  <c r="Q1076" i="2"/>
  <c r="Q1077" i="2"/>
  <c r="Q1078" i="2"/>
  <c r="Q1079" i="2"/>
  <c r="Q1080" i="2"/>
  <c r="Q1081" i="2"/>
  <c r="Q1082" i="2"/>
  <c r="Q1083" i="2"/>
  <c r="Q1084" i="2"/>
  <c r="Q1085" i="2"/>
  <c r="Q1086" i="2"/>
  <c r="Q1087" i="2"/>
  <c r="Q1088" i="2"/>
  <c r="Q1089" i="2"/>
  <c r="Q1090" i="2"/>
  <c r="Q1091" i="2"/>
  <c r="Q1092" i="2"/>
  <c r="Q1093" i="2"/>
  <c r="Q1094" i="2"/>
  <c r="Q1095" i="2"/>
  <c r="Q1096" i="2"/>
  <c r="Q1097" i="2"/>
  <c r="Q1098" i="2"/>
  <c r="Q1099" i="2"/>
  <c r="Q1100" i="2"/>
  <c r="Q1101" i="2"/>
  <c r="Q1102" i="2"/>
  <c r="Q1103" i="2"/>
  <c r="Q1104" i="2"/>
  <c r="Q1105" i="2"/>
  <c r="Q1106" i="2"/>
  <c r="Q1107" i="2"/>
  <c r="Q1108" i="2"/>
  <c r="Q1109" i="2"/>
  <c r="Q1110" i="2"/>
  <c r="Q1111" i="2"/>
  <c r="Q1112" i="2"/>
  <c r="Q1113" i="2"/>
  <c r="Q1114" i="2"/>
  <c r="Q1115" i="2"/>
  <c r="Q1116" i="2"/>
  <c r="Q1117" i="2"/>
  <c r="Q1118" i="2"/>
  <c r="Q1119" i="2"/>
  <c r="Q1120" i="2"/>
  <c r="Q1121" i="2"/>
  <c r="Q1122" i="2"/>
  <c r="Q1123" i="2"/>
  <c r="Q1124" i="2"/>
  <c r="Q1125" i="2"/>
  <c r="Q1126" i="2"/>
  <c r="Q1127" i="2"/>
  <c r="Q1128" i="2"/>
  <c r="Q1129" i="2"/>
  <c r="Q1130" i="2"/>
  <c r="Q1131" i="2"/>
  <c r="Q1132" i="2"/>
  <c r="Q1133" i="2"/>
  <c r="Q1134" i="2"/>
  <c r="Q1135" i="2"/>
  <c r="Q1136" i="2"/>
  <c r="Q1137" i="2"/>
  <c r="Q1138" i="2"/>
  <c r="Q1139" i="2"/>
  <c r="Q1140" i="2"/>
  <c r="Q1141" i="2"/>
  <c r="Q1142" i="2"/>
  <c r="Q1143" i="2"/>
  <c r="Q1144" i="2"/>
  <c r="Q1145" i="2"/>
  <c r="Q1146" i="2"/>
  <c r="Q1147" i="2"/>
  <c r="Q1148" i="2"/>
  <c r="Q1149" i="2"/>
  <c r="Q1150" i="2"/>
  <c r="Q1151" i="2"/>
  <c r="Q1152" i="2"/>
  <c r="Q1153" i="2"/>
  <c r="Q1154" i="2"/>
  <c r="Q1155" i="2"/>
  <c r="Q1156" i="2"/>
  <c r="Q1157" i="2"/>
  <c r="Q1158" i="2"/>
  <c r="Q1159" i="2"/>
  <c r="Q1160" i="2"/>
  <c r="Q1161" i="2"/>
  <c r="Q1162" i="2"/>
  <c r="Q1163" i="2"/>
  <c r="Q1164" i="2"/>
  <c r="Q1165" i="2"/>
  <c r="Q1166" i="2"/>
  <c r="Q1167" i="2"/>
  <c r="Q1168" i="2"/>
  <c r="Q1169" i="2"/>
  <c r="Q1170" i="2"/>
  <c r="Q1171" i="2"/>
  <c r="Q1172" i="2"/>
  <c r="Q1173" i="2"/>
  <c r="Q1174" i="2"/>
  <c r="Q1175" i="2"/>
  <c r="Q1176" i="2"/>
  <c r="Q1177" i="2"/>
  <c r="Q1178" i="2"/>
  <c r="Q1179" i="2"/>
  <c r="Q1180" i="2"/>
  <c r="Q1181" i="2"/>
  <c r="Q1182" i="2"/>
  <c r="Q1183" i="2"/>
  <c r="Q1184" i="2"/>
  <c r="Q1185" i="2"/>
  <c r="Q1186" i="2"/>
  <c r="Q1187" i="2"/>
  <c r="Q1188" i="2"/>
  <c r="Q1189" i="2"/>
  <c r="Q1190" i="2"/>
  <c r="Q1191" i="2"/>
  <c r="Q1192" i="2"/>
  <c r="Q1193" i="2"/>
  <c r="Q1194" i="2"/>
  <c r="Q1195" i="2"/>
  <c r="Q1196" i="2"/>
  <c r="Q1197" i="2"/>
  <c r="Q1198" i="2"/>
  <c r="Q1199" i="2"/>
  <c r="Q1200" i="2"/>
  <c r="Q1201" i="2"/>
  <c r="Q1202" i="2"/>
  <c r="Q1203" i="2"/>
  <c r="Q1204" i="2"/>
  <c r="Q1205" i="2"/>
  <c r="Q1206" i="2"/>
  <c r="Q1207" i="2"/>
  <c r="Q1208" i="2"/>
  <c r="Q1209" i="2"/>
  <c r="Q1210" i="2"/>
  <c r="Q1211" i="2"/>
  <c r="Q1212" i="2"/>
  <c r="Q1213" i="2"/>
  <c r="Q1214" i="2"/>
  <c r="Q1215" i="2"/>
  <c r="Q1216" i="2"/>
  <c r="Q1217" i="2"/>
  <c r="Q1218" i="2"/>
  <c r="Q1219" i="2"/>
  <c r="Q1220" i="2"/>
  <c r="Q1221" i="2"/>
  <c r="Q1222" i="2"/>
  <c r="Q1223" i="2"/>
  <c r="Q1224" i="2"/>
  <c r="Q1225" i="2"/>
  <c r="Q1226" i="2"/>
  <c r="Q1227" i="2"/>
  <c r="Q1228" i="2"/>
  <c r="Q1229" i="2"/>
  <c r="Q1230" i="2"/>
  <c r="Q1231" i="2"/>
  <c r="Q1232" i="2"/>
  <c r="Q1233" i="2"/>
  <c r="Q1234" i="2"/>
  <c r="Q1235" i="2"/>
  <c r="Q1236" i="2"/>
  <c r="Q1237" i="2"/>
  <c r="Q1238" i="2"/>
  <c r="Q1239" i="2"/>
  <c r="Q1240" i="2"/>
  <c r="Q1241" i="2"/>
  <c r="Q1242" i="2"/>
  <c r="Q1243" i="2"/>
  <c r="Q1244" i="2"/>
  <c r="Q1245" i="2"/>
  <c r="Q1246" i="2"/>
  <c r="Q1247" i="2"/>
  <c r="Q1248" i="2"/>
  <c r="Q1249" i="2"/>
  <c r="Q1250" i="2"/>
  <c r="Q1251" i="2"/>
  <c r="Q1252" i="2"/>
  <c r="Q1253" i="2"/>
  <c r="Q1254" i="2"/>
  <c r="Q1255" i="2"/>
  <c r="Q1256" i="2"/>
  <c r="Q1257" i="2"/>
  <c r="Q1258" i="2"/>
  <c r="Q1259" i="2"/>
  <c r="Q1260" i="2"/>
  <c r="Q1261" i="2"/>
  <c r="Q1262" i="2"/>
  <c r="Q1263" i="2"/>
  <c r="Q1264" i="2"/>
  <c r="Q1265" i="2"/>
  <c r="Q1266" i="2"/>
  <c r="Q1267" i="2"/>
  <c r="Q1268" i="2"/>
  <c r="Q1269" i="2"/>
  <c r="Q1270" i="2"/>
  <c r="Q1271" i="2"/>
  <c r="Q1272" i="2"/>
  <c r="Q1273" i="2"/>
  <c r="Q1274" i="2"/>
  <c r="Q1275" i="2"/>
  <c r="Q1276" i="2"/>
  <c r="Q1277" i="2"/>
  <c r="Q1278" i="2"/>
  <c r="Q1279" i="2"/>
  <c r="Q1280" i="2"/>
  <c r="Q1281" i="2"/>
  <c r="Q1282" i="2"/>
  <c r="Q1283" i="2"/>
  <c r="Q1284" i="2"/>
  <c r="Q1285" i="2"/>
  <c r="Q1286" i="2"/>
  <c r="Q1287" i="2"/>
  <c r="Q1288" i="2"/>
  <c r="Q1289" i="2"/>
  <c r="Q1290" i="2"/>
  <c r="Q1291" i="2"/>
  <c r="Q1292" i="2"/>
  <c r="Q1293" i="2"/>
  <c r="Q1294" i="2"/>
  <c r="Q1295" i="2"/>
  <c r="Q1296" i="2"/>
  <c r="Q1297" i="2"/>
  <c r="Q1298" i="2"/>
  <c r="Q1299" i="2"/>
  <c r="Q1300" i="2"/>
  <c r="Q1301" i="2"/>
  <c r="Q1302" i="2"/>
  <c r="Q1303" i="2"/>
  <c r="Q1304" i="2"/>
  <c r="Q1305" i="2"/>
  <c r="Q1306" i="2"/>
  <c r="Q1307" i="2"/>
  <c r="Q1308" i="2"/>
  <c r="Q1309" i="2"/>
  <c r="Q1310" i="2"/>
  <c r="Q1311" i="2"/>
  <c r="Q1312" i="2"/>
  <c r="Q1313" i="2"/>
  <c r="Q1314" i="2"/>
  <c r="Q1315" i="2"/>
  <c r="Q1316" i="2"/>
  <c r="Q1317" i="2"/>
  <c r="Q1318" i="2"/>
  <c r="Q1319" i="2"/>
  <c r="Q1320" i="2"/>
  <c r="Q1321" i="2"/>
  <c r="Q1322" i="2"/>
  <c r="Q1323" i="2"/>
  <c r="Q1324" i="2"/>
  <c r="Q1325" i="2"/>
  <c r="Q1326" i="2"/>
  <c r="Q1327" i="2"/>
  <c r="Q1328" i="2"/>
  <c r="Q1329" i="2"/>
  <c r="Q1330" i="2"/>
  <c r="Q1331" i="2"/>
  <c r="Q1332" i="2"/>
  <c r="Q1333" i="2"/>
  <c r="Q1334" i="2"/>
  <c r="Q1335" i="2"/>
  <c r="Q1336" i="2"/>
  <c r="Q1337" i="2"/>
  <c r="Q1338" i="2"/>
  <c r="Q1339" i="2"/>
  <c r="Q1340" i="2"/>
  <c r="Q1341" i="2"/>
  <c r="Q1342" i="2"/>
  <c r="Q1343" i="2"/>
  <c r="Q1344" i="2"/>
  <c r="Q1345" i="2"/>
  <c r="Q1346" i="2"/>
  <c r="Q1347" i="2"/>
  <c r="Q1348" i="2"/>
  <c r="Q1349" i="2"/>
  <c r="Q1350" i="2"/>
  <c r="Q1351" i="2"/>
  <c r="Q1352" i="2"/>
  <c r="Q1353" i="2"/>
  <c r="Q1354" i="2"/>
  <c r="Q1355" i="2"/>
  <c r="Q1356" i="2"/>
  <c r="Q1357" i="2"/>
  <c r="Q1358" i="2"/>
  <c r="Q1359" i="2"/>
  <c r="Q1360" i="2"/>
  <c r="Q1361" i="2"/>
  <c r="Q1362" i="2"/>
  <c r="Q1363" i="2"/>
  <c r="Q1364" i="2"/>
  <c r="Q1365" i="2"/>
  <c r="Q1366" i="2"/>
  <c r="Q1367" i="2"/>
  <c r="Q1368" i="2"/>
  <c r="Q1369" i="2"/>
  <c r="Q1370" i="2"/>
  <c r="Q1371" i="2"/>
  <c r="Q1372" i="2"/>
  <c r="Q1373" i="2"/>
  <c r="Q1374" i="2"/>
  <c r="Q1375" i="2"/>
  <c r="Q1376" i="2"/>
  <c r="Q1377" i="2"/>
  <c r="Q1378" i="2"/>
  <c r="Q1379" i="2"/>
  <c r="Q1380" i="2"/>
  <c r="Q1381" i="2"/>
  <c r="Q1382" i="2"/>
  <c r="Q1383" i="2"/>
  <c r="Q1384" i="2"/>
  <c r="Q1385" i="2"/>
  <c r="Q1386" i="2"/>
  <c r="Q1387" i="2"/>
  <c r="Q1388" i="2"/>
  <c r="Q1389" i="2"/>
  <c r="Q1390" i="2"/>
  <c r="Q1391" i="2"/>
  <c r="Q1392" i="2"/>
  <c r="Q1393" i="2"/>
  <c r="Q1394" i="2"/>
  <c r="Q1395" i="2"/>
  <c r="Q1396" i="2"/>
  <c r="Q1397" i="2"/>
  <c r="Q1398" i="2"/>
  <c r="Q1399" i="2"/>
  <c r="Q1400" i="2"/>
  <c r="Q1401" i="2"/>
  <c r="Q1402" i="2"/>
  <c r="Q1403" i="2"/>
  <c r="Q1404" i="2"/>
  <c r="Q1405" i="2"/>
  <c r="Q1406" i="2"/>
  <c r="Q1407" i="2"/>
  <c r="Q1408" i="2"/>
  <c r="Q1409" i="2"/>
  <c r="Q1410" i="2"/>
  <c r="Q1411" i="2"/>
  <c r="Q1412" i="2"/>
  <c r="Q1413" i="2"/>
  <c r="Q1414" i="2"/>
  <c r="Q1415" i="2"/>
  <c r="Q1416" i="2"/>
  <c r="Q1417" i="2"/>
  <c r="Q1418" i="2"/>
  <c r="Q1419" i="2"/>
  <c r="Q1420" i="2"/>
  <c r="Q1421" i="2"/>
  <c r="Q1422" i="2"/>
  <c r="Q1423" i="2"/>
  <c r="Q1424" i="2"/>
  <c r="Q1425" i="2"/>
  <c r="Q1426" i="2"/>
  <c r="Q1427" i="2"/>
  <c r="Q1428" i="2"/>
  <c r="Q1429" i="2"/>
  <c r="Q1430" i="2"/>
  <c r="Q1431" i="2"/>
  <c r="Q1432" i="2"/>
  <c r="Q1433" i="2"/>
  <c r="Q1434" i="2"/>
  <c r="Q1435" i="2"/>
  <c r="Q1436" i="2"/>
  <c r="Q1437" i="2"/>
  <c r="Q1438" i="2"/>
  <c r="Q1439" i="2"/>
  <c r="Q1440" i="2"/>
  <c r="Q1441" i="2"/>
  <c r="Q1442" i="2"/>
  <c r="Q1443" i="2"/>
  <c r="Q1444" i="2"/>
  <c r="Q1445" i="2"/>
  <c r="Q1446" i="2"/>
  <c r="Q1447" i="2"/>
  <c r="Q1448" i="2"/>
  <c r="Q1449" i="2"/>
  <c r="Q1450" i="2"/>
  <c r="Q1451" i="2"/>
  <c r="Q1452" i="2"/>
  <c r="Q1453" i="2"/>
  <c r="Q1454" i="2"/>
  <c r="Q1455" i="2"/>
  <c r="Q1456" i="2"/>
  <c r="Q1457" i="2"/>
  <c r="Q1458" i="2"/>
  <c r="Q1459" i="2"/>
  <c r="Q1460" i="2"/>
  <c r="Q1461" i="2"/>
  <c r="Q1462" i="2"/>
  <c r="Q1463" i="2"/>
  <c r="Q1464" i="2"/>
  <c r="Q1465" i="2"/>
  <c r="Q1466" i="2"/>
  <c r="Q1467" i="2"/>
  <c r="Q1468" i="2"/>
  <c r="Q1469" i="2"/>
  <c r="Q1470" i="2"/>
  <c r="Q1471" i="2"/>
  <c r="Q1472" i="2"/>
  <c r="Q1473" i="2"/>
  <c r="Q1474" i="2"/>
  <c r="Q1475" i="2"/>
  <c r="Q1476" i="2"/>
  <c r="Q1477" i="2"/>
  <c r="Q1478" i="2"/>
  <c r="Q1479" i="2"/>
  <c r="Q1480" i="2"/>
  <c r="Q1481" i="2"/>
  <c r="Q1482" i="2"/>
  <c r="Q1483" i="2"/>
  <c r="Q1484" i="2"/>
  <c r="Q1485" i="2"/>
  <c r="Q1486" i="2"/>
  <c r="Q1487" i="2"/>
  <c r="Q1488" i="2"/>
  <c r="Q1489" i="2"/>
  <c r="Q1490" i="2"/>
  <c r="Q1491" i="2"/>
  <c r="Q1492" i="2"/>
  <c r="Q1493" i="2"/>
  <c r="Q1494" i="2"/>
  <c r="Q1495" i="2"/>
  <c r="Q1496" i="2"/>
  <c r="Q1497" i="2"/>
  <c r="Q1498" i="2"/>
  <c r="Q1499" i="2"/>
  <c r="Q1500" i="2"/>
  <c r="Q1501" i="2"/>
  <c r="Q1502" i="2"/>
  <c r="Q1503" i="2"/>
  <c r="Q1504" i="2"/>
  <c r="Q1505" i="2"/>
  <c r="Q1506" i="2"/>
  <c r="Q1507" i="2"/>
  <c r="Q1508" i="2"/>
  <c r="Q1509" i="2"/>
  <c r="Q1510" i="2"/>
  <c r="Q1511" i="2"/>
  <c r="Q1512" i="2"/>
  <c r="Q1513" i="2"/>
  <c r="Q1514" i="2"/>
  <c r="Q1515" i="2"/>
  <c r="Q1516" i="2"/>
  <c r="Q1517" i="2"/>
  <c r="Q1518" i="2"/>
  <c r="Q1519" i="2"/>
  <c r="Q1520" i="2"/>
  <c r="Q1521" i="2"/>
  <c r="Q1522" i="2"/>
  <c r="Q1523" i="2"/>
  <c r="Q1524" i="2"/>
  <c r="Q1525" i="2"/>
  <c r="Q1526" i="2"/>
  <c r="Q1527" i="2"/>
  <c r="Q1528" i="2"/>
  <c r="Q1529" i="2"/>
  <c r="Q1530" i="2"/>
  <c r="Q1531" i="2"/>
  <c r="Q1532" i="2"/>
  <c r="Q1533" i="2"/>
  <c r="Q1534" i="2"/>
  <c r="Q1535" i="2"/>
  <c r="Q1536" i="2"/>
  <c r="Q1537" i="2"/>
  <c r="Q1538" i="2"/>
  <c r="Q1539" i="2"/>
  <c r="Q1540" i="2"/>
  <c r="Q1541" i="2"/>
  <c r="Q1542" i="2"/>
  <c r="Q1543" i="2"/>
  <c r="Q1544" i="2"/>
  <c r="Q1545" i="2"/>
  <c r="Q1546" i="2"/>
  <c r="Q1547" i="2"/>
  <c r="Q1548" i="2"/>
  <c r="Q1549" i="2"/>
  <c r="Q1550" i="2"/>
  <c r="Q1551" i="2"/>
  <c r="Q1552" i="2"/>
  <c r="Q1553" i="2"/>
  <c r="Q1554" i="2"/>
  <c r="Q1555" i="2"/>
  <c r="Q1556" i="2"/>
  <c r="Q1557" i="2"/>
  <c r="Q1558" i="2"/>
  <c r="Q1559" i="2"/>
  <c r="Q1560" i="2"/>
  <c r="Q1561" i="2"/>
  <c r="Q1562" i="2"/>
  <c r="Q1563" i="2"/>
  <c r="Q1564" i="2"/>
  <c r="Q1565" i="2"/>
  <c r="Q1566" i="2"/>
  <c r="Q1567" i="2"/>
  <c r="Q1568" i="2"/>
  <c r="Q1569" i="2"/>
  <c r="Q1570" i="2"/>
  <c r="Q1571" i="2"/>
  <c r="Q1572" i="2"/>
  <c r="Q1573" i="2"/>
  <c r="Q1574" i="2"/>
  <c r="Q1575" i="2"/>
  <c r="Q1576" i="2"/>
  <c r="Q1577" i="2"/>
  <c r="Q1578" i="2"/>
  <c r="Q1579" i="2"/>
  <c r="Q1580" i="2"/>
  <c r="Q1581" i="2"/>
  <c r="Q1582" i="2"/>
  <c r="Q1583" i="2"/>
  <c r="Q1584" i="2"/>
  <c r="Q1585" i="2"/>
  <c r="Q1586" i="2"/>
  <c r="Q1587" i="2"/>
  <c r="Q1588" i="2"/>
  <c r="Q1589" i="2"/>
  <c r="Q1590" i="2"/>
  <c r="Q1591" i="2"/>
  <c r="Q1592" i="2"/>
  <c r="Q1593" i="2"/>
  <c r="Q1594" i="2"/>
  <c r="Q1595" i="2"/>
  <c r="Q1596" i="2"/>
  <c r="Q1597" i="2"/>
  <c r="Q1598" i="2"/>
  <c r="Q1599" i="2"/>
  <c r="Q1600" i="2"/>
  <c r="Q1601" i="2"/>
  <c r="Q1602" i="2"/>
  <c r="Q1603" i="2"/>
  <c r="Q1604" i="2"/>
  <c r="Q1605" i="2"/>
  <c r="Q1606" i="2"/>
  <c r="Q1607" i="2"/>
  <c r="Q1608" i="2"/>
  <c r="Q1609" i="2"/>
  <c r="Q1610" i="2"/>
  <c r="Q1611" i="2"/>
  <c r="Q1612" i="2"/>
  <c r="Q1613" i="2"/>
  <c r="Q1614" i="2"/>
  <c r="Q1615" i="2"/>
  <c r="Q1616" i="2"/>
  <c r="Q1617" i="2"/>
  <c r="Q1618" i="2"/>
  <c r="Q1619" i="2"/>
  <c r="Q1620" i="2"/>
  <c r="Q1621" i="2"/>
  <c r="Q1622" i="2"/>
  <c r="Q1623" i="2"/>
  <c r="Q1624" i="2"/>
  <c r="Q1625" i="2"/>
  <c r="Q1626" i="2"/>
  <c r="Q1627" i="2"/>
  <c r="Q1628" i="2"/>
  <c r="Q1629" i="2"/>
  <c r="Q1630" i="2"/>
  <c r="Q1631" i="2"/>
  <c r="Q1632" i="2"/>
  <c r="Q1633" i="2"/>
  <c r="Q1634" i="2"/>
  <c r="Q1635" i="2"/>
  <c r="Q1636" i="2"/>
  <c r="Q1637" i="2"/>
  <c r="Q1638" i="2"/>
  <c r="Q1639" i="2"/>
  <c r="Q1640" i="2"/>
  <c r="Q1641" i="2"/>
  <c r="Q1642" i="2"/>
  <c r="Q1643" i="2"/>
  <c r="Q1644" i="2"/>
  <c r="Q1645" i="2"/>
  <c r="Q1646" i="2"/>
  <c r="Q1647" i="2"/>
  <c r="Q1648" i="2"/>
  <c r="Q1649" i="2"/>
  <c r="Q1650" i="2"/>
  <c r="Q1651" i="2"/>
  <c r="Q1652" i="2"/>
  <c r="Q1653" i="2"/>
  <c r="Q1654" i="2"/>
  <c r="Q1655" i="2"/>
  <c r="Q1656" i="2"/>
  <c r="Q1657" i="2"/>
  <c r="Q1658" i="2"/>
  <c r="Q1659" i="2"/>
  <c r="Q1660" i="2"/>
  <c r="Q1661" i="2"/>
  <c r="Q1662" i="2"/>
  <c r="Q1663" i="2"/>
  <c r="Q1664" i="2"/>
  <c r="Q1665" i="2"/>
  <c r="Q1666" i="2"/>
  <c r="Q1667" i="2"/>
  <c r="Q1668" i="2"/>
  <c r="Q1669" i="2"/>
  <c r="Q1670" i="2"/>
  <c r="Q1671" i="2"/>
  <c r="Q1672" i="2"/>
  <c r="Q1673" i="2"/>
  <c r="Q1674" i="2"/>
  <c r="Q1675" i="2"/>
  <c r="Q1676" i="2"/>
  <c r="Q1677" i="2"/>
  <c r="Q1678" i="2"/>
  <c r="Q1679" i="2"/>
  <c r="Q1680" i="2"/>
  <c r="Q1681" i="2"/>
  <c r="Q1682" i="2"/>
  <c r="Q1683" i="2"/>
  <c r="Q1684" i="2"/>
  <c r="Q1685" i="2"/>
  <c r="Q1686" i="2"/>
  <c r="Q1687" i="2"/>
  <c r="Q1688" i="2"/>
  <c r="Q1689" i="2"/>
  <c r="Q1690" i="2"/>
  <c r="Q1691" i="2"/>
  <c r="Q1692" i="2"/>
  <c r="Q1693" i="2"/>
  <c r="Q1694" i="2"/>
  <c r="Q1695" i="2"/>
  <c r="Q1696" i="2"/>
  <c r="Q1697" i="2"/>
  <c r="Q1698" i="2"/>
  <c r="Q1699" i="2"/>
  <c r="Q1700" i="2"/>
  <c r="Q1701" i="2"/>
  <c r="Q1702" i="2"/>
  <c r="Q1703" i="2"/>
  <c r="Q1704" i="2"/>
  <c r="Q1705" i="2"/>
  <c r="Q1706" i="2"/>
  <c r="Q1707" i="2"/>
  <c r="Q1708" i="2"/>
  <c r="Q1709" i="2"/>
  <c r="Q1710" i="2"/>
  <c r="Q1711" i="2"/>
  <c r="Q1712" i="2"/>
  <c r="Q1713" i="2"/>
  <c r="Q1714" i="2"/>
  <c r="Q1715" i="2"/>
  <c r="Q1716" i="2"/>
  <c r="Q1717" i="2"/>
  <c r="Q1718" i="2"/>
  <c r="Q1719" i="2"/>
  <c r="Q1720" i="2"/>
  <c r="Q1721" i="2"/>
  <c r="Q1722" i="2"/>
  <c r="Q1723" i="2"/>
  <c r="Q1724" i="2"/>
  <c r="Q1725" i="2"/>
  <c r="Q1726" i="2"/>
  <c r="Q1727" i="2"/>
  <c r="Q1728" i="2"/>
  <c r="Q1729" i="2"/>
  <c r="Q1730" i="2"/>
  <c r="Q1731" i="2"/>
  <c r="Q1732" i="2"/>
  <c r="Q1733" i="2"/>
  <c r="Q1734" i="2"/>
  <c r="Q1735" i="2"/>
  <c r="Q1736" i="2"/>
  <c r="Q1737" i="2"/>
  <c r="Q1738" i="2"/>
  <c r="Q1739" i="2"/>
  <c r="Q1740" i="2"/>
  <c r="Q1741" i="2"/>
  <c r="Q1742" i="2"/>
  <c r="Q1743" i="2"/>
  <c r="Q1744" i="2"/>
  <c r="Q1745" i="2"/>
  <c r="Q1746" i="2"/>
  <c r="Q1747" i="2"/>
  <c r="Q1748" i="2"/>
  <c r="Q1749" i="2"/>
  <c r="Q1750" i="2"/>
  <c r="Q1751" i="2"/>
  <c r="Q1752" i="2"/>
  <c r="Q1753" i="2"/>
  <c r="Q1754" i="2"/>
  <c r="Q1755" i="2"/>
  <c r="Q1756" i="2"/>
  <c r="Q1757" i="2"/>
  <c r="Q1758" i="2"/>
  <c r="Q1759" i="2"/>
  <c r="Q1760" i="2"/>
  <c r="Q1761" i="2"/>
  <c r="Q1762" i="2"/>
  <c r="Q1763" i="2"/>
  <c r="Q1764" i="2"/>
  <c r="Q1765" i="2"/>
  <c r="Q1766" i="2"/>
  <c r="Q1767" i="2"/>
  <c r="Q1768" i="2"/>
  <c r="Q1769" i="2"/>
  <c r="Q1770" i="2"/>
  <c r="Q1771" i="2"/>
  <c r="Q1772" i="2"/>
  <c r="Q1773" i="2"/>
  <c r="Q1774" i="2"/>
  <c r="Q1775" i="2"/>
  <c r="Q1776" i="2"/>
  <c r="Q1777" i="2"/>
  <c r="Q1778" i="2"/>
  <c r="Q1779" i="2"/>
  <c r="Q1780" i="2"/>
  <c r="Q1781" i="2"/>
  <c r="Q1782" i="2"/>
  <c r="Q1783" i="2"/>
  <c r="Q1784" i="2"/>
  <c r="Q1785" i="2"/>
  <c r="Q1786" i="2"/>
  <c r="Q1787" i="2"/>
  <c r="Q1788" i="2"/>
  <c r="Q1789" i="2"/>
  <c r="Q1790" i="2"/>
  <c r="Q1791" i="2"/>
  <c r="Q1792" i="2"/>
  <c r="Q1793" i="2"/>
  <c r="Q1794" i="2"/>
  <c r="Q1795" i="2"/>
  <c r="Q1796" i="2"/>
  <c r="Q1797" i="2"/>
  <c r="Q1798" i="2"/>
  <c r="Q1799" i="2"/>
  <c r="Q1800" i="2"/>
  <c r="Q1801" i="2"/>
  <c r="Q1802" i="2"/>
  <c r="Q1803" i="2"/>
  <c r="Q1804" i="2"/>
  <c r="Q1805" i="2"/>
  <c r="Q1806" i="2"/>
  <c r="Q1807" i="2"/>
  <c r="Q1808" i="2"/>
  <c r="Q1809" i="2"/>
  <c r="Q1810" i="2"/>
  <c r="Q1811" i="2"/>
  <c r="Q1812" i="2"/>
  <c r="Q1813" i="2"/>
  <c r="Q1814" i="2"/>
  <c r="Q1815" i="2"/>
  <c r="Q1816" i="2"/>
  <c r="Q1817" i="2"/>
  <c r="Q1818" i="2"/>
  <c r="Q1819" i="2"/>
  <c r="Q1820" i="2"/>
  <c r="Q1821" i="2"/>
  <c r="Q1822" i="2"/>
  <c r="Q1823" i="2"/>
  <c r="Q1824" i="2"/>
  <c r="Q1825" i="2"/>
  <c r="Q1826" i="2"/>
  <c r="Q1827" i="2"/>
  <c r="Q1828" i="2"/>
  <c r="Q1829" i="2"/>
  <c r="Q1830" i="2"/>
  <c r="Q1831" i="2"/>
  <c r="Q1832" i="2"/>
  <c r="Q1833" i="2"/>
  <c r="Q1834" i="2"/>
  <c r="Q1835" i="2"/>
  <c r="Q1836" i="2"/>
  <c r="Q1837" i="2"/>
  <c r="Q1838" i="2"/>
  <c r="Q1839" i="2"/>
  <c r="Q1840" i="2"/>
  <c r="Q1841" i="2"/>
  <c r="Q1842" i="2"/>
  <c r="Q1843" i="2"/>
  <c r="Q1844" i="2"/>
  <c r="Q1845" i="2"/>
  <c r="Q1846" i="2"/>
  <c r="Q1847" i="2"/>
  <c r="Q1848" i="2"/>
  <c r="Q1849" i="2"/>
  <c r="Q1850" i="2"/>
  <c r="Q1851" i="2"/>
  <c r="Q1852" i="2"/>
  <c r="Q1853" i="2"/>
  <c r="Q1854" i="2"/>
  <c r="Q1855" i="2"/>
  <c r="Q1856" i="2"/>
  <c r="Q1857" i="2"/>
  <c r="Q1858" i="2"/>
  <c r="Q1859" i="2"/>
  <c r="Q1860" i="2"/>
  <c r="Q1861" i="2"/>
  <c r="Q1862" i="2"/>
  <c r="Q1863" i="2"/>
  <c r="Q1864" i="2"/>
  <c r="Q1865" i="2"/>
  <c r="Q1866" i="2"/>
  <c r="Q1867" i="2"/>
  <c r="Q1868" i="2"/>
  <c r="Q1869" i="2"/>
  <c r="Q1870" i="2"/>
  <c r="Q1871" i="2"/>
  <c r="Q1872" i="2"/>
  <c r="Q1873" i="2"/>
  <c r="Q1874" i="2"/>
  <c r="Q1875" i="2"/>
  <c r="Q1876" i="2"/>
  <c r="Q1877" i="2"/>
  <c r="Q1878" i="2"/>
  <c r="Q1879" i="2"/>
  <c r="Q1880" i="2"/>
  <c r="Q1881" i="2"/>
  <c r="Q1882" i="2"/>
  <c r="Q1883" i="2"/>
  <c r="Q1884" i="2"/>
  <c r="Q1885" i="2"/>
  <c r="Q1886" i="2"/>
  <c r="Q1887" i="2"/>
  <c r="Q1888" i="2"/>
  <c r="Q1889" i="2"/>
  <c r="Q1890" i="2"/>
  <c r="Q1891" i="2"/>
  <c r="Q1892" i="2"/>
  <c r="Q1893" i="2"/>
  <c r="Q1894" i="2"/>
  <c r="Q1895" i="2"/>
  <c r="Q1896" i="2"/>
  <c r="Q1897" i="2"/>
  <c r="Q1898" i="2"/>
  <c r="Q1899" i="2"/>
  <c r="Q1900" i="2"/>
  <c r="Q1901" i="2"/>
  <c r="Q1902" i="2"/>
  <c r="Q1903" i="2"/>
  <c r="Q1904" i="2"/>
  <c r="Q1905" i="2"/>
  <c r="Q1906" i="2"/>
  <c r="Q1907" i="2"/>
  <c r="Q1908" i="2"/>
  <c r="Q1909" i="2"/>
  <c r="Q1910" i="2"/>
  <c r="Q1911" i="2"/>
  <c r="Q1912" i="2"/>
  <c r="Q1913" i="2"/>
  <c r="Q1914" i="2"/>
  <c r="Q1915" i="2"/>
  <c r="Q1916" i="2"/>
  <c r="Q1917" i="2"/>
  <c r="Q1918" i="2"/>
  <c r="Q1919" i="2"/>
  <c r="Q1920" i="2"/>
  <c r="Q1921" i="2"/>
  <c r="Q1922" i="2"/>
  <c r="Q1923" i="2"/>
  <c r="Q1924" i="2"/>
  <c r="Q1925" i="2"/>
  <c r="Q1926" i="2"/>
  <c r="Q1927" i="2"/>
  <c r="Q1928" i="2"/>
  <c r="Q1929" i="2"/>
  <c r="Q1930" i="2"/>
  <c r="Q1931" i="2"/>
  <c r="Q1932" i="2"/>
  <c r="Q1933" i="2"/>
  <c r="Q1934" i="2"/>
  <c r="Q1935" i="2"/>
  <c r="Q1936" i="2"/>
  <c r="Q1937" i="2"/>
  <c r="Q1938" i="2"/>
  <c r="Q1939" i="2"/>
  <c r="Q1940" i="2"/>
  <c r="Q1941" i="2"/>
  <c r="Q1942" i="2"/>
  <c r="Q1943" i="2"/>
  <c r="Q1944" i="2"/>
  <c r="Q1945" i="2"/>
  <c r="Q1946" i="2"/>
  <c r="Q1947" i="2"/>
  <c r="Q1948" i="2"/>
  <c r="Q1949" i="2"/>
  <c r="Q1950" i="2"/>
  <c r="Q1951" i="2"/>
  <c r="Q1952" i="2"/>
  <c r="Q1953" i="2"/>
  <c r="Q1954" i="2"/>
  <c r="Q1955" i="2"/>
  <c r="Q1956" i="2"/>
  <c r="Q1957" i="2"/>
  <c r="Q1958" i="2"/>
  <c r="Q1959" i="2"/>
  <c r="Q1960" i="2"/>
  <c r="Q1961" i="2"/>
  <c r="Q1962" i="2"/>
  <c r="Q1963" i="2"/>
  <c r="Q1964" i="2"/>
  <c r="Q1965" i="2"/>
  <c r="Q1966" i="2"/>
  <c r="Q1967" i="2"/>
  <c r="Q1968" i="2"/>
  <c r="Q1969" i="2"/>
  <c r="Q1970" i="2"/>
  <c r="Q1971" i="2"/>
  <c r="Q1972" i="2"/>
  <c r="Q1973" i="2"/>
  <c r="Q1974" i="2"/>
  <c r="Q1975" i="2"/>
  <c r="Q1976" i="2"/>
  <c r="Q1977" i="2"/>
  <c r="Q1978" i="2"/>
  <c r="Q1979" i="2"/>
  <c r="Q1980" i="2"/>
  <c r="Q1981" i="2"/>
  <c r="Q1982" i="2"/>
  <c r="Q1983" i="2"/>
  <c r="Q1984" i="2"/>
  <c r="Q1985" i="2"/>
  <c r="Q1986" i="2"/>
  <c r="Q1987" i="2"/>
  <c r="Q1988" i="2"/>
  <c r="Q1989" i="2"/>
  <c r="Q1990" i="2"/>
  <c r="Q1991" i="2"/>
  <c r="Q1992" i="2"/>
  <c r="Q1993" i="2"/>
  <c r="Q1994" i="2"/>
  <c r="Q1995" i="2"/>
  <c r="Q1996" i="2"/>
  <c r="Q1997" i="2"/>
  <c r="Q1998" i="2"/>
  <c r="Q1999" i="2"/>
  <c r="Q2000" i="2"/>
  <c r="Q2001" i="2"/>
  <c r="Q2002" i="2"/>
  <c r="Q2003" i="2"/>
  <c r="Q2004" i="2"/>
  <c r="Q2005" i="2"/>
  <c r="Q2006" i="2"/>
  <c r="Q2007" i="2"/>
  <c r="Q2008" i="2"/>
  <c r="Q2009" i="2"/>
  <c r="Q2010" i="2"/>
  <c r="Q2011" i="2"/>
  <c r="Q2012" i="2"/>
  <c r="Q2013" i="2"/>
  <c r="Q2014" i="2"/>
  <c r="Q2015" i="2"/>
  <c r="Q2016" i="2"/>
  <c r="Q2017" i="2"/>
  <c r="Q2018" i="2"/>
  <c r="Q2019" i="2"/>
  <c r="Q2020" i="2"/>
  <c r="Q2021" i="2"/>
  <c r="Q2022" i="2"/>
  <c r="Q2023" i="2"/>
  <c r="Q2024" i="2"/>
  <c r="Q2025" i="2"/>
  <c r="Q2026" i="2"/>
  <c r="Q2027" i="2"/>
  <c r="Q2028" i="2"/>
  <c r="Q2029" i="2"/>
  <c r="Q2030" i="2"/>
  <c r="Q2031" i="2"/>
  <c r="Q2032" i="2"/>
  <c r="Q2033" i="2"/>
  <c r="Q2034" i="2"/>
  <c r="Q2035" i="2"/>
  <c r="Q2036" i="2"/>
  <c r="Q2037" i="2"/>
  <c r="Q2038" i="2"/>
  <c r="Q2039" i="2"/>
  <c r="Q2040" i="2"/>
  <c r="Q2041" i="2"/>
  <c r="Q2042" i="2"/>
  <c r="Q2043" i="2"/>
  <c r="Q2044" i="2"/>
  <c r="Q2045" i="2"/>
  <c r="Q2046" i="2"/>
  <c r="Q2047" i="2"/>
  <c r="Q2048" i="2"/>
  <c r="Q2049" i="2"/>
  <c r="Q2050" i="2"/>
  <c r="Q2051" i="2"/>
  <c r="Q2052" i="2"/>
  <c r="Q2053" i="2"/>
  <c r="Q2054" i="2"/>
  <c r="Q2055" i="2"/>
  <c r="Q2056" i="2"/>
  <c r="Q2057" i="2"/>
  <c r="Q2058" i="2"/>
  <c r="Q2059" i="2"/>
  <c r="Q2060" i="2"/>
  <c r="Q2061" i="2"/>
  <c r="Q2062" i="2"/>
  <c r="Q2063" i="2"/>
  <c r="Q2064" i="2"/>
  <c r="Q2065" i="2"/>
  <c r="Q2066" i="2"/>
  <c r="Q2067" i="2"/>
  <c r="Q2068" i="2"/>
  <c r="Q2069" i="2"/>
  <c r="Q2070" i="2"/>
  <c r="Q2071" i="2"/>
  <c r="Q2072" i="2"/>
  <c r="Q2073" i="2"/>
  <c r="Q2074" i="2"/>
  <c r="Q2075" i="2"/>
  <c r="Q2076" i="2"/>
  <c r="Q2077" i="2"/>
  <c r="Q2078" i="2"/>
  <c r="Q2079" i="2"/>
  <c r="Q2080" i="2"/>
  <c r="Q2081" i="2"/>
  <c r="Q2082" i="2"/>
  <c r="Q2083" i="2"/>
  <c r="Q2084" i="2"/>
  <c r="Q2085" i="2"/>
  <c r="Q2086" i="2"/>
  <c r="Q2087" i="2"/>
  <c r="Q2088" i="2"/>
  <c r="Q2089" i="2"/>
  <c r="Q2090" i="2"/>
  <c r="Q2091" i="2"/>
  <c r="Q2092" i="2"/>
  <c r="Q2093" i="2"/>
  <c r="Q2094" i="2"/>
  <c r="Q2095" i="2"/>
  <c r="Q2096" i="2"/>
  <c r="Q2097" i="2"/>
  <c r="Q2098" i="2"/>
  <c r="Q2099" i="2"/>
  <c r="Q2100" i="2"/>
  <c r="Q2101" i="2"/>
  <c r="Q2102" i="2"/>
  <c r="Q2103" i="2"/>
  <c r="Q2104" i="2"/>
  <c r="Q2105" i="2"/>
  <c r="Q2106" i="2"/>
  <c r="Q2107" i="2"/>
  <c r="Q2108" i="2"/>
  <c r="Q2109" i="2"/>
  <c r="Q2110" i="2"/>
  <c r="Q2111" i="2"/>
  <c r="Q2112" i="2"/>
  <c r="Q2113" i="2"/>
  <c r="Q2114" i="2"/>
  <c r="Q2115" i="2"/>
  <c r="Q2116" i="2"/>
  <c r="Q2117" i="2"/>
  <c r="Q2118" i="2"/>
  <c r="Q2119" i="2"/>
  <c r="Q2120" i="2"/>
  <c r="Q2121" i="2"/>
  <c r="Q2122" i="2"/>
  <c r="Q2123" i="2"/>
  <c r="Q2124" i="2"/>
  <c r="Q2125" i="2"/>
  <c r="Q2126" i="2"/>
  <c r="Q2127" i="2"/>
  <c r="Q2128" i="2"/>
  <c r="Q2129" i="2"/>
  <c r="Q2130" i="2"/>
  <c r="Q2131" i="2"/>
  <c r="Q2132" i="2"/>
  <c r="Q2133" i="2"/>
  <c r="Q2134" i="2"/>
  <c r="Q2135" i="2"/>
  <c r="Q2136" i="2"/>
  <c r="Q2137" i="2"/>
  <c r="Q2138" i="2"/>
  <c r="Q2139" i="2"/>
  <c r="Q2140" i="2"/>
  <c r="Q2141" i="2"/>
  <c r="Q2142" i="2"/>
  <c r="Q2143" i="2"/>
  <c r="Q2144" i="2"/>
  <c r="Q2145" i="2"/>
  <c r="Q2146" i="2"/>
  <c r="Q2147" i="2"/>
  <c r="Q2148" i="2"/>
  <c r="Q2149" i="2"/>
  <c r="Q2150" i="2"/>
  <c r="Q2151" i="2"/>
  <c r="Q2152" i="2"/>
  <c r="Q2153" i="2"/>
  <c r="Q2154" i="2"/>
  <c r="Q2155" i="2"/>
  <c r="Q2156" i="2"/>
  <c r="Q2157" i="2"/>
  <c r="Q2158" i="2"/>
  <c r="Q2159" i="2"/>
  <c r="Q2160" i="2"/>
  <c r="Q2161" i="2"/>
  <c r="Q2162" i="2"/>
  <c r="Q2163" i="2"/>
  <c r="Q2164" i="2"/>
  <c r="Q2165" i="2"/>
  <c r="Q2166" i="2"/>
  <c r="Q2167" i="2"/>
  <c r="Q2168" i="2"/>
  <c r="Q2169" i="2"/>
  <c r="Q2170" i="2"/>
  <c r="Q2171" i="2"/>
  <c r="Q2172" i="2"/>
  <c r="Q2173" i="2"/>
  <c r="Q2174" i="2"/>
  <c r="Q2175" i="2"/>
  <c r="Q2176" i="2"/>
  <c r="Q2177" i="2"/>
  <c r="Q2178" i="2"/>
  <c r="Q2179" i="2"/>
  <c r="Q2180" i="2"/>
  <c r="Q2181" i="2"/>
  <c r="Q2182" i="2"/>
  <c r="Q2183" i="2"/>
  <c r="Q2184" i="2"/>
  <c r="Q2185" i="2"/>
  <c r="Q2186" i="2"/>
  <c r="Q2187" i="2"/>
  <c r="Q2188" i="2"/>
  <c r="Q2189" i="2"/>
  <c r="Q2190" i="2"/>
  <c r="Q2191" i="2"/>
  <c r="Q2192" i="2"/>
  <c r="Q2193" i="2"/>
  <c r="Q2194" i="2"/>
  <c r="Q2195" i="2"/>
  <c r="Q2196" i="2"/>
  <c r="Q2197" i="2"/>
  <c r="Q2198" i="2"/>
  <c r="Q2199" i="2"/>
  <c r="Q2200" i="2"/>
  <c r="Q2201" i="2"/>
  <c r="Q2202" i="2"/>
  <c r="Q2203" i="2"/>
  <c r="Q2204" i="2"/>
  <c r="Q2205" i="2"/>
  <c r="Q2206" i="2"/>
  <c r="Q2207" i="2"/>
  <c r="Q2208" i="2"/>
  <c r="Q2209" i="2"/>
  <c r="Q2210" i="2"/>
  <c r="Q2211" i="2"/>
  <c r="Q2212" i="2"/>
  <c r="Q2213" i="2"/>
  <c r="Q2214" i="2"/>
  <c r="Q2215" i="2"/>
  <c r="Q2216" i="2"/>
  <c r="Q2217" i="2"/>
  <c r="Q2218" i="2"/>
  <c r="Q2219" i="2"/>
  <c r="Q2220" i="2"/>
  <c r="Q2221" i="2"/>
  <c r="Q2222" i="2"/>
  <c r="Q2223" i="2"/>
  <c r="Q2224" i="2"/>
  <c r="Q2225" i="2"/>
  <c r="Q2226" i="2"/>
  <c r="Q2227" i="2"/>
  <c r="Q2228" i="2"/>
  <c r="Q2229" i="2"/>
  <c r="Q2230" i="2"/>
  <c r="Q2231" i="2"/>
  <c r="Q2232" i="2"/>
  <c r="Q2233" i="2"/>
  <c r="Q2234" i="2"/>
  <c r="Q2235" i="2"/>
  <c r="Q2236" i="2"/>
  <c r="Q2237" i="2"/>
  <c r="Q2238" i="2"/>
  <c r="Q2239" i="2"/>
  <c r="Q2240" i="2"/>
  <c r="Q2241" i="2"/>
  <c r="Q2242" i="2"/>
  <c r="Q2243" i="2"/>
  <c r="Q2244" i="2"/>
  <c r="Q2245" i="2"/>
  <c r="Q2246" i="2"/>
  <c r="Q2247" i="2"/>
  <c r="Q2248" i="2"/>
  <c r="Q2249" i="2"/>
  <c r="Q2250" i="2"/>
  <c r="Q2251" i="2"/>
  <c r="Q2252" i="2"/>
  <c r="Q2253" i="2"/>
  <c r="Q2254" i="2"/>
  <c r="Q2255" i="2"/>
  <c r="Q2256" i="2"/>
  <c r="Q2257" i="2"/>
  <c r="Q2258" i="2"/>
  <c r="Q2259" i="2"/>
  <c r="Q2260" i="2"/>
  <c r="Q2261" i="2"/>
  <c r="Q2262" i="2"/>
  <c r="Q2263" i="2"/>
  <c r="Q2264" i="2"/>
  <c r="Q2265" i="2"/>
  <c r="Q2266" i="2"/>
  <c r="Q2267" i="2"/>
  <c r="Q2268" i="2"/>
  <c r="Q2269" i="2"/>
  <c r="Q2270" i="2"/>
  <c r="Q2271" i="2"/>
  <c r="Q2272" i="2"/>
  <c r="Q2273" i="2"/>
  <c r="Q2274" i="2"/>
  <c r="Q2275" i="2"/>
  <c r="Q2276" i="2"/>
  <c r="Q2277" i="2"/>
  <c r="Q2278" i="2"/>
  <c r="Q2279" i="2"/>
  <c r="Q2280" i="2"/>
  <c r="Q2281" i="2"/>
  <c r="Q2282" i="2"/>
  <c r="Q2283" i="2"/>
  <c r="Q2284" i="2"/>
  <c r="Q2285" i="2"/>
  <c r="Q2286" i="2"/>
  <c r="Q2287" i="2"/>
  <c r="Q2288" i="2"/>
  <c r="Q2289" i="2"/>
  <c r="Q2290" i="2"/>
  <c r="Q2291" i="2"/>
  <c r="Q2292" i="2"/>
  <c r="Q2293" i="2"/>
  <c r="Q2294" i="2"/>
  <c r="Q2295" i="2"/>
  <c r="Q2296" i="2"/>
  <c r="Q2297" i="2"/>
  <c r="Q2298" i="2"/>
  <c r="Q2299" i="2"/>
  <c r="Q2300" i="2"/>
  <c r="Q2301" i="2"/>
  <c r="Q2302" i="2"/>
  <c r="Q2303" i="2"/>
  <c r="Q2304" i="2"/>
  <c r="Q2305" i="2"/>
  <c r="Q2306" i="2"/>
  <c r="Q2307" i="2"/>
  <c r="Q2308" i="2"/>
  <c r="Q2309" i="2"/>
  <c r="Q2310" i="2"/>
  <c r="Q2311" i="2"/>
  <c r="Q2312" i="2"/>
  <c r="Q2313" i="2"/>
  <c r="Q2314" i="2"/>
  <c r="Q2315" i="2"/>
  <c r="Q2316" i="2"/>
  <c r="Q2317" i="2"/>
  <c r="Q2318" i="2"/>
  <c r="Q2319" i="2"/>
  <c r="Q2320" i="2"/>
  <c r="Q2321" i="2"/>
  <c r="Q2322" i="2"/>
  <c r="Q2323" i="2"/>
  <c r="Q2324" i="2"/>
  <c r="Q2325" i="2"/>
  <c r="Q2326" i="2"/>
  <c r="Q2327" i="2"/>
  <c r="Q2328" i="2"/>
  <c r="Q2329" i="2"/>
  <c r="Q2330" i="2"/>
  <c r="Q2331" i="2"/>
  <c r="Q2332" i="2"/>
  <c r="Q2333" i="2"/>
  <c r="Q2334" i="2"/>
  <c r="Q2335" i="2"/>
  <c r="Q2336" i="2"/>
  <c r="Q2337" i="2"/>
  <c r="Q2338" i="2"/>
  <c r="Q2339" i="2"/>
  <c r="Q2340" i="2"/>
  <c r="Q2341" i="2"/>
  <c r="Q2342" i="2"/>
  <c r="Q2343" i="2"/>
  <c r="Q2344" i="2"/>
  <c r="Q2345" i="2"/>
  <c r="Q2346" i="2"/>
  <c r="Q2347" i="2"/>
  <c r="Q2348" i="2"/>
  <c r="Q2349" i="2"/>
  <c r="Q2350" i="2"/>
  <c r="Q2351" i="2"/>
  <c r="Q2352" i="2"/>
  <c r="Q2353" i="2"/>
  <c r="Q2354" i="2"/>
  <c r="Q2355" i="2"/>
  <c r="Q2356" i="2"/>
  <c r="Q2357" i="2"/>
  <c r="Q2358" i="2"/>
  <c r="Q2359" i="2"/>
  <c r="Q2360" i="2"/>
  <c r="Q2361" i="2"/>
  <c r="Q2362" i="2"/>
  <c r="Q2363" i="2"/>
  <c r="Q2364" i="2"/>
  <c r="Q2365" i="2"/>
  <c r="Q2366" i="2"/>
  <c r="Q2367" i="2"/>
  <c r="Q2368" i="2"/>
  <c r="Q2369" i="2"/>
  <c r="Q2370" i="2"/>
  <c r="Q2371" i="2"/>
  <c r="Q2372" i="2"/>
  <c r="Q2373" i="2"/>
  <c r="Q2374" i="2"/>
  <c r="Q2375" i="2"/>
  <c r="Q2376" i="2"/>
  <c r="Q2377" i="2"/>
  <c r="Q2378" i="2"/>
  <c r="Q2379" i="2"/>
  <c r="Q2380" i="2"/>
  <c r="Q2381" i="2"/>
  <c r="Q2382" i="2"/>
  <c r="Q2383" i="2"/>
  <c r="Q2384" i="2"/>
  <c r="Q2385" i="2"/>
  <c r="Q2386" i="2"/>
  <c r="Q2387" i="2"/>
  <c r="Q2388" i="2"/>
  <c r="O2" i="2"/>
  <c r="O3" i="2"/>
  <c r="O4" i="2"/>
  <c r="O5" i="2"/>
  <c r="O6" i="2"/>
  <c r="O7" i="2"/>
  <c r="O8" i="2"/>
  <c r="O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39" i="2"/>
  <c r="O40" i="2"/>
  <c r="O41" i="2"/>
  <c r="O42" i="2"/>
  <c r="O43" i="2"/>
  <c r="O44" i="2"/>
  <c r="O45" i="2"/>
  <c r="O46" i="2"/>
  <c r="O47" i="2"/>
  <c r="O48" i="2"/>
  <c r="O49" i="2"/>
  <c r="O50" i="2"/>
  <c r="O51" i="2"/>
  <c r="O52" i="2"/>
  <c r="O53" i="2"/>
  <c r="O54" i="2"/>
  <c r="O55" i="2"/>
  <c r="O56" i="2"/>
  <c r="O57" i="2"/>
  <c r="O58" i="2"/>
  <c r="O59" i="2"/>
  <c r="O60" i="2"/>
  <c r="O61" i="2"/>
  <c r="O62" i="2"/>
  <c r="O63" i="2"/>
  <c r="O64" i="2"/>
  <c r="O65" i="2"/>
  <c r="O66" i="2"/>
  <c r="O67" i="2"/>
  <c r="O68" i="2"/>
  <c r="O69" i="2"/>
  <c r="O70" i="2"/>
  <c r="O71" i="2"/>
  <c r="O72" i="2"/>
  <c r="O73" i="2"/>
  <c r="O74" i="2"/>
  <c r="O75" i="2"/>
  <c r="O76" i="2"/>
  <c r="O77" i="2"/>
  <c r="O78" i="2"/>
  <c r="O79" i="2"/>
  <c r="O80" i="2"/>
  <c r="O81" i="2"/>
  <c r="O82" i="2"/>
  <c r="O83" i="2"/>
  <c r="O84" i="2"/>
  <c r="O85" i="2"/>
  <c r="O86" i="2"/>
  <c r="O87" i="2"/>
  <c r="O88" i="2"/>
  <c r="O89" i="2"/>
  <c r="O90" i="2"/>
  <c r="O91" i="2"/>
  <c r="O92" i="2"/>
  <c r="O93" i="2"/>
  <c r="O94" i="2"/>
  <c r="O95" i="2"/>
  <c r="O96" i="2"/>
  <c r="O97" i="2"/>
  <c r="O98" i="2"/>
  <c r="O99" i="2"/>
  <c r="O100" i="2"/>
  <c r="O101" i="2"/>
  <c r="O102" i="2"/>
  <c r="O103" i="2"/>
  <c r="O104" i="2"/>
  <c r="O105" i="2"/>
  <c r="O106" i="2"/>
  <c r="O107" i="2"/>
  <c r="O108" i="2"/>
  <c r="O109" i="2"/>
  <c r="O110" i="2"/>
  <c r="O111" i="2"/>
  <c r="O112" i="2"/>
  <c r="O113" i="2"/>
  <c r="O114" i="2"/>
  <c r="O115" i="2"/>
  <c r="O116" i="2"/>
  <c r="O117" i="2"/>
  <c r="O118" i="2"/>
  <c r="O119" i="2"/>
  <c r="O120" i="2"/>
  <c r="O121" i="2"/>
  <c r="O122" i="2"/>
  <c r="O123" i="2"/>
  <c r="O124" i="2"/>
  <c r="O125" i="2"/>
  <c r="O126" i="2"/>
  <c r="O127" i="2"/>
  <c r="O128" i="2"/>
  <c r="O129" i="2"/>
  <c r="O130" i="2"/>
  <c r="O131" i="2"/>
  <c r="O132" i="2"/>
  <c r="O133" i="2"/>
  <c r="O134" i="2"/>
  <c r="O135" i="2"/>
  <c r="O136" i="2"/>
  <c r="O137" i="2"/>
  <c r="O138" i="2"/>
  <c r="O139" i="2"/>
  <c r="O140" i="2"/>
  <c r="O141" i="2"/>
  <c r="O142" i="2"/>
  <c r="O143" i="2"/>
  <c r="O144" i="2"/>
  <c r="O145" i="2"/>
  <c r="O146" i="2"/>
  <c r="O147" i="2"/>
  <c r="O148" i="2"/>
  <c r="O149" i="2"/>
  <c r="O150" i="2"/>
  <c r="O151" i="2"/>
  <c r="O152" i="2"/>
  <c r="O153" i="2"/>
  <c r="O154" i="2"/>
  <c r="O155" i="2"/>
  <c r="O156" i="2"/>
  <c r="O157" i="2"/>
  <c r="O158" i="2"/>
  <c r="O159" i="2"/>
  <c r="O160" i="2"/>
  <c r="O161" i="2"/>
  <c r="O162" i="2"/>
  <c r="O163" i="2"/>
  <c r="O164" i="2"/>
  <c r="O165" i="2"/>
  <c r="O166" i="2"/>
  <c r="O167" i="2"/>
  <c r="O168" i="2"/>
  <c r="O169" i="2"/>
  <c r="O170" i="2"/>
  <c r="O171" i="2"/>
  <c r="O172" i="2"/>
  <c r="O173" i="2"/>
  <c r="O174" i="2"/>
  <c r="O175" i="2"/>
  <c r="O176" i="2"/>
  <c r="O177" i="2"/>
  <c r="O178" i="2"/>
  <c r="O179" i="2"/>
  <c r="O180" i="2"/>
  <c r="O181" i="2"/>
  <c r="O182" i="2"/>
  <c r="O183" i="2"/>
  <c r="O184" i="2"/>
  <c r="O185" i="2"/>
  <c r="O186" i="2"/>
  <c r="O187" i="2"/>
  <c r="O188" i="2"/>
  <c r="O189" i="2"/>
  <c r="O190" i="2"/>
  <c r="O191" i="2"/>
  <c r="O192" i="2"/>
  <c r="O193" i="2"/>
  <c r="O194" i="2"/>
  <c r="O195" i="2"/>
  <c r="O196" i="2"/>
  <c r="O197" i="2"/>
  <c r="O198" i="2"/>
  <c r="O199" i="2"/>
  <c r="O200" i="2"/>
  <c r="O201" i="2"/>
  <c r="O202" i="2"/>
  <c r="O203" i="2"/>
  <c r="O204" i="2"/>
  <c r="O205" i="2"/>
  <c r="O206" i="2"/>
  <c r="O207" i="2"/>
  <c r="O208" i="2"/>
  <c r="O209" i="2"/>
  <c r="O210" i="2"/>
  <c r="O211" i="2"/>
  <c r="O212" i="2"/>
  <c r="O213" i="2"/>
  <c r="O214" i="2"/>
  <c r="O215" i="2"/>
  <c r="O216" i="2"/>
  <c r="O217" i="2"/>
  <c r="O218" i="2"/>
  <c r="O219" i="2"/>
  <c r="O220" i="2"/>
  <c r="O221" i="2"/>
  <c r="O222" i="2"/>
  <c r="O223" i="2"/>
  <c r="O224" i="2"/>
  <c r="O225" i="2"/>
  <c r="O226" i="2"/>
  <c r="O227" i="2"/>
  <c r="O228" i="2"/>
  <c r="O229" i="2"/>
  <c r="O230" i="2"/>
  <c r="O231" i="2"/>
  <c r="O232" i="2"/>
  <c r="O233" i="2"/>
  <c r="O234" i="2"/>
  <c r="O235" i="2"/>
  <c r="O236" i="2"/>
  <c r="O237" i="2"/>
  <c r="O238" i="2"/>
  <c r="O239" i="2"/>
  <c r="O240" i="2"/>
  <c r="O241" i="2"/>
  <c r="O242" i="2"/>
  <c r="O243" i="2"/>
  <c r="O244" i="2"/>
  <c r="O245" i="2"/>
  <c r="O246" i="2"/>
  <c r="O247" i="2"/>
  <c r="O248" i="2"/>
  <c r="O249" i="2"/>
  <c r="O250" i="2"/>
  <c r="O251" i="2"/>
  <c r="O252" i="2"/>
  <c r="O253" i="2"/>
  <c r="O254" i="2"/>
  <c r="O255" i="2"/>
  <c r="O256" i="2"/>
  <c r="O257" i="2"/>
  <c r="O258" i="2"/>
  <c r="O259" i="2"/>
  <c r="O260" i="2"/>
  <c r="O261" i="2"/>
  <c r="O262" i="2"/>
  <c r="O263" i="2"/>
  <c r="O264" i="2"/>
  <c r="O265" i="2"/>
  <c r="O266" i="2"/>
  <c r="O267" i="2"/>
  <c r="O268" i="2"/>
  <c r="O269" i="2"/>
  <c r="O270" i="2"/>
  <c r="O271" i="2"/>
  <c r="O272" i="2"/>
  <c r="O273" i="2"/>
  <c r="O274" i="2"/>
  <c r="O275" i="2"/>
  <c r="O276" i="2"/>
  <c r="O277" i="2"/>
  <c r="O278" i="2"/>
  <c r="O279" i="2"/>
  <c r="O280" i="2"/>
  <c r="O281" i="2"/>
  <c r="O282" i="2"/>
  <c r="O283" i="2"/>
  <c r="O284" i="2"/>
  <c r="O285" i="2"/>
  <c r="O286" i="2"/>
  <c r="O287" i="2"/>
  <c r="O288" i="2"/>
  <c r="O289" i="2"/>
  <c r="O290" i="2"/>
  <c r="O291" i="2"/>
  <c r="O292" i="2"/>
  <c r="O293" i="2"/>
  <c r="O294" i="2"/>
  <c r="O295" i="2"/>
  <c r="O296" i="2"/>
  <c r="O297" i="2"/>
  <c r="O298" i="2"/>
  <c r="O299" i="2"/>
  <c r="O300" i="2"/>
  <c r="O301" i="2"/>
  <c r="O302" i="2"/>
  <c r="O303" i="2"/>
  <c r="O304" i="2"/>
  <c r="O305" i="2"/>
  <c r="O306" i="2"/>
  <c r="O307" i="2"/>
  <c r="O308" i="2"/>
  <c r="O309" i="2"/>
  <c r="O310" i="2"/>
  <c r="O311" i="2"/>
  <c r="O312" i="2"/>
  <c r="O313" i="2"/>
  <c r="O314" i="2"/>
  <c r="O315" i="2"/>
  <c r="O316" i="2"/>
  <c r="O317" i="2"/>
  <c r="O318" i="2"/>
  <c r="O319" i="2"/>
  <c r="O320" i="2"/>
  <c r="O321" i="2"/>
  <c r="O322" i="2"/>
  <c r="O323" i="2"/>
  <c r="O324" i="2"/>
  <c r="O325" i="2"/>
  <c r="O326" i="2"/>
  <c r="O327" i="2"/>
  <c r="O328" i="2"/>
  <c r="O329" i="2"/>
  <c r="O330" i="2"/>
  <c r="O331" i="2"/>
  <c r="O332" i="2"/>
  <c r="O333" i="2"/>
  <c r="O334" i="2"/>
  <c r="O335" i="2"/>
  <c r="O336" i="2"/>
  <c r="O337" i="2"/>
  <c r="O338" i="2"/>
  <c r="O339" i="2"/>
  <c r="O340" i="2"/>
  <c r="O341" i="2"/>
  <c r="O342" i="2"/>
  <c r="O343" i="2"/>
  <c r="O344" i="2"/>
  <c r="O345" i="2"/>
  <c r="O346" i="2"/>
  <c r="O347" i="2"/>
  <c r="O348" i="2"/>
  <c r="O349" i="2"/>
  <c r="O350" i="2"/>
  <c r="O351" i="2"/>
  <c r="O352" i="2"/>
  <c r="O353" i="2"/>
  <c r="O354" i="2"/>
  <c r="O355" i="2"/>
  <c r="O356" i="2"/>
  <c r="O357" i="2"/>
  <c r="O358" i="2"/>
  <c r="O359" i="2"/>
  <c r="O360" i="2"/>
  <c r="O361" i="2"/>
  <c r="O362" i="2"/>
  <c r="O363" i="2"/>
  <c r="O364" i="2"/>
  <c r="O365" i="2"/>
  <c r="O366" i="2"/>
  <c r="O367" i="2"/>
  <c r="O368" i="2"/>
  <c r="O369" i="2"/>
  <c r="O370" i="2"/>
  <c r="O371" i="2"/>
  <c r="O372" i="2"/>
  <c r="O373" i="2"/>
  <c r="O374" i="2"/>
  <c r="O375" i="2"/>
  <c r="O376" i="2"/>
  <c r="O377" i="2"/>
  <c r="O378" i="2"/>
  <c r="O379" i="2"/>
  <c r="O380" i="2"/>
  <c r="O381" i="2"/>
  <c r="O382" i="2"/>
  <c r="O383" i="2"/>
  <c r="O384" i="2"/>
  <c r="O385" i="2"/>
  <c r="O386" i="2"/>
  <c r="O387" i="2"/>
  <c r="O388" i="2"/>
  <c r="O389" i="2"/>
  <c r="O390" i="2"/>
  <c r="O391" i="2"/>
  <c r="O392" i="2"/>
  <c r="O393" i="2"/>
  <c r="O394" i="2"/>
  <c r="O395" i="2"/>
  <c r="O396" i="2"/>
  <c r="O397" i="2"/>
  <c r="O398" i="2"/>
  <c r="O399" i="2"/>
  <c r="O400" i="2"/>
  <c r="O401" i="2"/>
  <c r="O402" i="2"/>
  <c r="O403" i="2"/>
  <c r="O404" i="2"/>
  <c r="O405" i="2"/>
  <c r="O406" i="2"/>
  <c r="O407" i="2"/>
  <c r="O408" i="2"/>
  <c r="O409" i="2"/>
  <c r="O410" i="2"/>
  <c r="O411" i="2"/>
  <c r="O412" i="2"/>
  <c r="O413" i="2"/>
  <c r="O414" i="2"/>
  <c r="O415" i="2"/>
  <c r="O416" i="2"/>
  <c r="O417" i="2"/>
  <c r="O418" i="2"/>
  <c r="O419" i="2"/>
  <c r="O420" i="2"/>
  <c r="O421" i="2"/>
  <c r="O422" i="2"/>
  <c r="O423" i="2"/>
  <c r="O424" i="2"/>
  <c r="O425" i="2"/>
  <c r="O426" i="2"/>
  <c r="O427" i="2"/>
  <c r="O428" i="2"/>
  <c r="O429" i="2"/>
  <c r="O430" i="2"/>
  <c r="O431" i="2"/>
  <c r="O432" i="2"/>
  <c r="O433" i="2"/>
  <c r="O434" i="2"/>
  <c r="O435" i="2"/>
  <c r="O436" i="2"/>
  <c r="O437" i="2"/>
  <c r="O438" i="2"/>
  <c r="O439" i="2"/>
  <c r="O440" i="2"/>
  <c r="O441" i="2"/>
  <c r="O442" i="2"/>
  <c r="O443" i="2"/>
  <c r="O444" i="2"/>
  <c r="O445" i="2"/>
  <c r="O446" i="2"/>
  <c r="O447" i="2"/>
  <c r="O448" i="2"/>
  <c r="O449" i="2"/>
  <c r="O450" i="2"/>
  <c r="O451" i="2"/>
  <c r="O452" i="2"/>
  <c r="O453" i="2"/>
  <c r="O454" i="2"/>
  <c r="O455" i="2"/>
  <c r="O456" i="2"/>
  <c r="O457" i="2"/>
  <c r="O458" i="2"/>
  <c r="O459" i="2"/>
  <c r="O460" i="2"/>
  <c r="O461" i="2"/>
  <c r="O462" i="2"/>
  <c r="O463" i="2"/>
  <c r="O464" i="2"/>
  <c r="O465" i="2"/>
  <c r="O466" i="2"/>
  <c r="O467" i="2"/>
  <c r="O468" i="2"/>
  <c r="O469" i="2"/>
  <c r="O470" i="2"/>
  <c r="O471" i="2"/>
  <c r="O472" i="2"/>
  <c r="O473" i="2"/>
  <c r="O474" i="2"/>
  <c r="O475" i="2"/>
  <c r="O476" i="2"/>
  <c r="O477" i="2"/>
  <c r="O478" i="2"/>
  <c r="O479" i="2"/>
  <c r="O480" i="2"/>
  <c r="O481" i="2"/>
  <c r="O482" i="2"/>
  <c r="O483" i="2"/>
  <c r="O484" i="2"/>
  <c r="O485" i="2"/>
  <c r="O486" i="2"/>
  <c r="O487" i="2"/>
  <c r="O488" i="2"/>
  <c r="O489" i="2"/>
  <c r="O490" i="2"/>
  <c r="O491" i="2"/>
  <c r="O492" i="2"/>
  <c r="O493" i="2"/>
  <c r="O494" i="2"/>
  <c r="O495" i="2"/>
  <c r="O496" i="2"/>
  <c r="O497" i="2"/>
  <c r="O498" i="2"/>
  <c r="O499" i="2"/>
  <c r="O500" i="2"/>
  <c r="O501" i="2"/>
  <c r="O502" i="2"/>
  <c r="O503" i="2"/>
  <c r="O504" i="2"/>
  <c r="O505" i="2"/>
  <c r="O506" i="2"/>
  <c r="O507" i="2"/>
  <c r="O508" i="2"/>
  <c r="O509" i="2"/>
  <c r="O510" i="2"/>
  <c r="O511" i="2"/>
  <c r="O512" i="2"/>
  <c r="O513" i="2"/>
  <c r="O514" i="2"/>
  <c r="O515" i="2"/>
  <c r="O516" i="2"/>
  <c r="O517" i="2"/>
  <c r="O518" i="2"/>
  <c r="O519" i="2"/>
  <c r="O520" i="2"/>
  <c r="O521" i="2"/>
  <c r="O522" i="2"/>
  <c r="O523" i="2"/>
  <c r="O524" i="2"/>
  <c r="O525" i="2"/>
  <c r="O526" i="2"/>
  <c r="O527" i="2"/>
  <c r="O528" i="2"/>
  <c r="O529" i="2"/>
  <c r="O530" i="2"/>
  <c r="O531" i="2"/>
  <c r="O532" i="2"/>
  <c r="O533" i="2"/>
  <c r="O534" i="2"/>
  <c r="O535" i="2"/>
  <c r="O536" i="2"/>
  <c r="O537" i="2"/>
  <c r="O538" i="2"/>
  <c r="O539" i="2"/>
  <c r="O540" i="2"/>
  <c r="O541" i="2"/>
  <c r="O542" i="2"/>
  <c r="O543" i="2"/>
  <c r="O544" i="2"/>
  <c r="O545" i="2"/>
  <c r="O546" i="2"/>
  <c r="O547" i="2"/>
  <c r="O548" i="2"/>
  <c r="O549" i="2"/>
  <c r="O550" i="2"/>
  <c r="O551" i="2"/>
  <c r="O552" i="2"/>
  <c r="O553" i="2"/>
  <c r="O554" i="2"/>
  <c r="O555" i="2"/>
  <c r="O556" i="2"/>
  <c r="O557" i="2"/>
  <c r="O558" i="2"/>
  <c r="O559" i="2"/>
  <c r="O560" i="2"/>
  <c r="O561" i="2"/>
  <c r="O562" i="2"/>
  <c r="O563" i="2"/>
  <c r="O564" i="2"/>
  <c r="O565" i="2"/>
  <c r="O566" i="2"/>
  <c r="O567" i="2"/>
  <c r="O568" i="2"/>
  <c r="O569" i="2"/>
  <c r="O570" i="2"/>
  <c r="O571" i="2"/>
  <c r="O572" i="2"/>
  <c r="O573" i="2"/>
  <c r="O574" i="2"/>
  <c r="O575" i="2"/>
  <c r="O576" i="2"/>
  <c r="O577" i="2"/>
  <c r="O578" i="2"/>
  <c r="O579" i="2"/>
  <c r="O580" i="2"/>
  <c r="O581" i="2"/>
  <c r="O582" i="2"/>
  <c r="O583" i="2"/>
  <c r="O584" i="2"/>
  <c r="O585" i="2"/>
  <c r="O586" i="2"/>
  <c r="O587" i="2"/>
  <c r="O588" i="2"/>
  <c r="O589" i="2"/>
  <c r="O590" i="2"/>
  <c r="O591" i="2"/>
  <c r="O592" i="2"/>
  <c r="O593" i="2"/>
  <c r="O594" i="2"/>
  <c r="O595" i="2"/>
  <c r="O596" i="2"/>
  <c r="O597" i="2"/>
  <c r="O598" i="2"/>
  <c r="O599" i="2"/>
  <c r="O600" i="2"/>
  <c r="O601" i="2"/>
  <c r="O602" i="2"/>
  <c r="O603" i="2"/>
  <c r="O604" i="2"/>
  <c r="O605" i="2"/>
  <c r="O606" i="2"/>
  <c r="O607" i="2"/>
  <c r="O608" i="2"/>
  <c r="O609" i="2"/>
  <c r="O610" i="2"/>
  <c r="O611" i="2"/>
  <c r="O612" i="2"/>
  <c r="O613" i="2"/>
  <c r="O614" i="2"/>
  <c r="O615" i="2"/>
  <c r="O616" i="2"/>
  <c r="O617" i="2"/>
  <c r="O618" i="2"/>
  <c r="O619" i="2"/>
  <c r="O620" i="2"/>
  <c r="O621" i="2"/>
  <c r="O622" i="2"/>
  <c r="O623" i="2"/>
  <c r="O624" i="2"/>
  <c r="O625" i="2"/>
  <c r="O626" i="2"/>
  <c r="O627" i="2"/>
  <c r="O628" i="2"/>
  <c r="O629" i="2"/>
  <c r="O630" i="2"/>
  <c r="O631" i="2"/>
  <c r="O632" i="2"/>
  <c r="O633" i="2"/>
  <c r="O634" i="2"/>
  <c r="O635" i="2"/>
  <c r="O636" i="2"/>
  <c r="O637" i="2"/>
  <c r="O638" i="2"/>
  <c r="O639" i="2"/>
  <c r="O640" i="2"/>
  <c r="O641" i="2"/>
  <c r="O642" i="2"/>
  <c r="O643" i="2"/>
  <c r="O644" i="2"/>
  <c r="O645" i="2"/>
  <c r="O646" i="2"/>
  <c r="O647" i="2"/>
  <c r="O648" i="2"/>
  <c r="O649" i="2"/>
  <c r="O650" i="2"/>
  <c r="O651" i="2"/>
  <c r="O652" i="2"/>
  <c r="O653" i="2"/>
  <c r="O654" i="2"/>
  <c r="O655" i="2"/>
  <c r="O656" i="2"/>
  <c r="O657" i="2"/>
  <c r="O658" i="2"/>
  <c r="O659" i="2"/>
  <c r="O660" i="2"/>
  <c r="O661" i="2"/>
  <c r="O662" i="2"/>
  <c r="O663" i="2"/>
  <c r="O664" i="2"/>
  <c r="O665" i="2"/>
  <c r="O666" i="2"/>
  <c r="O667" i="2"/>
  <c r="O668" i="2"/>
  <c r="O669" i="2"/>
  <c r="O670" i="2"/>
  <c r="O671" i="2"/>
  <c r="O672" i="2"/>
  <c r="O673" i="2"/>
  <c r="O674" i="2"/>
  <c r="O675" i="2"/>
  <c r="O676" i="2"/>
  <c r="O677" i="2"/>
  <c r="O678" i="2"/>
  <c r="O679" i="2"/>
  <c r="O680" i="2"/>
  <c r="O681" i="2"/>
  <c r="O682" i="2"/>
  <c r="O683" i="2"/>
  <c r="O684" i="2"/>
  <c r="O685" i="2"/>
  <c r="O686" i="2"/>
  <c r="O687" i="2"/>
  <c r="O688" i="2"/>
  <c r="O689" i="2"/>
  <c r="O690" i="2"/>
  <c r="O691" i="2"/>
  <c r="O692" i="2"/>
  <c r="O693" i="2"/>
  <c r="O694" i="2"/>
  <c r="O695" i="2"/>
  <c r="O696" i="2"/>
  <c r="O697" i="2"/>
  <c r="O698" i="2"/>
  <c r="O699" i="2"/>
  <c r="O700" i="2"/>
  <c r="O701" i="2"/>
  <c r="O702" i="2"/>
  <c r="O703" i="2"/>
  <c r="O704" i="2"/>
  <c r="O705" i="2"/>
  <c r="O706" i="2"/>
  <c r="O707" i="2"/>
  <c r="O708" i="2"/>
  <c r="O709" i="2"/>
  <c r="O710" i="2"/>
  <c r="O711" i="2"/>
  <c r="O712" i="2"/>
  <c r="O713" i="2"/>
  <c r="O714" i="2"/>
  <c r="O715" i="2"/>
  <c r="O716" i="2"/>
  <c r="O717" i="2"/>
  <c r="O718" i="2"/>
  <c r="O719" i="2"/>
  <c r="O720" i="2"/>
  <c r="O721" i="2"/>
  <c r="O722" i="2"/>
  <c r="O723" i="2"/>
  <c r="O724" i="2"/>
  <c r="O725" i="2"/>
  <c r="O726" i="2"/>
  <c r="O727" i="2"/>
  <c r="O728" i="2"/>
  <c r="O729" i="2"/>
  <c r="O730" i="2"/>
  <c r="O731" i="2"/>
  <c r="O732" i="2"/>
  <c r="O733" i="2"/>
  <c r="O734" i="2"/>
  <c r="O735" i="2"/>
  <c r="O736" i="2"/>
  <c r="O737" i="2"/>
  <c r="O738" i="2"/>
  <c r="O739" i="2"/>
  <c r="O740" i="2"/>
  <c r="O741" i="2"/>
  <c r="O742" i="2"/>
  <c r="O743" i="2"/>
  <c r="O744" i="2"/>
  <c r="O745" i="2"/>
  <c r="O746" i="2"/>
  <c r="O747" i="2"/>
  <c r="O748" i="2"/>
  <c r="O749" i="2"/>
  <c r="O750" i="2"/>
  <c r="O751" i="2"/>
  <c r="O752" i="2"/>
  <c r="O753" i="2"/>
  <c r="O754" i="2"/>
  <c r="O755" i="2"/>
  <c r="O756" i="2"/>
  <c r="O757" i="2"/>
  <c r="O758" i="2"/>
  <c r="O759" i="2"/>
  <c r="O760" i="2"/>
  <c r="O761" i="2"/>
  <c r="O762" i="2"/>
  <c r="O763" i="2"/>
  <c r="O764" i="2"/>
  <c r="O765" i="2"/>
  <c r="O766" i="2"/>
  <c r="O767" i="2"/>
  <c r="O768" i="2"/>
  <c r="O769" i="2"/>
  <c r="O770" i="2"/>
  <c r="O771" i="2"/>
  <c r="O772" i="2"/>
  <c r="O773" i="2"/>
  <c r="O774" i="2"/>
  <c r="O775" i="2"/>
  <c r="O776" i="2"/>
  <c r="O777" i="2"/>
  <c r="O778" i="2"/>
  <c r="O779" i="2"/>
  <c r="O780" i="2"/>
  <c r="O781" i="2"/>
  <c r="O782" i="2"/>
  <c r="O783" i="2"/>
  <c r="O784" i="2"/>
  <c r="O785" i="2"/>
  <c r="O786" i="2"/>
  <c r="O787" i="2"/>
  <c r="O788" i="2"/>
  <c r="O789" i="2"/>
  <c r="O790" i="2"/>
  <c r="O791" i="2"/>
  <c r="O792" i="2"/>
  <c r="O793" i="2"/>
  <c r="O794" i="2"/>
  <c r="O795" i="2"/>
  <c r="O796" i="2"/>
  <c r="O797" i="2"/>
  <c r="O798" i="2"/>
  <c r="O799" i="2"/>
  <c r="O800" i="2"/>
  <c r="O801" i="2"/>
  <c r="O802" i="2"/>
  <c r="O803" i="2"/>
  <c r="O804" i="2"/>
  <c r="O805" i="2"/>
  <c r="O806" i="2"/>
  <c r="O807" i="2"/>
  <c r="O808" i="2"/>
  <c r="O809" i="2"/>
  <c r="O810" i="2"/>
  <c r="O811" i="2"/>
  <c r="O812" i="2"/>
  <c r="O813" i="2"/>
  <c r="O814" i="2"/>
  <c r="O815" i="2"/>
  <c r="O816" i="2"/>
  <c r="O817" i="2"/>
  <c r="O818" i="2"/>
  <c r="O819" i="2"/>
  <c r="O820" i="2"/>
  <c r="O821" i="2"/>
  <c r="O822" i="2"/>
  <c r="O823" i="2"/>
  <c r="O824" i="2"/>
  <c r="O825" i="2"/>
  <c r="O826" i="2"/>
  <c r="O827" i="2"/>
  <c r="O828" i="2"/>
  <c r="O829" i="2"/>
  <c r="O830" i="2"/>
  <c r="O831" i="2"/>
  <c r="O832" i="2"/>
  <c r="O833" i="2"/>
  <c r="O834" i="2"/>
  <c r="O835" i="2"/>
  <c r="O836" i="2"/>
  <c r="O837" i="2"/>
  <c r="O838" i="2"/>
  <c r="O839" i="2"/>
  <c r="O840" i="2"/>
  <c r="O841" i="2"/>
  <c r="O842" i="2"/>
  <c r="O843" i="2"/>
  <c r="O844" i="2"/>
  <c r="O845" i="2"/>
  <c r="O846" i="2"/>
  <c r="O847" i="2"/>
  <c r="O848" i="2"/>
  <c r="O849" i="2"/>
  <c r="O850" i="2"/>
  <c r="O851" i="2"/>
  <c r="O852" i="2"/>
  <c r="O853" i="2"/>
  <c r="O854" i="2"/>
  <c r="O855" i="2"/>
  <c r="O856" i="2"/>
  <c r="O857" i="2"/>
  <c r="O858" i="2"/>
  <c r="O859" i="2"/>
  <c r="O860" i="2"/>
  <c r="O861" i="2"/>
  <c r="O862" i="2"/>
  <c r="O863" i="2"/>
  <c r="O864" i="2"/>
  <c r="O865" i="2"/>
  <c r="O866" i="2"/>
  <c r="O867" i="2"/>
  <c r="O868" i="2"/>
  <c r="O869" i="2"/>
  <c r="O870" i="2"/>
  <c r="O871" i="2"/>
  <c r="O872" i="2"/>
  <c r="O873" i="2"/>
  <c r="O874" i="2"/>
  <c r="O875" i="2"/>
  <c r="O876" i="2"/>
  <c r="O877" i="2"/>
  <c r="O878" i="2"/>
  <c r="O879" i="2"/>
  <c r="O880" i="2"/>
  <c r="O881" i="2"/>
  <c r="O882" i="2"/>
  <c r="O883" i="2"/>
  <c r="O884" i="2"/>
  <c r="O885" i="2"/>
  <c r="O886" i="2"/>
  <c r="O887" i="2"/>
  <c r="O888" i="2"/>
  <c r="O889" i="2"/>
  <c r="O890" i="2"/>
  <c r="O891" i="2"/>
  <c r="O892" i="2"/>
  <c r="O893" i="2"/>
  <c r="O894" i="2"/>
  <c r="O895" i="2"/>
  <c r="O896" i="2"/>
  <c r="O897" i="2"/>
  <c r="O898" i="2"/>
  <c r="O899" i="2"/>
  <c r="O900" i="2"/>
  <c r="O901" i="2"/>
  <c r="O902" i="2"/>
  <c r="O903" i="2"/>
  <c r="O904" i="2"/>
  <c r="O905" i="2"/>
  <c r="O906" i="2"/>
  <c r="O907" i="2"/>
  <c r="O908" i="2"/>
  <c r="O909" i="2"/>
  <c r="O910" i="2"/>
  <c r="O911" i="2"/>
  <c r="O912" i="2"/>
  <c r="O913" i="2"/>
  <c r="O914" i="2"/>
  <c r="O915" i="2"/>
  <c r="O916" i="2"/>
  <c r="O917" i="2"/>
  <c r="O918" i="2"/>
  <c r="O919" i="2"/>
  <c r="O920" i="2"/>
  <c r="O921" i="2"/>
  <c r="O922" i="2"/>
  <c r="O923" i="2"/>
  <c r="O924" i="2"/>
  <c r="O925" i="2"/>
  <c r="O926" i="2"/>
  <c r="O927" i="2"/>
  <c r="O928" i="2"/>
  <c r="O929" i="2"/>
  <c r="O930" i="2"/>
  <c r="O931" i="2"/>
  <c r="O932" i="2"/>
  <c r="O933" i="2"/>
  <c r="O934" i="2"/>
  <c r="O935" i="2"/>
  <c r="O936" i="2"/>
  <c r="O937" i="2"/>
  <c r="O938" i="2"/>
  <c r="O939" i="2"/>
  <c r="O940" i="2"/>
  <c r="O941" i="2"/>
  <c r="O942" i="2"/>
  <c r="O943" i="2"/>
  <c r="O944" i="2"/>
  <c r="O945" i="2"/>
  <c r="O946" i="2"/>
  <c r="O947" i="2"/>
  <c r="O948" i="2"/>
  <c r="O949" i="2"/>
  <c r="O950" i="2"/>
  <c r="O951" i="2"/>
  <c r="O952" i="2"/>
  <c r="O953" i="2"/>
  <c r="O954" i="2"/>
  <c r="O955" i="2"/>
  <c r="O956" i="2"/>
  <c r="O957" i="2"/>
  <c r="O958" i="2"/>
  <c r="O959" i="2"/>
  <c r="O960" i="2"/>
  <c r="O961" i="2"/>
  <c r="O962" i="2"/>
  <c r="O963" i="2"/>
  <c r="O964" i="2"/>
  <c r="O965" i="2"/>
  <c r="O966" i="2"/>
  <c r="O967" i="2"/>
  <c r="O968" i="2"/>
  <c r="O969" i="2"/>
  <c r="O970" i="2"/>
  <c r="O971" i="2"/>
  <c r="O972" i="2"/>
  <c r="O973" i="2"/>
  <c r="O974" i="2"/>
  <c r="O975" i="2"/>
  <c r="O976" i="2"/>
  <c r="O977" i="2"/>
  <c r="O978" i="2"/>
  <c r="O979" i="2"/>
  <c r="O980" i="2"/>
  <c r="O981" i="2"/>
  <c r="O982" i="2"/>
  <c r="O983" i="2"/>
  <c r="O984" i="2"/>
  <c r="O985" i="2"/>
  <c r="O986" i="2"/>
  <c r="O987" i="2"/>
  <c r="O988" i="2"/>
  <c r="O989" i="2"/>
  <c r="O990" i="2"/>
  <c r="O991" i="2"/>
  <c r="O992" i="2"/>
  <c r="O993" i="2"/>
  <c r="O994" i="2"/>
  <c r="O995" i="2"/>
  <c r="O996" i="2"/>
  <c r="O997" i="2"/>
  <c r="O998" i="2"/>
  <c r="O999" i="2"/>
  <c r="O1000" i="2"/>
  <c r="O1001" i="2"/>
  <c r="O1002" i="2"/>
  <c r="O1003" i="2"/>
  <c r="O1004" i="2"/>
  <c r="O1005" i="2"/>
  <c r="O1006" i="2"/>
  <c r="O1007" i="2"/>
  <c r="O1008" i="2"/>
  <c r="O1009" i="2"/>
  <c r="O1010" i="2"/>
  <c r="O1011" i="2"/>
  <c r="O1012" i="2"/>
  <c r="O1013" i="2"/>
  <c r="O1014" i="2"/>
  <c r="O1015" i="2"/>
  <c r="O1016" i="2"/>
  <c r="O1017" i="2"/>
  <c r="O1018" i="2"/>
  <c r="O1019" i="2"/>
  <c r="O1020" i="2"/>
  <c r="O1021" i="2"/>
  <c r="O1022" i="2"/>
  <c r="O1023" i="2"/>
  <c r="O1024" i="2"/>
  <c r="O1025" i="2"/>
  <c r="O1026" i="2"/>
  <c r="O1027" i="2"/>
  <c r="O1028" i="2"/>
  <c r="O1029" i="2"/>
  <c r="O1030" i="2"/>
  <c r="O1031" i="2"/>
  <c r="O1032" i="2"/>
  <c r="O1033" i="2"/>
  <c r="O1034" i="2"/>
  <c r="O1035" i="2"/>
  <c r="O1036" i="2"/>
  <c r="O1037" i="2"/>
  <c r="O1038" i="2"/>
  <c r="O1039" i="2"/>
  <c r="O1040" i="2"/>
  <c r="O1041" i="2"/>
  <c r="O1042" i="2"/>
  <c r="O1043" i="2"/>
  <c r="O1044" i="2"/>
  <c r="O1045" i="2"/>
  <c r="O1046" i="2"/>
  <c r="O1047" i="2"/>
  <c r="O1048" i="2"/>
  <c r="O1049" i="2"/>
  <c r="O1050" i="2"/>
  <c r="O1051" i="2"/>
  <c r="O1052" i="2"/>
  <c r="O1053" i="2"/>
  <c r="O1054" i="2"/>
  <c r="O1055" i="2"/>
  <c r="O1056" i="2"/>
  <c r="O1057" i="2"/>
  <c r="O1058" i="2"/>
  <c r="O1059" i="2"/>
  <c r="O1060" i="2"/>
  <c r="O1061" i="2"/>
  <c r="O1062" i="2"/>
  <c r="O1063" i="2"/>
  <c r="O1064" i="2"/>
  <c r="O1065" i="2"/>
  <c r="O1066" i="2"/>
  <c r="O1067" i="2"/>
  <c r="O1068" i="2"/>
  <c r="O1069" i="2"/>
  <c r="O1070" i="2"/>
  <c r="O1071" i="2"/>
  <c r="O1072" i="2"/>
  <c r="O1073" i="2"/>
  <c r="O1074" i="2"/>
  <c r="O1075" i="2"/>
  <c r="O1076" i="2"/>
  <c r="O1077" i="2"/>
  <c r="O1078" i="2"/>
  <c r="O1079" i="2"/>
  <c r="O1080" i="2"/>
  <c r="O1081" i="2"/>
  <c r="O1082" i="2"/>
  <c r="O1083" i="2"/>
  <c r="O1084" i="2"/>
  <c r="O1085" i="2"/>
  <c r="O1086" i="2"/>
  <c r="O1087" i="2"/>
  <c r="O1088" i="2"/>
  <c r="O1089" i="2"/>
  <c r="O1090" i="2"/>
  <c r="O1091" i="2"/>
  <c r="O1092" i="2"/>
  <c r="O1093" i="2"/>
  <c r="O1094" i="2"/>
  <c r="O1095" i="2"/>
  <c r="O1096" i="2"/>
  <c r="O1097" i="2"/>
  <c r="O1098" i="2"/>
  <c r="O1099" i="2"/>
  <c r="O1100" i="2"/>
  <c r="O1101" i="2"/>
  <c r="O1102" i="2"/>
  <c r="O1103" i="2"/>
  <c r="O1104" i="2"/>
  <c r="O1105" i="2"/>
  <c r="O1106" i="2"/>
  <c r="O1107" i="2"/>
  <c r="O1108" i="2"/>
  <c r="O1109" i="2"/>
  <c r="O1110" i="2"/>
  <c r="O1111" i="2"/>
  <c r="O1112" i="2"/>
  <c r="O1113" i="2"/>
  <c r="O1114" i="2"/>
  <c r="O1115" i="2"/>
  <c r="O1116" i="2"/>
  <c r="O1117" i="2"/>
  <c r="O1118" i="2"/>
  <c r="O1119" i="2"/>
  <c r="O1120" i="2"/>
  <c r="O1121" i="2"/>
  <c r="O1122" i="2"/>
  <c r="O1123" i="2"/>
  <c r="O1124" i="2"/>
  <c r="O1125" i="2"/>
  <c r="O1126" i="2"/>
  <c r="O1127" i="2"/>
  <c r="O1128" i="2"/>
  <c r="O1129" i="2"/>
  <c r="O1130" i="2"/>
  <c r="O1131" i="2"/>
  <c r="O1132" i="2"/>
  <c r="O1133" i="2"/>
  <c r="O1134" i="2"/>
  <c r="O1135" i="2"/>
  <c r="O1136" i="2"/>
  <c r="O1137" i="2"/>
  <c r="O1138" i="2"/>
  <c r="O1139" i="2"/>
  <c r="O1140" i="2"/>
  <c r="O1141" i="2"/>
  <c r="O1142" i="2"/>
  <c r="O1143" i="2"/>
  <c r="O1144" i="2"/>
  <c r="O1145" i="2"/>
  <c r="O1146" i="2"/>
  <c r="O1147" i="2"/>
  <c r="O1148" i="2"/>
  <c r="O1149" i="2"/>
  <c r="O1150" i="2"/>
  <c r="O1151" i="2"/>
  <c r="O1152" i="2"/>
  <c r="O1153" i="2"/>
  <c r="O1154" i="2"/>
  <c r="O1155" i="2"/>
  <c r="O1156" i="2"/>
  <c r="O1157" i="2"/>
  <c r="O1158" i="2"/>
  <c r="O1159" i="2"/>
  <c r="O1160" i="2"/>
  <c r="O1161" i="2"/>
  <c r="O1162" i="2"/>
  <c r="O1163" i="2"/>
  <c r="O1164" i="2"/>
  <c r="O1165" i="2"/>
  <c r="O1166" i="2"/>
  <c r="O1167" i="2"/>
  <c r="O1168" i="2"/>
  <c r="O1169" i="2"/>
  <c r="O1170" i="2"/>
  <c r="O1171" i="2"/>
  <c r="O1172" i="2"/>
  <c r="O1173" i="2"/>
  <c r="O1174" i="2"/>
  <c r="O1175" i="2"/>
  <c r="O1176" i="2"/>
  <c r="O1177" i="2"/>
  <c r="O1178" i="2"/>
  <c r="O1179" i="2"/>
  <c r="O1180" i="2"/>
  <c r="O1181" i="2"/>
  <c r="O1182" i="2"/>
  <c r="O1183" i="2"/>
  <c r="O1184" i="2"/>
  <c r="O1185" i="2"/>
  <c r="O1186" i="2"/>
  <c r="O1187" i="2"/>
  <c r="O1188" i="2"/>
  <c r="O1189" i="2"/>
  <c r="O1190" i="2"/>
  <c r="O1191" i="2"/>
  <c r="O1192" i="2"/>
  <c r="O1193" i="2"/>
  <c r="O1194" i="2"/>
  <c r="O1195" i="2"/>
  <c r="O1196" i="2"/>
  <c r="O1197" i="2"/>
  <c r="O1198" i="2"/>
  <c r="O1199" i="2"/>
  <c r="O1200" i="2"/>
  <c r="O1201" i="2"/>
  <c r="O1202" i="2"/>
  <c r="O1203" i="2"/>
  <c r="O1204" i="2"/>
  <c r="O1205" i="2"/>
  <c r="O1206" i="2"/>
  <c r="O1207" i="2"/>
  <c r="O1208" i="2"/>
  <c r="O1209" i="2"/>
  <c r="O1210" i="2"/>
  <c r="O1211" i="2"/>
  <c r="O1212" i="2"/>
  <c r="O1213" i="2"/>
  <c r="O1214" i="2"/>
  <c r="O1215" i="2"/>
  <c r="O1216" i="2"/>
  <c r="O1217" i="2"/>
  <c r="O1218" i="2"/>
  <c r="O1219" i="2"/>
  <c r="O1220" i="2"/>
  <c r="O1221" i="2"/>
  <c r="O1222" i="2"/>
  <c r="O1223" i="2"/>
  <c r="O1224" i="2"/>
  <c r="O1225" i="2"/>
  <c r="O1226" i="2"/>
  <c r="O1227" i="2"/>
  <c r="O1228" i="2"/>
  <c r="O1229" i="2"/>
  <c r="O1230" i="2"/>
  <c r="O1231" i="2"/>
  <c r="O1232" i="2"/>
  <c r="O1233" i="2"/>
  <c r="O1234" i="2"/>
  <c r="O1235" i="2"/>
  <c r="O1236" i="2"/>
  <c r="O1237" i="2"/>
  <c r="O1238" i="2"/>
  <c r="O1239" i="2"/>
  <c r="O1240" i="2"/>
  <c r="O1241" i="2"/>
  <c r="O1242" i="2"/>
  <c r="O1243" i="2"/>
  <c r="O1244" i="2"/>
  <c r="O1245" i="2"/>
  <c r="O1246" i="2"/>
  <c r="O1247" i="2"/>
  <c r="O1248" i="2"/>
  <c r="O1249" i="2"/>
  <c r="O1250" i="2"/>
  <c r="O1251" i="2"/>
  <c r="O1252" i="2"/>
  <c r="O1253" i="2"/>
  <c r="O1254" i="2"/>
  <c r="O1255" i="2"/>
  <c r="O1256" i="2"/>
  <c r="O1257" i="2"/>
  <c r="O1258" i="2"/>
  <c r="O1259" i="2"/>
  <c r="O1260" i="2"/>
  <c r="O1261" i="2"/>
  <c r="O1262" i="2"/>
  <c r="O1263" i="2"/>
  <c r="O1264" i="2"/>
  <c r="O1265" i="2"/>
  <c r="O1266" i="2"/>
  <c r="O1267" i="2"/>
  <c r="O1268" i="2"/>
  <c r="O1269" i="2"/>
  <c r="O1270" i="2"/>
  <c r="O1271" i="2"/>
  <c r="O1272" i="2"/>
  <c r="O1273" i="2"/>
  <c r="O1274" i="2"/>
  <c r="O1275" i="2"/>
  <c r="O1276" i="2"/>
  <c r="O1277" i="2"/>
  <c r="O1278" i="2"/>
  <c r="O1279" i="2"/>
  <c r="O1280" i="2"/>
  <c r="O1281" i="2"/>
  <c r="O1282" i="2"/>
  <c r="O1283" i="2"/>
  <c r="O1284" i="2"/>
  <c r="O1285" i="2"/>
  <c r="O1286" i="2"/>
  <c r="O1287" i="2"/>
  <c r="O1288" i="2"/>
  <c r="O1289" i="2"/>
  <c r="O1290" i="2"/>
  <c r="O1291" i="2"/>
  <c r="O1292" i="2"/>
  <c r="O1293" i="2"/>
  <c r="O1294" i="2"/>
  <c r="O1295" i="2"/>
  <c r="O1296" i="2"/>
  <c r="O1297" i="2"/>
  <c r="O1298" i="2"/>
  <c r="O1299" i="2"/>
  <c r="O1300" i="2"/>
  <c r="O1301" i="2"/>
  <c r="O1302" i="2"/>
  <c r="O1303" i="2"/>
  <c r="O1304" i="2"/>
  <c r="O1305" i="2"/>
  <c r="O1306" i="2"/>
  <c r="O1307" i="2"/>
  <c r="O1308" i="2"/>
  <c r="O1309" i="2"/>
  <c r="O1310" i="2"/>
  <c r="O1311" i="2"/>
  <c r="O1312" i="2"/>
  <c r="O1313" i="2"/>
  <c r="O1314" i="2"/>
  <c r="O1315" i="2"/>
  <c r="O1316" i="2"/>
  <c r="O1317" i="2"/>
  <c r="O1318" i="2"/>
  <c r="O1319" i="2"/>
  <c r="O1320" i="2"/>
  <c r="O1321" i="2"/>
  <c r="O1322" i="2"/>
  <c r="O1323" i="2"/>
  <c r="O1324" i="2"/>
  <c r="O1325" i="2"/>
  <c r="O1326" i="2"/>
  <c r="O1327" i="2"/>
  <c r="O1328" i="2"/>
  <c r="O1329" i="2"/>
  <c r="O1330" i="2"/>
  <c r="O1331" i="2"/>
  <c r="O1332" i="2"/>
  <c r="O1333" i="2"/>
  <c r="O1334" i="2"/>
  <c r="O1335" i="2"/>
  <c r="O1336" i="2"/>
  <c r="O1337" i="2"/>
  <c r="O1338" i="2"/>
  <c r="O1339" i="2"/>
  <c r="O1340" i="2"/>
  <c r="O1341" i="2"/>
  <c r="O1342" i="2"/>
  <c r="O1343" i="2"/>
  <c r="O1344" i="2"/>
  <c r="O1345" i="2"/>
  <c r="O1346" i="2"/>
  <c r="O1347" i="2"/>
  <c r="O1348" i="2"/>
  <c r="O1349" i="2"/>
  <c r="O1350" i="2"/>
  <c r="O1351" i="2"/>
  <c r="O1352" i="2"/>
  <c r="O1353" i="2"/>
  <c r="O1354" i="2"/>
  <c r="O1355" i="2"/>
  <c r="O1356" i="2"/>
  <c r="O1357" i="2"/>
  <c r="O1358" i="2"/>
  <c r="O1359" i="2"/>
  <c r="O1360" i="2"/>
  <c r="O1361" i="2"/>
  <c r="O1362" i="2"/>
  <c r="O1363" i="2"/>
  <c r="O1364" i="2"/>
  <c r="O1365" i="2"/>
  <c r="O1366" i="2"/>
  <c r="O1367" i="2"/>
  <c r="O1368" i="2"/>
  <c r="O1369" i="2"/>
  <c r="O1370" i="2"/>
  <c r="O1371" i="2"/>
  <c r="O1372" i="2"/>
  <c r="O1373" i="2"/>
  <c r="O1374" i="2"/>
  <c r="O1375" i="2"/>
  <c r="O1376" i="2"/>
  <c r="O1377" i="2"/>
  <c r="O1378" i="2"/>
  <c r="O1379" i="2"/>
  <c r="O1380" i="2"/>
  <c r="O1381" i="2"/>
  <c r="O1382" i="2"/>
  <c r="O1383" i="2"/>
  <c r="O1384" i="2"/>
  <c r="O1385" i="2"/>
  <c r="O1386" i="2"/>
  <c r="O1387" i="2"/>
  <c r="O1388" i="2"/>
  <c r="O1389" i="2"/>
  <c r="O1390" i="2"/>
  <c r="O1391" i="2"/>
  <c r="O1392" i="2"/>
  <c r="O1393" i="2"/>
  <c r="O1394" i="2"/>
  <c r="O1395" i="2"/>
  <c r="O1396" i="2"/>
  <c r="O1397" i="2"/>
  <c r="O1398" i="2"/>
  <c r="O1399" i="2"/>
  <c r="O1400" i="2"/>
  <c r="O1401" i="2"/>
  <c r="O1402" i="2"/>
  <c r="O1403" i="2"/>
  <c r="O1404" i="2"/>
  <c r="O1405" i="2"/>
  <c r="O1406" i="2"/>
  <c r="O1407" i="2"/>
  <c r="O1408" i="2"/>
  <c r="O1409" i="2"/>
  <c r="O1410" i="2"/>
  <c r="O1411" i="2"/>
  <c r="O1412" i="2"/>
  <c r="O1413" i="2"/>
  <c r="O1414" i="2"/>
  <c r="O1415" i="2"/>
  <c r="O1416" i="2"/>
  <c r="O1417" i="2"/>
  <c r="O1418" i="2"/>
  <c r="O1419" i="2"/>
  <c r="O1420" i="2"/>
  <c r="O1421" i="2"/>
  <c r="O1422" i="2"/>
  <c r="O1423" i="2"/>
  <c r="O1424" i="2"/>
  <c r="O1425" i="2"/>
  <c r="O1426" i="2"/>
  <c r="O1427" i="2"/>
  <c r="O1428" i="2"/>
  <c r="O1429" i="2"/>
  <c r="O1430" i="2"/>
  <c r="O1431" i="2"/>
  <c r="O1432" i="2"/>
  <c r="O1433" i="2"/>
  <c r="O1434" i="2"/>
  <c r="O1435" i="2"/>
  <c r="O1436" i="2"/>
  <c r="O1437" i="2"/>
  <c r="O1438" i="2"/>
  <c r="O1439" i="2"/>
  <c r="O1440" i="2"/>
  <c r="O1441" i="2"/>
  <c r="O1442" i="2"/>
  <c r="O1443" i="2"/>
  <c r="O1444" i="2"/>
  <c r="O1445" i="2"/>
  <c r="O1446" i="2"/>
  <c r="O1447" i="2"/>
  <c r="O1448" i="2"/>
  <c r="O1449" i="2"/>
  <c r="O1450" i="2"/>
  <c r="O1451" i="2"/>
  <c r="O1452" i="2"/>
  <c r="O1453" i="2"/>
  <c r="O1454" i="2"/>
  <c r="O1455" i="2"/>
  <c r="O1456" i="2"/>
  <c r="O1457" i="2"/>
  <c r="O1458" i="2"/>
  <c r="O1459" i="2"/>
  <c r="O1460" i="2"/>
  <c r="O1461" i="2"/>
  <c r="O1462" i="2"/>
  <c r="O1463" i="2"/>
  <c r="O1464" i="2"/>
  <c r="O1465" i="2"/>
  <c r="O1466" i="2"/>
  <c r="O1467" i="2"/>
  <c r="O1468" i="2"/>
  <c r="O1469" i="2"/>
  <c r="O1470" i="2"/>
  <c r="O1471" i="2"/>
  <c r="O1472" i="2"/>
  <c r="O1473" i="2"/>
  <c r="O1474" i="2"/>
  <c r="O1475" i="2"/>
  <c r="O1476" i="2"/>
  <c r="O1477" i="2"/>
  <c r="O1478" i="2"/>
  <c r="O1479" i="2"/>
  <c r="O1480" i="2"/>
  <c r="O1481" i="2"/>
  <c r="O1482" i="2"/>
  <c r="O1483" i="2"/>
  <c r="O1484" i="2"/>
  <c r="O1485" i="2"/>
  <c r="O1486" i="2"/>
  <c r="O1487" i="2"/>
  <c r="O1488" i="2"/>
  <c r="O1489" i="2"/>
  <c r="O1490" i="2"/>
  <c r="O1491" i="2"/>
  <c r="O1492" i="2"/>
  <c r="O1493" i="2"/>
  <c r="O1494" i="2"/>
  <c r="O1495" i="2"/>
  <c r="O1496" i="2"/>
  <c r="O1497" i="2"/>
  <c r="O1498" i="2"/>
  <c r="O1499" i="2"/>
  <c r="O1500" i="2"/>
  <c r="O1501" i="2"/>
  <c r="O1502" i="2"/>
  <c r="O1503" i="2"/>
  <c r="O1504" i="2"/>
  <c r="O1505" i="2"/>
  <c r="O1506" i="2"/>
  <c r="O1507" i="2"/>
  <c r="O1508" i="2"/>
  <c r="O1509" i="2"/>
  <c r="O1510" i="2"/>
  <c r="O1511" i="2"/>
  <c r="O1512" i="2"/>
  <c r="O1513" i="2"/>
  <c r="O1514" i="2"/>
  <c r="O1515" i="2"/>
  <c r="O1516" i="2"/>
  <c r="O1517" i="2"/>
  <c r="O1518" i="2"/>
  <c r="O1519" i="2"/>
  <c r="O1520" i="2"/>
  <c r="O1521" i="2"/>
  <c r="O1522" i="2"/>
  <c r="O1523" i="2"/>
  <c r="O1524" i="2"/>
  <c r="O1525" i="2"/>
  <c r="O1526" i="2"/>
  <c r="O1527" i="2"/>
  <c r="O1528" i="2"/>
  <c r="O1529" i="2"/>
  <c r="O1530" i="2"/>
  <c r="O1531" i="2"/>
  <c r="O1532" i="2"/>
  <c r="O1533" i="2"/>
  <c r="O1534" i="2"/>
  <c r="O1535" i="2"/>
  <c r="O1536" i="2"/>
  <c r="O1537" i="2"/>
  <c r="O1538" i="2"/>
  <c r="O1539" i="2"/>
  <c r="O1540" i="2"/>
  <c r="O1541" i="2"/>
  <c r="O1542" i="2"/>
  <c r="O1543" i="2"/>
  <c r="O1544" i="2"/>
  <c r="O1545" i="2"/>
  <c r="O1546" i="2"/>
  <c r="O1547" i="2"/>
  <c r="O1548" i="2"/>
  <c r="O1549" i="2"/>
  <c r="O1550" i="2"/>
  <c r="O1551" i="2"/>
  <c r="O1552" i="2"/>
  <c r="O1553" i="2"/>
  <c r="O1554" i="2"/>
  <c r="O1555" i="2"/>
  <c r="O1556" i="2"/>
  <c r="O1557" i="2"/>
  <c r="O1558" i="2"/>
  <c r="O1559" i="2"/>
  <c r="O1560" i="2"/>
  <c r="O1561" i="2"/>
  <c r="O1562" i="2"/>
  <c r="O1563" i="2"/>
  <c r="O1564" i="2"/>
  <c r="O1565" i="2"/>
  <c r="O1566" i="2"/>
  <c r="O1567" i="2"/>
  <c r="O1568" i="2"/>
  <c r="O1569" i="2"/>
  <c r="O1570" i="2"/>
  <c r="O1571" i="2"/>
  <c r="O1572" i="2"/>
  <c r="O1573" i="2"/>
  <c r="O1574" i="2"/>
  <c r="O1575" i="2"/>
  <c r="O1576" i="2"/>
  <c r="O1577" i="2"/>
  <c r="O1578" i="2"/>
  <c r="O1579" i="2"/>
  <c r="O1580" i="2"/>
  <c r="O1581" i="2"/>
  <c r="O1582" i="2"/>
  <c r="O1583" i="2"/>
  <c r="O1584" i="2"/>
  <c r="O1585" i="2"/>
  <c r="O1586" i="2"/>
  <c r="O1587" i="2"/>
  <c r="O1588" i="2"/>
  <c r="O1589" i="2"/>
  <c r="O1590" i="2"/>
  <c r="O1591" i="2"/>
  <c r="O1592" i="2"/>
  <c r="O1593" i="2"/>
  <c r="O1594" i="2"/>
  <c r="O1595" i="2"/>
  <c r="O1596" i="2"/>
  <c r="O1597" i="2"/>
  <c r="O1598" i="2"/>
  <c r="O1599" i="2"/>
  <c r="O1600" i="2"/>
  <c r="O1601" i="2"/>
  <c r="O1602" i="2"/>
  <c r="O1603" i="2"/>
  <c r="O1604" i="2"/>
  <c r="O1605" i="2"/>
  <c r="O1606" i="2"/>
  <c r="O1607" i="2"/>
  <c r="O1608" i="2"/>
  <c r="O1609" i="2"/>
  <c r="O1610" i="2"/>
  <c r="O1611" i="2"/>
  <c r="O1612" i="2"/>
  <c r="O1613" i="2"/>
  <c r="O1614" i="2"/>
  <c r="O1615" i="2"/>
  <c r="O1616" i="2"/>
  <c r="O1617" i="2"/>
  <c r="O1618" i="2"/>
  <c r="O1619" i="2"/>
  <c r="O1620" i="2"/>
  <c r="O1621" i="2"/>
  <c r="O1622" i="2"/>
  <c r="O1623" i="2"/>
  <c r="O1624" i="2"/>
  <c r="O1625" i="2"/>
  <c r="O1626" i="2"/>
  <c r="O1627" i="2"/>
  <c r="O1628" i="2"/>
  <c r="O1629" i="2"/>
  <c r="O1630" i="2"/>
  <c r="O1631" i="2"/>
  <c r="O1632" i="2"/>
  <c r="O1633" i="2"/>
  <c r="O1634" i="2"/>
  <c r="O1635" i="2"/>
  <c r="O1636" i="2"/>
  <c r="O1637" i="2"/>
  <c r="O1638" i="2"/>
  <c r="O1639" i="2"/>
  <c r="O1640" i="2"/>
  <c r="O1641" i="2"/>
  <c r="O1642" i="2"/>
  <c r="O1643" i="2"/>
  <c r="O1644" i="2"/>
  <c r="O1645" i="2"/>
  <c r="O1646" i="2"/>
  <c r="O1647" i="2"/>
  <c r="O1648" i="2"/>
  <c r="O1649" i="2"/>
  <c r="O1650" i="2"/>
  <c r="O1651" i="2"/>
  <c r="O1652" i="2"/>
  <c r="O1653" i="2"/>
  <c r="O1654" i="2"/>
  <c r="O1655" i="2"/>
  <c r="O1656" i="2"/>
  <c r="O1657" i="2"/>
  <c r="O1658" i="2"/>
  <c r="O1659" i="2"/>
  <c r="O1660" i="2"/>
  <c r="O1661" i="2"/>
  <c r="O1662" i="2"/>
  <c r="O1663" i="2"/>
  <c r="O1664" i="2"/>
  <c r="O1665" i="2"/>
  <c r="O1666" i="2"/>
  <c r="O1667" i="2"/>
  <c r="O1668" i="2"/>
  <c r="O1669" i="2"/>
  <c r="O1670" i="2"/>
  <c r="O1671" i="2"/>
  <c r="O1672" i="2"/>
  <c r="O1673" i="2"/>
  <c r="O1674" i="2"/>
  <c r="O1675" i="2"/>
  <c r="O1676" i="2"/>
  <c r="O1677" i="2"/>
  <c r="O1678" i="2"/>
  <c r="O1679" i="2"/>
  <c r="O1680" i="2"/>
  <c r="O1681" i="2"/>
  <c r="O1682" i="2"/>
  <c r="O1683" i="2"/>
  <c r="O1684" i="2"/>
  <c r="O1685" i="2"/>
  <c r="O1686" i="2"/>
  <c r="O1687" i="2"/>
  <c r="O1688" i="2"/>
  <c r="O1689" i="2"/>
  <c r="O1690" i="2"/>
  <c r="O1691" i="2"/>
  <c r="O1692" i="2"/>
  <c r="O1693" i="2"/>
  <c r="O1694" i="2"/>
  <c r="O1695" i="2"/>
  <c r="O1696" i="2"/>
  <c r="O1697" i="2"/>
  <c r="O1698" i="2"/>
  <c r="O1699" i="2"/>
  <c r="O1700" i="2"/>
  <c r="O1701" i="2"/>
  <c r="O1702" i="2"/>
  <c r="O1703" i="2"/>
  <c r="O1704" i="2"/>
  <c r="O1705" i="2"/>
  <c r="O1706" i="2"/>
  <c r="O1707" i="2"/>
  <c r="O1708" i="2"/>
  <c r="O1709" i="2"/>
  <c r="O1710" i="2"/>
  <c r="O1711" i="2"/>
  <c r="O1712" i="2"/>
  <c r="O1713" i="2"/>
  <c r="O1714" i="2"/>
  <c r="O1715" i="2"/>
  <c r="O1716" i="2"/>
  <c r="O1717" i="2"/>
  <c r="O1718" i="2"/>
  <c r="O1719" i="2"/>
  <c r="O1720" i="2"/>
  <c r="O1721" i="2"/>
  <c r="O1722" i="2"/>
  <c r="O1723" i="2"/>
  <c r="O1724" i="2"/>
  <c r="O1725" i="2"/>
  <c r="O1726" i="2"/>
  <c r="O1727" i="2"/>
  <c r="O1728" i="2"/>
  <c r="O1729" i="2"/>
  <c r="O1730" i="2"/>
  <c r="O1731" i="2"/>
  <c r="O1732" i="2"/>
  <c r="O1733" i="2"/>
  <c r="O1734" i="2"/>
  <c r="O1735" i="2"/>
  <c r="O1736" i="2"/>
  <c r="O1737" i="2"/>
  <c r="O1738" i="2"/>
  <c r="O1739" i="2"/>
  <c r="O1740" i="2"/>
  <c r="O1741" i="2"/>
  <c r="O1742" i="2"/>
  <c r="O1743" i="2"/>
  <c r="O1744" i="2"/>
  <c r="O1745" i="2"/>
  <c r="O1746" i="2"/>
  <c r="O1747" i="2"/>
  <c r="O1748" i="2"/>
  <c r="O1749" i="2"/>
  <c r="O1750" i="2"/>
  <c r="O1751" i="2"/>
  <c r="O1752" i="2"/>
  <c r="O1753" i="2"/>
  <c r="O1754" i="2"/>
  <c r="O1755" i="2"/>
  <c r="O1756" i="2"/>
  <c r="O1757" i="2"/>
  <c r="O1758" i="2"/>
  <c r="O1759" i="2"/>
  <c r="O1760" i="2"/>
  <c r="O1761" i="2"/>
  <c r="O1762" i="2"/>
  <c r="O1763" i="2"/>
  <c r="O1764" i="2"/>
  <c r="O1765" i="2"/>
  <c r="O1766" i="2"/>
  <c r="O1767" i="2"/>
  <c r="O1768" i="2"/>
  <c r="O1769" i="2"/>
  <c r="O1770" i="2"/>
  <c r="O1771" i="2"/>
  <c r="O1772" i="2"/>
  <c r="O1773" i="2"/>
  <c r="O1774" i="2"/>
  <c r="O1775" i="2"/>
  <c r="O1776" i="2"/>
  <c r="O1777" i="2"/>
  <c r="O1778" i="2"/>
  <c r="O1779" i="2"/>
  <c r="O1780" i="2"/>
  <c r="O1781" i="2"/>
  <c r="O1782" i="2"/>
  <c r="O1783" i="2"/>
  <c r="O1784" i="2"/>
  <c r="O1785" i="2"/>
  <c r="O1786" i="2"/>
  <c r="O1787" i="2"/>
  <c r="O1788" i="2"/>
  <c r="O1789" i="2"/>
  <c r="O1790" i="2"/>
  <c r="O1791" i="2"/>
  <c r="O1792" i="2"/>
  <c r="O1793" i="2"/>
  <c r="O1794" i="2"/>
  <c r="O1795" i="2"/>
  <c r="O1796" i="2"/>
  <c r="O1797" i="2"/>
  <c r="O1798" i="2"/>
  <c r="O1799" i="2"/>
  <c r="O1800" i="2"/>
  <c r="O1801" i="2"/>
  <c r="O1802" i="2"/>
  <c r="O1803" i="2"/>
  <c r="O1804" i="2"/>
  <c r="O1805" i="2"/>
  <c r="O1806" i="2"/>
  <c r="O1807" i="2"/>
  <c r="O1808" i="2"/>
  <c r="O1809" i="2"/>
  <c r="O1810" i="2"/>
  <c r="O1811" i="2"/>
  <c r="O1812" i="2"/>
  <c r="O1813" i="2"/>
  <c r="O1814" i="2"/>
  <c r="O1815" i="2"/>
  <c r="O1816" i="2"/>
  <c r="O1817" i="2"/>
  <c r="O1818" i="2"/>
  <c r="O1819" i="2"/>
  <c r="O1820" i="2"/>
  <c r="O1821" i="2"/>
  <c r="O1822" i="2"/>
  <c r="O1823" i="2"/>
  <c r="O1824" i="2"/>
  <c r="O1825" i="2"/>
  <c r="O1826" i="2"/>
  <c r="O1827" i="2"/>
  <c r="O1828" i="2"/>
  <c r="O1829" i="2"/>
  <c r="O1830" i="2"/>
  <c r="O1831" i="2"/>
  <c r="O1832" i="2"/>
  <c r="O1833" i="2"/>
  <c r="O1834" i="2"/>
  <c r="O1835" i="2"/>
  <c r="O1836" i="2"/>
  <c r="O1837" i="2"/>
  <c r="O1838" i="2"/>
  <c r="O1839" i="2"/>
  <c r="O1840" i="2"/>
  <c r="O1841" i="2"/>
  <c r="O1842" i="2"/>
  <c r="O1843" i="2"/>
  <c r="O1844" i="2"/>
  <c r="O1845" i="2"/>
  <c r="O1846" i="2"/>
  <c r="O1847" i="2"/>
  <c r="O1848" i="2"/>
  <c r="O1849" i="2"/>
  <c r="O1850" i="2"/>
  <c r="O1851" i="2"/>
  <c r="O1852" i="2"/>
  <c r="O1853" i="2"/>
  <c r="O1854" i="2"/>
  <c r="O1855" i="2"/>
  <c r="O1856" i="2"/>
  <c r="O1857" i="2"/>
  <c r="O1858" i="2"/>
  <c r="O1859" i="2"/>
  <c r="O1860" i="2"/>
  <c r="O1861" i="2"/>
  <c r="O1862" i="2"/>
  <c r="O1863" i="2"/>
  <c r="O1864" i="2"/>
  <c r="O1865" i="2"/>
  <c r="O1866" i="2"/>
  <c r="O1867" i="2"/>
  <c r="O1868" i="2"/>
  <c r="O1869" i="2"/>
  <c r="O1870" i="2"/>
  <c r="O1871" i="2"/>
  <c r="O1872" i="2"/>
  <c r="O1873" i="2"/>
  <c r="O1874" i="2"/>
  <c r="O1875" i="2"/>
  <c r="O1876" i="2"/>
  <c r="O1877" i="2"/>
  <c r="O1878" i="2"/>
  <c r="O1879" i="2"/>
  <c r="O1880" i="2"/>
  <c r="O1881" i="2"/>
  <c r="O1882" i="2"/>
  <c r="O1883" i="2"/>
  <c r="O1884" i="2"/>
  <c r="O1885" i="2"/>
  <c r="O1886" i="2"/>
  <c r="O1887" i="2"/>
  <c r="O1888" i="2"/>
  <c r="O1889" i="2"/>
  <c r="O1890" i="2"/>
  <c r="O1891" i="2"/>
  <c r="O1892" i="2"/>
  <c r="O1893" i="2"/>
  <c r="O1894" i="2"/>
  <c r="O1895" i="2"/>
  <c r="O1896" i="2"/>
  <c r="O1897" i="2"/>
  <c r="O1898" i="2"/>
  <c r="O1899" i="2"/>
  <c r="O1900" i="2"/>
  <c r="O1901" i="2"/>
  <c r="O1902" i="2"/>
  <c r="O1903" i="2"/>
  <c r="O1904" i="2"/>
  <c r="O1905" i="2"/>
  <c r="O1906" i="2"/>
  <c r="O1907" i="2"/>
  <c r="O1908" i="2"/>
  <c r="O1909" i="2"/>
  <c r="O1910" i="2"/>
  <c r="O1911" i="2"/>
  <c r="O1912" i="2"/>
  <c r="O1913" i="2"/>
  <c r="O1914" i="2"/>
  <c r="O1915" i="2"/>
  <c r="O1916" i="2"/>
  <c r="O1917" i="2"/>
  <c r="O1918" i="2"/>
  <c r="O1919" i="2"/>
  <c r="O1920" i="2"/>
  <c r="O1921" i="2"/>
  <c r="O1922" i="2"/>
  <c r="O1923" i="2"/>
  <c r="O1924" i="2"/>
  <c r="O1925" i="2"/>
  <c r="O1926" i="2"/>
  <c r="O1927" i="2"/>
  <c r="O1928" i="2"/>
  <c r="O1929" i="2"/>
  <c r="O1930" i="2"/>
  <c r="O1931" i="2"/>
  <c r="O1932" i="2"/>
  <c r="O1933" i="2"/>
  <c r="O1934" i="2"/>
  <c r="O1935" i="2"/>
  <c r="O1936" i="2"/>
  <c r="O1937" i="2"/>
  <c r="O1938" i="2"/>
  <c r="O1939" i="2"/>
  <c r="O1940" i="2"/>
  <c r="O1941" i="2"/>
  <c r="O1942" i="2"/>
  <c r="O1943" i="2"/>
  <c r="O1944" i="2"/>
  <c r="O1945" i="2"/>
  <c r="O1946" i="2"/>
  <c r="O1947" i="2"/>
  <c r="O1948" i="2"/>
  <c r="O1949" i="2"/>
  <c r="O1950" i="2"/>
  <c r="O1951" i="2"/>
  <c r="O1952" i="2"/>
  <c r="O1953" i="2"/>
  <c r="O1954" i="2"/>
  <c r="O1955" i="2"/>
  <c r="O1956" i="2"/>
  <c r="O1957" i="2"/>
  <c r="O1958" i="2"/>
  <c r="O1959" i="2"/>
  <c r="O1960" i="2"/>
  <c r="O1961" i="2"/>
  <c r="O1962" i="2"/>
  <c r="O1963" i="2"/>
  <c r="O1964" i="2"/>
  <c r="O1965" i="2"/>
  <c r="O1966" i="2"/>
  <c r="O1967" i="2"/>
  <c r="O1968" i="2"/>
  <c r="O1969" i="2"/>
  <c r="O1970" i="2"/>
  <c r="O1971" i="2"/>
  <c r="O1972" i="2"/>
  <c r="O1973" i="2"/>
  <c r="O1974" i="2"/>
  <c r="O1975" i="2"/>
  <c r="O1976" i="2"/>
  <c r="O1977" i="2"/>
  <c r="O1978" i="2"/>
  <c r="O1979" i="2"/>
  <c r="O1980" i="2"/>
  <c r="O1981" i="2"/>
  <c r="O1982" i="2"/>
  <c r="O1983" i="2"/>
  <c r="O1984" i="2"/>
  <c r="O1985" i="2"/>
  <c r="O1986" i="2"/>
  <c r="O1987" i="2"/>
  <c r="O1988" i="2"/>
  <c r="O1989" i="2"/>
  <c r="O1990" i="2"/>
  <c r="O1991" i="2"/>
  <c r="O1992" i="2"/>
  <c r="O1993" i="2"/>
  <c r="O1994" i="2"/>
  <c r="O1995" i="2"/>
  <c r="O1996" i="2"/>
  <c r="O1997" i="2"/>
  <c r="O1998" i="2"/>
  <c r="O1999" i="2"/>
  <c r="O2000" i="2"/>
  <c r="O2001" i="2"/>
  <c r="O2002" i="2"/>
  <c r="O2003" i="2"/>
  <c r="O2004" i="2"/>
  <c r="O2005" i="2"/>
  <c r="O2006" i="2"/>
  <c r="O2007" i="2"/>
  <c r="O2008" i="2"/>
  <c r="O2009" i="2"/>
  <c r="O2010" i="2"/>
  <c r="O2011" i="2"/>
  <c r="O2012" i="2"/>
  <c r="O2013" i="2"/>
  <c r="O2014" i="2"/>
  <c r="O2015" i="2"/>
  <c r="O2016" i="2"/>
  <c r="O2017" i="2"/>
  <c r="O2018" i="2"/>
  <c r="O2019" i="2"/>
  <c r="O2020" i="2"/>
  <c r="O2021" i="2"/>
  <c r="O2022" i="2"/>
  <c r="O2023" i="2"/>
  <c r="O2024" i="2"/>
  <c r="O2025" i="2"/>
  <c r="O2026" i="2"/>
  <c r="O2027" i="2"/>
  <c r="O2028" i="2"/>
  <c r="O2029" i="2"/>
  <c r="O2030" i="2"/>
  <c r="O2031" i="2"/>
  <c r="O2032" i="2"/>
  <c r="O2033" i="2"/>
  <c r="O2034" i="2"/>
  <c r="O2035" i="2"/>
  <c r="O2036" i="2"/>
  <c r="O2037" i="2"/>
  <c r="O2038" i="2"/>
  <c r="O2039" i="2"/>
  <c r="O2040" i="2"/>
  <c r="O2041" i="2"/>
  <c r="O2042" i="2"/>
  <c r="O2043" i="2"/>
  <c r="O2044" i="2"/>
  <c r="O2045" i="2"/>
  <c r="O2046" i="2"/>
  <c r="O2047" i="2"/>
  <c r="O2048" i="2"/>
  <c r="O2049" i="2"/>
  <c r="O2050" i="2"/>
  <c r="O2051" i="2"/>
  <c r="O2052" i="2"/>
  <c r="O2053" i="2"/>
  <c r="O2054" i="2"/>
  <c r="O2055" i="2"/>
  <c r="O2056" i="2"/>
  <c r="O2057" i="2"/>
  <c r="O2058" i="2"/>
  <c r="O2059" i="2"/>
  <c r="O2060" i="2"/>
  <c r="O2061" i="2"/>
  <c r="O2062" i="2"/>
  <c r="O2063" i="2"/>
  <c r="O2064" i="2"/>
  <c r="O2065" i="2"/>
  <c r="O2066" i="2"/>
  <c r="O2067" i="2"/>
  <c r="O2068" i="2"/>
  <c r="O2069" i="2"/>
  <c r="O2070" i="2"/>
  <c r="O2071" i="2"/>
  <c r="O2072" i="2"/>
  <c r="O2073" i="2"/>
  <c r="O2074" i="2"/>
  <c r="O2075" i="2"/>
  <c r="O2076" i="2"/>
  <c r="O2077" i="2"/>
  <c r="O2078" i="2"/>
  <c r="O2079" i="2"/>
  <c r="O2080" i="2"/>
  <c r="O2081" i="2"/>
  <c r="O2082" i="2"/>
  <c r="O2083" i="2"/>
  <c r="O2084" i="2"/>
  <c r="O2085" i="2"/>
  <c r="O2086" i="2"/>
  <c r="O2087" i="2"/>
  <c r="O2088" i="2"/>
  <c r="O2089" i="2"/>
  <c r="O2090" i="2"/>
  <c r="O2091" i="2"/>
  <c r="O2092" i="2"/>
  <c r="O2093" i="2"/>
  <c r="O2094" i="2"/>
  <c r="O2095" i="2"/>
  <c r="O2096" i="2"/>
  <c r="O2097" i="2"/>
  <c r="O2098" i="2"/>
  <c r="O2099" i="2"/>
  <c r="O2100" i="2"/>
  <c r="O2101" i="2"/>
  <c r="O2102" i="2"/>
  <c r="O2103" i="2"/>
  <c r="O2104" i="2"/>
  <c r="O2105" i="2"/>
  <c r="O2106" i="2"/>
  <c r="O2107" i="2"/>
  <c r="O2108" i="2"/>
  <c r="O2109" i="2"/>
  <c r="O2110" i="2"/>
  <c r="O2111" i="2"/>
  <c r="O2112" i="2"/>
  <c r="O2113" i="2"/>
  <c r="O2114" i="2"/>
  <c r="O2115" i="2"/>
  <c r="O2116" i="2"/>
  <c r="O2117" i="2"/>
  <c r="O2118" i="2"/>
  <c r="O2119" i="2"/>
  <c r="O2120" i="2"/>
  <c r="O2121" i="2"/>
  <c r="O2122" i="2"/>
  <c r="O2123" i="2"/>
  <c r="O2124" i="2"/>
  <c r="O2125" i="2"/>
  <c r="O2126" i="2"/>
  <c r="O2127" i="2"/>
  <c r="O2128" i="2"/>
  <c r="O2129" i="2"/>
  <c r="O2130" i="2"/>
  <c r="O2131" i="2"/>
  <c r="O2132" i="2"/>
  <c r="O2133" i="2"/>
  <c r="O2134" i="2"/>
  <c r="O2135" i="2"/>
  <c r="O2136" i="2"/>
  <c r="O2137" i="2"/>
  <c r="O2138" i="2"/>
  <c r="O2139" i="2"/>
  <c r="O2140" i="2"/>
  <c r="O2141" i="2"/>
  <c r="O2142" i="2"/>
  <c r="O2143" i="2"/>
  <c r="O2144" i="2"/>
  <c r="O2145" i="2"/>
  <c r="O2146" i="2"/>
  <c r="O2147" i="2"/>
  <c r="O2148" i="2"/>
  <c r="O2149" i="2"/>
  <c r="O2150" i="2"/>
  <c r="O2151" i="2"/>
  <c r="O2152" i="2"/>
  <c r="O2153" i="2"/>
  <c r="O2154" i="2"/>
  <c r="O2155" i="2"/>
  <c r="O2156" i="2"/>
  <c r="O2157" i="2"/>
  <c r="O2158" i="2"/>
  <c r="O2159" i="2"/>
  <c r="O2160" i="2"/>
  <c r="O2161" i="2"/>
  <c r="O2162" i="2"/>
  <c r="O2163" i="2"/>
  <c r="O2164" i="2"/>
  <c r="O2165" i="2"/>
  <c r="O2166" i="2"/>
  <c r="O2167" i="2"/>
  <c r="O2168" i="2"/>
  <c r="O2169" i="2"/>
  <c r="O2170" i="2"/>
  <c r="O2171" i="2"/>
  <c r="O2172" i="2"/>
  <c r="O2173" i="2"/>
  <c r="O2174" i="2"/>
  <c r="O2175" i="2"/>
  <c r="O2176" i="2"/>
  <c r="O2177" i="2"/>
  <c r="O2178" i="2"/>
  <c r="O2179" i="2"/>
  <c r="O2180" i="2"/>
  <c r="O2181" i="2"/>
  <c r="O2182" i="2"/>
  <c r="O2183" i="2"/>
  <c r="O2184" i="2"/>
  <c r="O2185" i="2"/>
  <c r="O2186" i="2"/>
  <c r="O2187" i="2"/>
  <c r="O2188" i="2"/>
  <c r="O2189" i="2"/>
  <c r="O2190" i="2"/>
  <c r="O2191" i="2"/>
  <c r="O2192" i="2"/>
  <c r="O2193" i="2"/>
  <c r="O2194" i="2"/>
  <c r="O2195" i="2"/>
  <c r="O2196" i="2"/>
  <c r="O2197" i="2"/>
  <c r="O2198" i="2"/>
  <c r="O2199" i="2"/>
  <c r="O2200" i="2"/>
  <c r="O2201" i="2"/>
  <c r="O2202" i="2"/>
  <c r="O2203" i="2"/>
  <c r="O2204" i="2"/>
  <c r="O2205" i="2"/>
  <c r="O2206" i="2"/>
  <c r="O2207" i="2"/>
  <c r="O2208" i="2"/>
  <c r="O2209" i="2"/>
  <c r="O2210" i="2"/>
  <c r="O2211" i="2"/>
  <c r="O2212" i="2"/>
  <c r="O2213" i="2"/>
  <c r="O2214" i="2"/>
  <c r="O2215" i="2"/>
  <c r="O2216" i="2"/>
  <c r="O2217" i="2"/>
  <c r="O2218" i="2"/>
  <c r="O2219" i="2"/>
  <c r="O2220" i="2"/>
  <c r="O2221" i="2"/>
  <c r="O2222" i="2"/>
  <c r="O2223" i="2"/>
  <c r="O2224" i="2"/>
  <c r="O2225" i="2"/>
  <c r="O2226" i="2"/>
  <c r="O2227" i="2"/>
  <c r="O2228" i="2"/>
  <c r="O2229" i="2"/>
  <c r="O2230" i="2"/>
  <c r="O2231" i="2"/>
  <c r="O2232" i="2"/>
  <c r="O2233" i="2"/>
  <c r="O2234" i="2"/>
  <c r="O2235" i="2"/>
  <c r="O2236" i="2"/>
  <c r="O2237" i="2"/>
  <c r="O2238" i="2"/>
  <c r="O2239" i="2"/>
  <c r="O2240" i="2"/>
  <c r="O2241" i="2"/>
  <c r="O2242" i="2"/>
  <c r="O2243" i="2"/>
  <c r="O2244" i="2"/>
  <c r="O2245" i="2"/>
  <c r="O2246" i="2"/>
  <c r="O2247" i="2"/>
  <c r="O2248" i="2"/>
  <c r="O2249" i="2"/>
  <c r="O2250" i="2"/>
  <c r="O2251" i="2"/>
  <c r="O2252" i="2"/>
  <c r="O2253" i="2"/>
  <c r="O2254" i="2"/>
  <c r="O2255" i="2"/>
  <c r="O2256" i="2"/>
  <c r="O2257" i="2"/>
  <c r="O2258" i="2"/>
  <c r="O2259" i="2"/>
  <c r="O2260" i="2"/>
  <c r="O2261" i="2"/>
  <c r="O2262" i="2"/>
  <c r="O2263" i="2"/>
  <c r="O2264" i="2"/>
  <c r="O2265" i="2"/>
  <c r="O2266" i="2"/>
  <c r="O2267" i="2"/>
  <c r="O2268" i="2"/>
  <c r="O2269" i="2"/>
  <c r="O2270" i="2"/>
  <c r="O2271" i="2"/>
  <c r="O2272" i="2"/>
  <c r="O2273" i="2"/>
  <c r="O2274" i="2"/>
  <c r="O2275" i="2"/>
  <c r="O2276" i="2"/>
  <c r="O2277" i="2"/>
  <c r="O2278" i="2"/>
  <c r="O2279" i="2"/>
  <c r="O2280" i="2"/>
  <c r="O2281" i="2"/>
  <c r="O2282" i="2"/>
  <c r="O2283" i="2"/>
  <c r="O2284" i="2"/>
  <c r="O2285" i="2"/>
  <c r="O2286" i="2"/>
  <c r="O2287" i="2"/>
  <c r="O2288" i="2"/>
  <c r="O2289" i="2"/>
  <c r="O2290" i="2"/>
  <c r="O2291" i="2"/>
  <c r="O2292" i="2"/>
  <c r="O2293" i="2"/>
  <c r="O2294" i="2"/>
  <c r="O2295" i="2"/>
  <c r="O2296" i="2"/>
  <c r="O2297" i="2"/>
  <c r="O2298" i="2"/>
  <c r="O2299" i="2"/>
  <c r="O2300" i="2"/>
  <c r="O2301" i="2"/>
  <c r="O2302" i="2"/>
  <c r="O2303" i="2"/>
  <c r="O2304" i="2"/>
  <c r="O2305" i="2"/>
  <c r="O2306" i="2"/>
  <c r="O2307" i="2"/>
  <c r="O2308" i="2"/>
  <c r="O2309" i="2"/>
  <c r="O2310" i="2"/>
  <c r="O2311" i="2"/>
  <c r="O2312" i="2"/>
  <c r="O2313" i="2"/>
  <c r="O2314" i="2"/>
  <c r="O2315" i="2"/>
  <c r="O2316" i="2"/>
  <c r="O2317" i="2"/>
  <c r="O2318" i="2"/>
  <c r="O2319" i="2"/>
  <c r="O2320" i="2"/>
  <c r="O2321" i="2"/>
  <c r="O2322" i="2"/>
  <c r="O2323" i="2"/>
  <c r="O2324" i="2"/>
  <c r="O2325" i="2"/>
  <c r="O2326" i="2"/>
  <c r="O2327" i="2"/>
  <c r="O2328" i="2"/>
  <c r="O2329" i="2"/>
  <c r="O2330" i="2"/>
  <c r="O2331" i="2"/>
  <c r="O2332" i="2"/>
  <c r="O2333" i="2"/>
  <c r="O2334" i="2"/>
  <c r="O2335" i="2"/>
  <c r="O2336" i="2"/>
  <c r="O2337" i="2"/>
  <c r="O2338" i="2"/>
  <c r="O2339" i="2"/>
  <c r="O2340" i="2"/>
  <c r="O2341" i="2"/>
  <c r="O2342" i="2"/>
  <c r="O2343" i="2"/>
  <c r="O2344" i="2"/>
  <c r="O2345" i="2"/>
  <c r="O2346" i="2"/>
  <c r="O2347" i="2"/>
  <c r="O2348" i="2"/>
  <c r="O2349" i="2"/>
  <c r="O2350" i="2"/>
  <c r="O2351" i="2"/>
  <c r="O2352" i="2"/>
  <c r="O2353" i="2"/>
  <c r="O2354" i="2"/>
  <c r="O2355" i="2"/>
  <c r="O2356" i="2"/>
  <c r="O2357" i="2"/>
  <c r="O2358" i="2"/>
  <c r="O2359" i="2"/>
  <c r="O2360" i="2"/>
  <c r="O2361" i="2"/>
  <c r="O2362" i="2"/>
  <c r="O2363" i="2"/>
  <c r="O2364" i="2"/>
  <c r="O2365" i="2"/>
  <c r="O2366" i="2"/>
  <c r="O2367" i="2"/>
  <c r="O2368" i="2"/>
  <c r="O2369" i="2"/>
  <c r="O2370" i="2"/>
  <c r="O2371" i="2"/>
  <c r="O2372" i="2"/>
  <c r="O2373" i="2"/>
  <c r="O2374" i="2"/>
  <c r="O2375" i="2"/>
  <c r="O2376" i="2"/>
  <c r="O2377" i="2"/>
  <c r="O2378" i="2"/>
  <c r="O2379" i="2"/>
  <c r="O2380" i="2"/>
  <c r="O2381" i="2"/>
  <c r="O2382" i="2"/>
  <c r="O2383" i="2"/>
  <c r="O2384" i="2"/>
  <c r="O2385" i="2"/>
  <c r="O2386" i="2"/>
  <c r="O2387" i="2"/>
  <c r="O2388" i="2"/>
  <c r="N2" i="2"/>
  <c r="N3" i="2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480" i="2"/>
  <c r="N481" i="2"/>
  <c r="N482" i="2"/>
  <c r="N483" i="2"/>
  <c r="N484" i="2"/>
  <c r="N485" i="2"/>
  <c r="N486" i="2"/>
  <c r="N487" i="2"/>
  <c r="N488" i="2"/>
  <c r="N489" i="2"/>
  <c r="N490" i="2"/>
  <c r="N491" i="2"/>
  <c r="N492" i="2"/>
  <c r="N493" i="2"/>
  <c r="N494" i="2"/>
  <c r="N495" i="2"/>
  <c r="N496" i="2"/>
  <c r="N497" i="2"/>
  <c r="N498" i="2"/>
  <c r="N499" i="2"/>
  <c r="N500" i="2"/>
  <c r="N501" i="2"/>
  <c r="N502" i="2"/>
  <c r="N503" i="2"/>
  <c r="N504" i="2"/>
  <c r="N505" i="2"/>
  <c r="N506" i="2"/>
  <c r="N507" i="2"/>
  <c r="N508" i="2"/>
  <c r="N509" i="2"/>
  <c r="N510" i="2"/>
  <c r="N511" i="2"/>
  <c r="N512" i="2"/>
  <c r="N513" i="2"/>
  <c r="N514" i="2"/>
  <c r="N515" i="2"/>
  <c r="N516" i="2"/>
  <c r="N517" i="2"/>
  <c r="N518" i="2"/>
  <c r="N519" i="2"/>
  <c r="N520" i="2"/>
  <c r="N521" i="2"/>
  <c r="N522" i="2"/>
  <c r="N523" i="2"/>
  <c r="N524" i="2"/>
  <c r="N525" i="2"/>
  <c r="N526" i="2"/>
  <c r="N527" i="2"/>
  <c r="N528" i="2"/>
  <c r="N529" i="2"/>
  <c r="N530" i="2"/>
  <c r="N531" i="2"/>
  <c r="N532" i="2"/>
  <c r="N533" i="2"/>
  <c r="N534" i="2"/>
  <c r="N535" i="2"/>
  <c r="N536" i="2"/>
  <c r="N537" i="2"/>
  <c r="N538" i="2"/>
  <c r="N539" i="2"/>
  <c r="N540" i="2"/>
  <c r="N541" i="2"/>
  <c r="N542" i="2"/>
  <c r="N543" i="2"/>
  <c r="N544" i="2"/>
  <c r="N545" i="2"/>
  <c r="N546" i="2"/>
  <c r="N547" i="2"/>
  <c r="N548" i="2"/>
  <c r="N549" i="2"/>
  <c r="N550" i="2"/>
  <c r="N551" i="2"/>
  <c r="N552" i="2"/>
  <c r="N553" i="2"/>
  <c r="N554" i="2"/>
  <c r="N555" i="2"/>
  <c r="N556" i="2"/>
  <c r="N557" i="2"/>
  <c r="N558" i="2"/>
  <c r="N559" i="2"/>
  <c r="N560" i="2"/>
  <c r="N561" i="2"/>
  <c r="N562" i="2"/>
  <c r="N563" i="2"/>
  <c r="N564" i="2"/>
  <c r="N565" i="2"/>
  <c r="N566" i="2"/>
  <c r="N567" i="2"/>
  <c r="N568" i="2"/>
  <c r="N569" i="2"/>
  <c r="N570" i="2"/>
  <c r="N571" i="2"/>
  <c r="N572" i="2"/>
  <c r="N573" i="2"/>
  <c r="N574" i="2"/>
  <c r="N575" i="2"/>
  <c r="N576" i="2"/>
  <c r="N577" i="2"/>
  <c r="N578" i="2"/>
  <c r="N579" i="2"/>
  <c r="N580" i="2"/>
  <c r="N581" i="2"/>
  <c r="N582" i="2"/>
  <c r="N583" i="2"/>
  <c r="N584" i="2"/>
  <c r="N585" i="2"/>
  <c r="N586" i="2"/>
  <c r="N587" i="2"/>
  <c r="N588" i="2"/>
  <c r="N589" i="2"/>
  <c r="N590" i="2"/>
  <c r="N591" i="2"/>
  <c r="N592" i="2"/>
  <c r="N593" i="2"/>
  <c r="N594" i="2"/>
  <c r="N595" i="2"/>
  <c r="N596" i="2"/>
  <c r="N597" i="2"/>
  <c r="N598" i="2"/>
  <c r="N599" i="2"/>
  <c r="N600" i="2"/>
  <c r="N601" i="2"/>
  <c r="N602" i="2"/>
  <c r="N603" i="2"/>
  <c r="N604" i="2"/>
  <c r="N605" i="2"/>
  <c r="N606" i="2"/>
  <c r="N607" i="2"/>
  <c r="N608" i="2"/>
  <c r="N609" i="2"/>
  <c r="N610" i="2"/>
  <c r="N611" i="2"/>
  <c r="N612" i="2"/>
  <c r="N613" i="2"/>
  <c r="N614" i="2"/>
  <c r="N615" i="2"/>
  <c r="N616" i="2"/>
  <c r="N617" i="2"/>
  <c r="N618" i="2"/>
  <c r="N619" i="2"/>
  <c r="N620" i="2"/>
  <c r="N621" i="2"/>
  <c r="N622" i="2"/>
  <c r="N623" i="2"/>
  <c r="N624" i="2"/>
  <c r="N625" i="2"/>
  <c r="N626" i="2"/>
  <c r="N627" i="2"/>
  <c r="N628" i="2"/>
  <c r="N629" i="2"/>
  <c r="N630" i="2"/>
  <c r="N631" i="2"/>
  <c r="N632" i="2"/>
  <c r="N633" i="2"/>
  <c r="N634" i="2"/>
  <c r="N635" i="2"/>
  <c r="N636" i="2"/>
  <c r="N637" i="2"/>
  <c r="N638" i="2"/>
  <c r="N639" i="2"/>
  <c r="N640" i="2"/>
  <c r="N641" i="2"/>
  <c r="N642" i="2"/>
  <c r="N643" i="2"/>
  <c r="N644" i="2"/>
  <c r="N645" i="2"/>
  <c r="N646" i="2"/>
  <c r="N647" i="2"/>
  <c r="N648" i="2"/>
  <c r="N649" i="2"/>
  <c r="N650" i="2"/>
  <c r="N651" i="2"/>
  <c r="N652" i="2"/>
  <c r="N653" i="2"/>
  <c r="N654" i="2"/>
  <c r="N655" i="2"/>
  <c r="N656" i="2"/>
  <c r="N657" i="2"/>
  <c r="N658" i="2"/>
  <c r="N659" i="2"/>
  <c r="N660" i="2"/>
  <c r="N661" i="2"/>
  <c r="N662" i="2"/>
  <c r="N663" i="2"/>
  <c r="N664" i="2"/>
  <c r="N665" i="2"/>
  <c r="N666" i="2"/>
  <c r="N667" i="2"/>
  <c r="N668" i="2"/>
  <c r="N669" i="2"/>
  <c r="N670" i="2"/>
  <c r="N671" i="2"/>
  <c r="N672" i="2"/>
  <c r="N673" i="2"/>
  <c r="N674" i="2"/>
  <c r="N675" i="2"/>
  <c r="N676" i="2"/>
  <c r="N677" i="2"/>
  <c r="N678" i="2"/>
  <c r="N679" i="2"/>
  <c r="N680" i="2"/>
  <c r="N681" i="2"/>
  <c r="N682" i="2"/>
  <c r="N683" i="2"/>
  <c r="N684" i="2"/>
  <c r="N685" i="2"/>
  <c r="N686" i="2"/>
  <c r="N687" i="2"/>
  <c r="N688" i="2"/>
  <c r="N689" i="2"/>
  <c r="N690" i="2"/>
  <c r="N691" i="2"/>
  <c r="N692" i="2"/>
  <c r="N693" i="2"/>
  <c r="N694" i="2"/>
  <c r="N695" i="2"/>
  <c r="N696" i="2"/>
  <c r="N697" i="2"/>
  <c r="N698" i="2"/>
  <c r="N699" i="2"/>
  <c r="N700" i="2"/>
  <c r="N701" i="2"/>
  <c r="N702" i="2"/>
  <c r="N703" i="2"/>
  <c r="N704" i="2"/>
  <c r="N705" i="2"/>
  <c r="N706" i="2"/>
  <c r="N707" i="2"/>
  <c r="N708" i="2"/>
  <c r="N709" i="2"/>
  <c r="N710" i="2"/>
  <c r="N711" i="2"/>
  <c r="N712" i="2"/>
  <c r="N713" i="2"/>
  <c r="N714" i="2"/>
  <c r="N715" i="2"/>
  <c r="N716" i="2"/>
  <c r="N717" i="2"/>
  <c r="N718" i="2"/>
  <c r="N719" i="2"/>
  <c r="N720" i="2"/>
  <c r="N721" i="2"/>
  <c r="N722" i="2"/>
  <c r="N723" i="2"/>
  <c r="N724" i="2"/>
  <c r="N725" i="2"/>
  <c r="N726" i="2"/>
  <c r="N727" i="2"/>
  <c r="N728" i="2"/>
  <c r="N729" i="2"/>
  <c r="N730" i="2"/>
  <c r="N731" i="2"/>
  <c r="N732" i="2"/>
  <c r="N733" i="2"/>
  <c r="N734" i="2"/>
  <c r="N735" i="2"/>
  <c r="N736" i="2"/>
  <c r="N737" i="2"/>
  <c r="N738" i="2"/>
  <c r="N739" i="2"/>
  <c r="N740" i="2"/>
  <c r="N741" i="2"/>
  <c r="N742" i="2"/>
  <c r="N743" i="2"/>
  <c r="N744" i="2"/>
  <c r="N745" i="2"/>
  <c r="N746" i="2"/>
  <c r="N747" i="2"/>
  <c r="N748" i="2"/>
  <c r="N749" i="2"/>
  <c r="N750" i="2"/>
  <c r="N751" i="2"/>
  <c r="N752" i="2"/>
  <c r="N753" i="2"/>
  <c r="N754" i="2"/>
  <c r="N755" i="2"/>
  <c r="N756" i="2"/>
  <c r="N757" i="2"/>
  <c r="N758" i="2"/>
  <c r="N759" i="2"/>
  <c r="N760" i="2"/>
  <c r="N761" i="2"/>
  <c r="N762" i="2"/>
  <c r="N763" i="2"/>
  <c r="N764" i="2"/>
  <c r="N765" i="2"/>
  <c r="N766" i="2"/>
  <c r="N767" i="2"/>
  <c r="N768" i="2"/>
  <c r="N769" i="2"/>
  <c r="N770" i="2"/>
  <c r="N771" i="2"/>
  <c r="N772" i="2"/>
  <c r="N773" i="2"/>
  <c r="N774" i="2"/>
  <c r="N775" i="2"/>
  <c r="N776" i="2"/>
  <c r="N777" i="2"/>
  <c r="N778" i="2"/>
  <c r="N779" i="2"/>
  <c r="N780" i="2"/>
  <c r="N781" i="2"/>
  <c r="N782" i="2"/>
  <c r="N783" i="2"/>
  <c r="N784" i="2"/>
  <c r="N785" i="2"/>
  <c r="N786" i="2"/>
  <c r="N787" i="2"/>
  <c r="N788" i="2"/>
  <c r="N789" i="2"/>
  <c r="N790" i="2"/>
  <c r="N791" i="2"/>
  <c r="N792" i="2"/>
  <c r="N793" i="2"/>
  <c r="N794" i="2"/>
  <c r="N795" i="2"/>
  <c r="N796" i="2"/>
  <c r="N797" i="2"/>
  <c r="N798" i="2"/>
  <c r="N799" i="2"/>
  <c r="N800" i="2"/>
  <c r="N801" i="2"/>
  <c r="N802" i="2"/>
  <c r="N803" i="2"/>
  <c r="N804" i="2"/>
  <c r="N805" i="2"/>
  <c r="N806" i="2"/>
  <c r="N807" i="2"/>
  <c r="N808" i="2"/>
  <c r="N809" i="2"/>
  <c r="N810" i="2"/>
  <c r="N811" i="2"/>
  <c r="N812" i="2"/>
  <c r="N813" i="2"/>
  <c r="N814" i="2"/>
  <c r="N815" i="2"/>
  <c r="N816" i="2"/>
  <c r="N817" i="2"/>
  <c r="N818" i="2"/>
  <c r="N819" i="2"/>
  <c r="N820" i="2"/>
  <c r="N821" i="2"/>
  <c r="N822" i="2"/>
  <c r="N823" i="2"/>
  <c r="N824" i="2"/>
  <c r="N825" i="2"/>
  <c r="N826" i="2"/>
  <c r="N827" i="2"/>
  <c r="N828" i="2"/>
  <c r="N829" i="2"/>
  <c r="N830" i="2"/>
  <c r="N831" i="2"/>
  <c r="N832" i="2"/>
  <c r="N833" i="2"/>
  <c r="N834" i="2"/>
  <c r="N835" i="2"/>
  <c r="N836" i="2"/>
  <c r="N837" i="2"/>
  <c r="N838" i="2"/>
  <c r="N839" i="2"/>
  <c r="N840" i="2"/>
  <c r="N841" i="2"/>
  <c r="N842" i="2"/>
  <c r="N843" i="2"/>
  <c r="N844" i="2"/>
  <c r="N845" i="2"/>
  <c r="N846" i="2"/>
  <c r="N847" i="2"/>
  <c r="N848" i="2"/>
  <c r="N849" i="2"/>
  <c r="N850" i="2"/>
  <c r="N851" i="2"/>
  <c r="N852" i="2"/>
  <c r="N853" i="2"/>
  <c r="N854" i="2"/>
  <c r="N855" i="2"/>
  <c r="N856" i="2"/>
  <c r="N857" i="2"/>
  <c r="N858" i="2"/>
  <c r="N859" i="2"/>
  <c r="N860" i="2"/>
  <c r="N861" i="2"/>
  <c r="N862" i="2"/>
  <c r="N863" i="2"/>
  <c r="N864" i="2"/>
  <c r="N865" i="2"/>
  <c r="N866" i="2"/>
  <c r="N867" i="2"/>
  <c r="N868" i="2"/>
  <c r="N869" i="2"/>
  <c r="N870" i="2"/>
  <c r="N871" i="2"/>
  <c r="N872" i="2"/>
  <c r="N873" i="2"/>
  <c r="N874" i="2"/>
  <c r="N875" i="2"/>
  <c r="N876" i="2"/>
  <c r="N877" i="2"/>
  <c r="N878" i="2"/>
  <c r="N879" i="2"/>
  <c r="N880" i="2"/>
  <c r="N881" i="2"/>
  <c r="N882" i="2"/>
  <c r="N883" i="2"/>
  <c r="N884" i="2"/>
  <c r="N885" i="2"/>
  <c r="N886" i="2"/>
  <c r="N887" i="2"/>
  <c r="N888" i="2"/>
  <c r="N889" i="2"/>
  <c r="N890" i="2"/>
  <c r="N891" i="2"/>
  <c r="N892" i="2"/>
  <c r="N893" i="2"/>
  <c r="N894" i="2"/>
  <c r="N895" i="2"/>
  <c r="N896" i="2"/>
  <c r="N897" i="2"/>
  <c r="N898" i="2"/>
  <c r="N899" i="2"/>
  <c r="N900" i="2"/>
  <c r="N901" i="2"/>
  <c r="N902" i="2"/>
  <c r="N903" i="2"/>
  <c r="N904" i="2"/>
  <c r="N905" i="2"/>
  <c r="N906" i="2"/>
  <c r="N907" i="2"/>
  <c r="N908" i="2"/>
  <c r="N909" i="2"/>
  <c r="N910" i="2"/>
  <c r="N911" i="2"/>
  <c r="N912" i="2"/>
  <c r="N913" i="2"/>
  <c r="N914" i="2"/>
  <c r="N915" i="2"/>
  <c r="N916" i="2"/>
  <c r="N917" i="2"/>
  <c r="N918" i="2"/>
  <c r="N919" i="2"/>
  <c r="N920" i="2"/>
  <c r="N921" i="2"/>
  <c r="N922" i="2"/>
  <c r="N923" i="2"/>
  <c r="N924" i="2"/>
  <c r="N925" i="2"/>
  <c r="N926" i="2"/>
  <c r="N927" i="2"/>
  <c r="N928" i="2"/>
  <c r="N929" i="2"/>
  <c r="N930" i="2"/>
  <c r="N931" i="2"/>
  <c r="N932" i="2"/>
  <c r="N933" i="2"/>
  <c r="N934" i="2"/>
  <c r="N935" i="2"/>
  <c r="N936" i="2"/>
  <c r="N937" i="2"/>
  <c r="N938" i="2"/>
  <c r="N939" i="2"/>
  <c r="N940" i="2"/>
  <c r="N941" i="2"/>
  <c r="N942" i="2"/>
  <c r="N943" i="2"/>
  <c r="N944" i="2"/>
  <c r="N945" i="2"/>
  <c r="N946" i="2"/>
  <c r="N947" i="2"/>
  <c r="N948" i="2"/>
  <c r="N949" i="2"/>
  <c r="N950" i="2"/>
  <c r="N951" i="2"/>
  <c r="N952" i="2"/>
  <c r="N953" i="2"/>
  <c r="N954" i="2"/>
  <c r="N955" i="2"/>
  <c r="N956" i="2"/>
  <c r="N957" i="2"/>
  <c r="N958" i="2"/>
  <c r="N959" i="2"/>
  <c r="N960" i="2"/>
  <c r="N961" i="2"/>
  <c r="N962" i="2"/>
  <c r="N963" i="2"/>
  <c r="N964" i="2"/>
  <c r="N965" i="2"/>
  <c r="N966" i="2"/>
  <c r="N967" i="2"/>
  <c r="N968" i="2"/>
  <c r="N969" i="2"/>
  <c r="N970" i="2"/>
  <c r="N971" i="2"/>
  <c r="N972" i="2"/>
  <c r="N973" i="2"/>
  <c r="N974" i="2"/>
  <c r="N975" i="2"/>
  <c r="N976" i="2"/>
  <c r="N977" i="2"/>
  <c r="N978" i="2"/>
  <c r="N979" i="2"/>
  <c r="N980" i="2"/>
  <c r="N981" i="2"/>
  <c r="N982" i="2"/>
  <c r="N983" i="2"/>
  <c r="N984" i="2"/>
  <c r="N985" i="2"/>
  <c r="N986" i="2"/>
  <c r="N987" i="2"/>
  <c r="N988" i="2"/>
  <c r="N989" i="2"/>
  <c r="N990" i="2"/>
  <c r="N991" i="2"/>
  <c r="N992" i="2"/>
  <c r="N993" i="2"/>
  <c r="N994" i="2"/>
  <c r="N995" i="2"/>
  <c r="N996" i="2"/>
  <c r="N997" i="2"/>
  <c r="N998" i="2"/>
  <c r="N999" i="2"/>
  <c r="N1000" i="2"/>
  <c r="N1001" i="2"/>
  <c r="N1002" i="2"/>
  <c r="N1003" i="2"/>
  <c r="N1004" i="2"/>
  <c r="N1005" i="2"/>
  <c r="N1006" i="2"/>
  <c r="N1007" i="2"/>
  <c r="N1008" i="2"/>
  <c r="N1009" i="2"/>
  <c r="N1010" i="2"/>
  <c r="N1011" i="2"/>
  <c r="N1012" i="2"/>
  <c r="N1013" i="2"/>
  <c r="N1014" i="2"/>
  <c r="N1015" i="2"/>
  <c r="N1016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N1054" i="2"/>
  <c r="N1055" i="2"/>
  <c r="N1056" i="2"/>
  <c r="N1057" i="2"/>
  <c r="N1058" i="2"/>
  <c r="N1059" i="2"/>
  <c r="N1060" i="2"/>
  <c r="N1061" i="2"/>
  <c r="N1062" i="2"/>
  <c r="N1063" i="2"/>
  <c r="N1064" i="2"/>
  <c r="N1065" i="2"/>
  <c r="N1066" i="2"/>
  <c r="N1067" i="2"/>
  <c r="N1068" i="2"/>
  <c r="N1069" i="2"/>
  <c r="N1070" i="2"/>
  <c r="N1071" i="2"/>
  <c r="N1072" i="2"/>
  <c r="N1073" i="2"/>
  <c r="N1074" i="2"/>
  <c r="N1075" i="2"/>
  <c r="N1076" i="2"/>
  <c r="N1077" i="2"/>
  <c r="N1078" i="2"/>
  <c r="N1079" i="2"/>
  <c r="N1080" i="2"/>
  <c r="N1081" i="2"/>
  <c r="N1082" i="2"/>
  <c r="N1083" i="2"/>
  <c r="N1084" i="2"/>
  <c r="N1085" i="2"/>
  <c r="N1086" i="2"/>
  <c r="N1087" i="2"/>
  <c r="N1088" i="2"/>
  <c r="N1089" i="2"/>
  <c r="N1090" i="2"/>
  <c r="N1091" i="2"/>
  <c r="N1092" i="2"/>
  <c r="N1093" i="2"/>
  <c r="N1094" i="2"/>
  <c r="N1095" i="2"/>
  <c r="N1096" i="2"/>
  <c r="N1097" i="2"/>
  <c r="N1098" i="2"/>
  <c r="N1099" i="2"/>
  <c r="N1100" i="2"/>
  <c r="N1101" i="2"/>
  <c r="N1102" i="2"/>
  <c r="N1103" i="2"/>
  <c r="N1104" i="2"/>
  <c r="N1105" i="2"/>
  <c r="N1106" i="2"/>
  <c r="N1107" i="2"/>
  <c r="N1108" i="2"/>
  <c r="N1109" i="2"/>
  <c r="N1110" i="2"/>
  <c r="N1111" i="2"/>
  <c r="N1112" i="2"/>
  <c r="N1113" i="2"/>
  <c r="N1114" i="2"/>
  <c r="N1115" i="2"/>
  <c r="N1116" i="2"/>
  <c r="N1117" i="2"/>
  <c r="N1118" i="2"/>
  <c r="N1119" i="2"/>
  <c r="N1120" i="2"/>
  <c r="N1121" i="2"/>
  <c r="N1122" i="2"/>
  <c r="N1123" i="2"/>
  <c r="N1124" i="2"/>
  <c r="N1125" i="2"/>
  <c r="N1126" i="2"/>
  <c r="N1127" i="2"/>
  <c r="N1128" i="2"/>
  <c r="N1129" i="2"/>
  <c r="N1130" i="2"/>
  <c r="N1131" i="2"/>
  <c r="N1132" i="2"/>
  <c r="N1133" i="2"/>
  <c r="N1134" i="2"/>
  <c r="N1135" i="2"/>
  <c r="N1136" i="2"/>
  <c r="N1137" i="2"/>
  <c r="N1138" i="2"/>
  <c r="N1139" i="2"/>
  <c r="N1140" i="2"/>
  <c r="N1141" i="2"/>
  <c r="N1142" i="2"/>
  <c r="N1143" i="2"/>
  <c r="N1144" i="2"/>
  <c r="N1145" i="2"/>
  <c r="N1146" i="2"/>
  <c r="N1147" i="2"/>
  <c r="N1148" i="2"/>
  <c r="N1149" i="2"/>
  <c r="N1150" i="2"/>
  <c r="N1151" i="2"/>
  <c r="N1152" i="2"/>
  <c r="N1153" i="2"/>
  <c r="N1154" i="2"/>
  <c r="N1155" i="2"/>
  <c r="N1156" i="2"/>
  <c r="N1157" i="2"/>
  <c r="N1158" i="2"/>
  <c r="N1159" i="2"/>
  <c r="N1160" i="2"/>
  <c r="N1161" i="2"/>
  <c r="N1162" i="2"/>
  <c r="N1163" i="2"/>
  <c r="N1164" i="2"/>
  <c r="N1165" i="2"/>
  <c r="N1166" i="2"/>
  <c r="N1167" i="2"/>
  <c r="N1168" i="2"/>
  <c r="N1169" i="2"/>
  <c r="N1170" i="2"/>
  <c r="N1171" i="2"/>
  <c r="N1172" i="2"/>
  <c r="N1173" i="2"/>
  <c r="N1174" i="2"/>
  <c r="N1175" i="2"/>
  <c r="N1176" i="2"/>
  <c r="N1177" i="2"/>
  <c r="N1178" i="2"/>
  <c r="N1179" i="2"/>
  <c r="N1180" i="2"/>
  <c r="N1181" i="2"/>
  <c r="N1182" i="2"/>
  <c r="N1183" i="2"/>
  <c r="N1184" i="2"/>
  <c r="N1185" i="2"/>
  <c r="N1186" i="2"/>
  <c r="N1187" i="2"/>
  <c r="N1188" i="2"/>
  <c r="N1189" i="2"/>
  <c r="N1190" i="2"/>
  <c r="N1191" i="2"/>
  <c r="N1192" i="2"/>
  <c r="N1193" i="2"/>
  <c r="N1194" i="2"/>
  <c r="N1195" i="2"/>
  <c r="N1196" i="2"/>
  <c r="N1197" i="2"/>
  <c r="N1198" i="2"/>
  <c r="N1199" i="2"/>
  <c r="N1200" i="2"/>
  <c r="N1201" i="2"/>
  <c r="N1202" i="2"/>
  <c r="N1203" i="2"/>
  <c r="N1204" i="2"/>
  <c r="N1205" i="2"/>
  <c r="N1206" i="2"/>
  <c r="N1207" i="2"/>
  <c r="N1208" i="2"/>
  <c r="N1209" i="2"/>
  <c r="N1210" i="2"/>
  <c r="N1211" i="2"/>
  <c r="N1212" i="2"/>
  <c r="N1213" i="2"/>
  <c r="N1214" i="2"/>
  <c r="N1215" i="2"/>
  <c r="N1216" i="2"/>
  <c r="N1217" i="2"/>
  <c r="N1218" i="2"/>
  <c r="N1219" i="2"/>
  <c r="N1220" i="2"/>
  <c r="N1221" i="2"/>
  <c r="N1222" i="2"/>
  <c r="N1223" i="2"/>
  <c r="N1224" i="2"/>
  <c r="N1225" i="2"/>
  <c r="N1226" i="2"/>
  <c r="N1227" i="2"/>
  <c r="N1228" i="2"/>
  <c r="N1229" i="2"/>
  <c r="N1230" i="2"/>
  <c r="N1231" i="2"/>
  <c r="N1232" i="2"/>
  <c r="N1233" i="2"/>
  <c r="N1234" i="2"/>
  <c r="N1235" i="2"/>
  <c r="N1236" i="2"/>
  <c r="N1237" i="2"/>
  <c r="N1238" i="2"/>
  <c r="N1239" i="2"/>
  <c r="N1240" i="2"/>
  <c r="N1241" i="2"/>
  <c r="N1242" i="2"/>
  <c r="N1243" i="2"/>
  <c r="N1244" i="2"/>
  <c r="N1245" i="2"/>
  <c r="N1246" i="2"/>
  <c r="N1247" i="2"/>
  <c r="N1248" i="2"/>
  <c r="N1249" i="2"/>
  <c r="N1250" i="2"/>
  <c r="N1251" i="2"/>
  <c r="N1252" i="2"/>
  <c r="N1253" i="2"/>
  <c r="N1254" i="2"/>
  <c r="N1255" i="2"/>
  <c r="N1256" i="2"/>
  <c r="N1257" i="2"/>
  <c r="N1258" i="2"/>
  <c r="N1259" i="2"/>
  <c r="N1260" i="2"/>
  <c r="N1261" i="2"/>
  <c r="N1262" i="2"/>
  <c r="N1263" i="2"/>
  <c r="N1264" i="2"/>
  <c r="N1265" i="2"/>
  <c r="N1266" i="2"/>
  <c r="N1267" i="2"/>
  <c r="N1268" i="2"/>
  <c r="N1269" i="2"/>
  <c r="N1270" i="2"/>
  <c r="N1271" i="2"/>
  <c r="N1272" i="2"/>
  <c r="N1273" i="2"/>
  <c r="N1274" i="2"/>
  <c r="N1275" i="2"/>
  <c r="N1276" i="2"/>
  <c r="N1277" i="2"/>
  <c r="N1278" i="2"/>
  <c r="N1279" i="2"/>
  <c r="N1280" i="2"/>
  <c r="N1281" i="2"/>
  <c r="N1282" i="2"/>
  <c r="N1283" i="2"/>
  <c r="N1284" i="2"/>
  <c r="N1285" i="2"/>
  <c r="N1286" i="2"/>
  <c r="N1287" i="2"/>
  <c r="N1288" i="2"/>
  <c r="N1289" i="2"/>
  <c r="N1290" i="2"/>
  <c r="N1291" i="2"/>
  <c r="N1292" i="2"/>
  <c r="N1293" i="2"/>
  <c r="N1294" i="2"/>
  <c r="N1295" i="2"/>
  <c r="N1296" i="2"/>
  <c r="N1297" i="2"/>
  <c r="N1298" i="2"/>
  <c r="N1299" i="2"/>
  <c r="N1300" i="2"/>
  <c r="N1301" i="2"/>
  <c r="N1302" i="2"/>
  <c r="N1303" i="2"/>
  <c r="N1304" i="2"/>
  <c r="N1305" i="2"/>
  <c r="N1306" i="2"/>
  <c r="N1307" i="2"/>
  <c r="N1308" i="2"/>
  <c r="N1309" i="2"/>
  <c r="N1310" i="2"/>
  <c r="N1311" i="2"/>
  <c r="N1312" i="2"/>
  <c r="N1313" i="2"/>
  <c r="N1314" i="2"/>
  <c r="N1315" i="2"/>
  <c r="N1316" i="2"/>
  <c r="N1317" i="2"/>
  <c r="N1318" i="2"/>
  <c r="N1319" i="2"/>
  <c r="N1320" i="2"/>
  <c r="N1321" i="2"/>
  <c r="N1322" i="2"/>
  <c r="N1323" i="2"/>
  <c r="N1324" i="2"/>
  <c r="N1325" i="2"/>
  <c r="N1326" i="2"/>
  <c r="N1327" i="2"/>
  <c r="N1328" i="2"/>
  <c r="N1329" i="2"/>
  <c r="N1330" i="2"/>
  <c r="N1331" i="2"/>
  <c r="N1332" i="2"/>
  <c r="N1333" i="2"/>
  <c r="N1334" i="2"/>
  <c r="N1335" i="2"/>
  <c r="N1336" i="2"/>
  <c r="N1337" i="2"/>
  <c r="N1338" i="2"/>
  <c r="N1339" i="2"/>
  <c r="N1340" i="2"/>
  <c r="N1341" i="2"/>
  <c r="N1342" i="2"/>
  <c r="N1343" i="2"/>
  <c r="N1344" i="2"/>
  <c r="N1345" i="2"/>
  <c r="N1346" i="2"/>
  <c r="N1347" i="2"/>
  <c r="N1348" i="2"/>
  <c r="N1349" i="2"/>
  <c r="N1350" i="2"/>
  <c r="N1351" i="2"/>
  <c r="N1352" i="2"/>
  <c r="N1353" i="2"/>
  <c r="N1354" i="2"/>
  <c r="N1355" i="2"/>
  <c r="N1356" i="2"/>
  <c r="N1357" i="2"/>
  <c r="N1358" i="2"/>
  <c r="N1359" i="2"/>
  <c r="N1360" i="2"/>
  <c r="N1361" i="2"/>
  <c r="N1362" i="2"/>
  <c r="N1363" i="2"/>
  <c r="N1364" i="2"/>
  <c r="N1365" i="2"/>
  <c r="N1366" i="2"/>
  <c r="N1367" i="2"/>
  <c r="N1368" i="2"/>
  <c r="N1369" i="2"/>
  <c r="N1370" i="2"/>
  <c r="N1371" i="2"/>
  <c r="N1372" i="2"/>
  <c r="N1373" i="2"/>
  <c r="N1374" i="2"/>
  <c r="N1375" i="2"/>
  <c r="N1376" i="2"/>
  <c r="N1377" i="2"/>
  <c r="N1378" i="2"/>
  <c r="N1379" i="2"/>
  <c r="N1380" i="2"/>
  <c r="N1381" i="2"/>
  <c r="N1382" i="2"/>
  <c r="N1383" i="2"/>
  <c r="N1384" i="2"/>
  <c r="N1385" i="2"/>
  <c r="N1386" i="2"/>
  <c r="N1387" i="2"/>
  <c r="N1388" i="2"/>
  <c r="N1389" i="2"/>
  <c r="N1390" i="2"/>
  <c r="N1391" i="2"/>
  <c r="N1392" i="2"/>
  <c r="N1393" i="2"/>
  <c r="N1394" i="2"/>
  <c r="N1395" i="2"/>
  <c r="N1396" i="2"/>
  <c r="N1397" i="2"/>
  <c r="N1398" i="2"/>
  <c r="N1399" i="2"/>
  <c r="N1400" i="2"/>
  <c r="N1401" i="2"/>
  <c r="N1402" i="2"/>
  <c r="N1403" i="2"/>
  <c r="N1404" i="2"/>
  <c r="N1405" i="2"/>
  <c r="N1406" i="2"/>
  <c r="N1407" i="2"/>
  <c r="N1408" i="2"/>
  <c r="N1409" i="2"/>
  <c r="N1410" i="2"/>
  <c r="N1411" i="2"/>
  <c r="N1412" i="2"/>
  <c r="N1413" i="2"/>
  <c r="N1414" i="2"/>
  <c r="N1415" i="2"/>
  <c r="N1416" i="2"/>
  <c r="N1417" i="2"/>
  <c r="N1418" i="2"/>
  <c r="N1419" i="2"/>
  <c r="N1420" i="2"/>
  <c r="N1421" i="2"/>
  <c r="N1422" i="2"/>
  <c r="N1423" i="2"/>
  <c r="N1424" i="2"/>
  <c r="N1425" i="2"/>
  <c r="N1426" i="2"/>
  <c r="N1427" i="2"/>
  <c r="N1428" i="2"/>
  <c r="N1429" i="2"/>
  <c r="N1430" i="2"/>
  <c r="N1431" i="2"/>
  <c r="N1432" i="2"/>
  <c r="N1433" i="2"/>
  <c r="N1434" i="2"/>
  <c r="N1435" i="2"/>
  <c r="N1436" i="2"/>
  <c r="N1437" i="2"/>
  <c r="N1438" i="2"/>
  <c r="N1439" i="2"/>
  <c r="N1440" i="2"/>
  <c r="N1441" i="2"/>
  <c r="N1442" i="2"/>
  <c r="N1443" i="2"/>
  <c r="N1444" i="2"/>
  <c r="N1445" i="2"/>
  <c r="N1446" i="2"/>
  <c r="N1447" i="2"/>
  <c r="N1448" i="2"/>
  <c r="N1449" i="2"/>
  <c r="N1450" i="2"/>
  <c r="N1451" i="2"/>
  <c r="N1452" i="2"/>
  <c r="N1453" i="2"/>
  <c r="N1454" i="2"/>
  <c r="N1455" i="2"/>
  <c r="N1456" i="2"/>
  <c r="N1457" i="2"/>
  <c r="N1458" i="2"/>
  <c r="N1459" i="2"/>
  <c r="N1460" i="2"/>
  <c r="N1461" i="2"/>
  <c r="N1462" i="2"/>
  <c r="N1463" i="2"/>
  <c r="N1464" i="2"/>
  <c r="N1465" i="2"/>
  <c r="N1466" i="2"/>
  <c r="N1467" i="2"/>
  <c r="N1468" i="2"/>
  <c r="N1469" i="2"/>
  <c r="N1470" i="2"/>
  <c r="N1471" i="2"/>
  <c r="N1472" i="2"/>
  <c r="N1473" i="2"/>
  <c r="N1474" i="2"/>
  <c r="N1475" i="2"/>
  <c r="N1476" i="2"/>
  <c r="N1477" i="2"/>
  <c r="N1478" i="2"/>
  <c r="N1479" i="2"/>
  <c r="N1480" i="2"/>
  <c r="N1481" i="2"/>
  <c r="N1482" i="2"/>
  <c r="N1483" i="2"/>
  <c r="N1484" i="2"/>
  <c r="N1485" i="2"/>
  <c r="N1486" i="2"/>
  <c r="N1487" i="2"/>
  <c r="N1488" i="2"/>
  <c r="N1489" i="2"/>
  <c r="N1490" i="2"/>
  <c r="N1491" i="2"/>
  <c r="N1492" i="2"/>
  <c r="N1493" i="2"/>
  <c r="N1494" i="2"/>
  <c r="N1495" i="2"/>
  <c r="N1496" i="2"/>
  <c r="N1497" i="2"/>
  <c r="N1498" i="2"/>
  <c r="N1499" i="2"/>
  <c r="N1500" i="2"/>
  <c r="N1501" i="2"/>
  <c r="N1502" i="2"/>
  <c r="N1503" i="2"/>
  <c r="N1504" i="2"/>
  <c r="N1505" i="2"/>
  <c r="N1506" i="2"/>
  <c r="N1507" i="2"/>
  <c r="N1508" i="2"/>
  <c r="N1509" i="2"/>
  <c r="N1510" i="2"/>
  <c r="N1511" i="2"/>
  <c r="N1512" i="2"/>
  <c r="N1513" i="2"/>
  <c r="N1514" i="2"/>
  <c r="N1515" i="2"/>
  <c r="N1516" i="2"/>
  <c r="N1517" i="2"/>
  <c r="N1518" i="2"/>
  <c r="N1519" i="2"/>
  <c r="N1520" i="2"/>
  <c r="N1521" i="2"/>
  <c r="N1522" i="2"/>
  <c r="N1523" i="2"/>
  <c r="N1524" i="2"/>
  <c r="N1525" i="2"/>
  <c r="N1526" i="2"/>
  <c r="N1527" i="2"/>
  <c r="N1528" i="2"/>
  <c r="N1529" i="2"/>
  <c r="N1530" i="2"/>
  <c r="N1531" i="2"/>
  <c r="N1532" i="2"/>
  <c r="N1533" i="2"/>
  <c r="N1534" i="2"/>
  <c r="N1535" i="2"/>
  <c r="N1536" i="2"/>
  <c r="N1537" i="2"/>
  <c r="N1538" i="2"/>
  <c r="N1539" i="2"/>
  <c r="N1540" i="2"/>
  <c r="N1541" i="2"/>
  <c r="N1542" i="2"/>
  <c r="N1543" i="2"/>
  <c r="N1544" i="2"/>
  <c r="N1545" i="2"/>
  <c r="N1546" i="2"/>
  <c r="N1547" i="2"/>
  <c r="N1548" i="2"/>
  <c r="N1549" i="2"/>
  <c r="N1550" i="2"/>
  <c r="N1551" i="2"/>
  <c r="N1552" i="2"/>
  <c r="N1553" i="2"/>
  <c r="N1554" i="2"/>
  <c r="N1555" i="2"/>
  <c r="N1556" i="2"/>
  <c r="N1557" i="2"/>
  <c r="N1558" i="2"/>
  <c r="N1559" i="2"/>
  <c r="N1560" i="2"/>
  <c r="N1561" i="2"/>
  <c r="N1562" i="2"/>
  <c r="N1563" i="2"/>
  <c r="N1564" i="2"/>
  <c r="N1565" i="2"/>
  <c r="N1566" i="2"/>
  <c r="N1567" i="2"/>
  <c r="N1568" i="2"/>
  <c r="N1569" i="2"/>
  <c r="N1570" i="2"/>
  <c r="N1571" i="2"/>
  <c r="N1572" i="2"/>
  <c r="N1573" i="2"/>
  <c r="N1574" i="2"/>
  <c r="N1575" i="2"/>
  <c r="N1576" i="2"/>
  <c r="N1577" i="2"/>
  <c r="N1578" i="2"/>
  <c r="N1579" i="2"/>
  <c r="N1580" i="2"/>
  <c r="N1581" i="2"/>
  <c r="N1582" i="2"/>
  <c r="N1583" i="2"/>
  <c r="N1584" i="2"/>
  <c r="N1585" i="2"/>
  <c r="N1586" i="2"/>
  <c r="N1587" i="2"/>
  <c r="N1588" i="2"/>
  <c r="N1589" i="2"/>
  <c r="N1590" i="2"/>
  <c r="N1591" i="2"/>
  <c r="N1592" i="2"/>
  <c r="N1593" i="2"/>
  <c r="N1594" i="2"/>
  <c r="N1595" i="2"/>
  <c r="N1596" i="2"/>
  <c r="N1597" i="2"/>
  <c r="N1598" i="2"/>
  <c r="N1599" i="2"/>
  <c r="N1600" i="2"/>
  <c r="N1601" i="2"/>
  <c r="N1602" i="2"/>
  <c r="N1603" i="2"/>
  <c r="N1604" i="2"/>
  <c r="N1605" i="2"/>
  <c r="N1606" i="2"/>
  <c r="N1607" i="2"/>
  <c r="N1608" i="2"/>
  <c r="N1609" i="2"/>
  <c r="N1610" i="2"/>
  <c r="N1611" i="2"/>
  <c r="N1612" i="2"/>
  <c r="N1613" i="2"/>
  <c r="N1614" i="2"/>
  <c r="N1615" i="2"/>
  <c r="N1616" i="2"/>
  <c r="N1617" i="2"/>
  <c r="N1618" i="2"/>
  <c r="N1619" i="2"/>
  <c r="N1620" i="2"/>
  <c r="N1621" i="2"/>
  <c r="N1622" i="2"/>
  <c r="N1623" i="2"/>
  <c r="N1624" i="2"/>
  <c r="N1625" i="2"/>
  <c r="N1626" i="2"/>
  <c r="N1627" i="2"/>
  <c r="N1628" i="2"/>
  <c r="N1629" i="2"/>
  <c r="N1630" i="2"/>
  <c r="N1631" i="2"/>
  <c r="N1632" i="2"/>
  <c r="N1633" i="2"/>
  <c r="N1634" i="2"/>
  <c r="N1635" i="2"/>
  <c r="N1636" i="2"/>
  <c r="N1637" i="2"/>
  <c r="N1638" i="2"/>
  <c r="N1639" i="2"/>
  <c r="N1640" i="2"/>
  <c r="N1641" i="2"/>
  <c r="N1642" i="2"/>
  <c r="N1643" i="2"/>
  <c r="N1644" i="2"/>
  <c r="N1645" i="2"/>
  <c r="N1646" i="2"/>
  <c r="N1647" i="2"/>
  <c r="N1648" i="2"/>
  <c r="N1649" i="2"/>
  <c r="N1650" i="2"/>
  <c r="N1651" i="2"/>
  <c r="N1652" i="2"/>
  <c r="N1653" i="2"/>
  <c r="N1654" i="2"/>
  <c r="N1655" i="2"/>
  <c r="N1656" i="2"/>
  <c r="N1657" i="2"/>
  <c r="N1658" i="2"/>
  <c r="N1659" i="2"/>
  <c r="N1660" i="2"/>
  <c r="N1661" i="2"/>
  <c r="N1662" i="2"/>
  <c r="N1663" i="2"/>
  <c r="N1664" i="2"/>
  <c r="N1665" i="2"/>
  <c r="N1666" i="2"/>
  <c r="N1667" i="2"/>
  <c r="N1668" i="2"/>
  <c r="N1669" i="2"/>
  <c r="N1670" i="2"/>
  <c r="N1671" i="2"/>
  <c r="N1672" i="2"/>
  <c r="N1673" i="2"/>
  <c r="N1674" i="2"/>
  <c r="N1675" i="2"/>
  <c r="N1676" i="2"/>
  <c r="N1677" i="2"/>
  <c r="N1678" i="2"/>
  <c r="N1679" i="2"/>
  <c r="N1680" i="2"/>
  <c r="N1681" i="2"/>
  <c r="N1682" i="2"/>
  <c r="N1683" i="2"/>
  <c r="N1684" i="2"/>
  <c r="N1685" i="2"/>
  <c r="N1686" i="2"/>
  <c r="N1687" i="2"/>
  <c r="N1688" i="2"/>
  <c r="N1689" i="2"/>
  <c r="N1690" i="2"/>
  <c r="N1691" i="2"/>
  <c r="N1692" i="2"/>
  <c r="N1693" i="2"/>
  <c r="N1694" i="2"/>
  <c r="N1695" i="2"/>
  <c r="N1696" i="2"/>
  <c r="N1697" i="2"/>
  <c r="N1698" i="2"/>
  <c r="N1699" i="2"/>
  <c r="N1700" i="2"/>
  <c r="N1701" i="2"/>
  <c r="N1702" i="2"/>
  <c r="N1703" i="2"/>
  <c r="N1704" i="2"/>
  <c r="N1705" i="2"/>
  <c r="N1706" i="2"/>
  <c r="N1707" i="2"/>
  <c r="N1708" i="2"/>
  <c r="N1709" i="2"/>
  <c r="N1710" i="2"/>
  <c r="N1711" i="2"/>
  <c r="N1712" i="2"/>
  <c r="N1713" i="2"/>
  <c r="N1714" i="2"/>
  <c r="N1715" i="2"/>
  <c r="N1716" i="2"/>
  <c r="N1717" i="2"/>
  <c r="N1718" i="2"/>
  <c r="N1719" i="2"/>
  <c r="N1720" i="2"/>
  <c r="N1721" i="2"/>
  <c r="N1722" i="2"/>
  <c r="N1723" i="2"/>
  <c r="N1724" i="2"/>
  <c r="N1725" i="2"/>
  <c r="N1726" i="2"/>
  <c r="N1727" i="2"/>
  <c r="N1728" i="2"/>
  <c r="N1729" i="2"/>
  <c r="N1730" i="2"/>
  <c r="N1731" i="2"/>
  <c r="N1732" i="2"/>
  <c r="N1733" i="2"/>
  <c r="N1734" i="2"/>
  <c r="N1735" i="2"/>
  <c r="N1736" i="2"/>
  <c r="N1737" i="2"/>
  <c r="N1738" i="2"/>
  <c r="N1739" i="2"/>
  <c r="N1740" i="2"/>
  <c r="N1741" i="2"/>
  <c r="N1742" i="2"/>
  <c r="N1743" i="2"/>
  <c r="N1744" i="2"/>
  <c r="N1745" i="2"/>
  <c r="N1746" i="2"/>
  <c r="N1747" i="2"/>
  <c r="N1748" i="2"/>
  <c r="N1749" i="2"/>
  <c r="N1750" i="2"/>
  <c r="N1751" i="2"/>
  <c r="N1752" i="2"/>
  <c r="N1753" i="2"/>
  <c r="N1754" i="2"/>
  <c r="N1755" i="2"/>
  <c r="N1756" i="2"/>
  <c r="N1757" i="2"/>
  <c r="N1758" i="2"/>
  <c r="N1759" i="2"/>
  <c r="N1760" i="2"/>
  <c r="N1761" i="2"/>
  <c r="N1762" i="2"/>
  <c r="N1763" i="2"/>
  <c r="N1764" i="2"/>
  <c r="N1765" i="2"/>
  <c r="N1766" i="2"/>
  <c r="N1767" i="2"/>
  <c r="N1768" i="2"/>
  <c r="N1769" i="2"/>
  <c r="N1770" i="2"/>
  <c r="N1771" i="2"/>
  <c r="N1772" i="2"/>
  <c r="N1773" i="2"/>
  <c r="N1774" i="2"/>
  <c r="N1775" i="2"/>
  <c r="N1776" i="2"/>
  <c r="N1777" i="2"/>
  <c r="N1778" i="2"/>
  <c r="N1779" i="2"/>
  <c r="N1780" i="2"/>
  <c r="N1781" i="2"/>
  <c r="N1782" i="2"/>
  <c r="N1783" i="2"/>
  <c r="N1784" i="2"/>
  <c r="N1785" i="2"/>
  <c r="N1786" i="2"/>
  <c r="N1787" i="2"/>
  <c r="N1788" i="2"/>
  <c r="N1789" i="2"/>
  <c r="N1790" i="2"/>
  <c r="N1791" i="2"/>
  <c r="N1792" i="2"/>
  <c r="N1793" i="2"/>
  <c r="N1794" i="2"/>
  <c r="N1795" i="2"/>
  <c r="N1796" i="2"/>
  <c r="N1797" i="2"/>
  <c r="N1798" i="2"/>
  <c r="N1799" i="2"/>
  <c r="N1800" i="2"/>
  <c r="N1801" i="2"/>
  <c r="N1802" i="2"/>
  <c r="N1803" i="2"/>
  <c r="N1804" i="2"/>
  <c r="N1805" i="2"/>
  <c r="N1806" i="2"/>
  <c r="N1807" i="2"/>
  <c r="N1808" i="2"/>
  <c r="N1809" i="2"/>
  <c r="N1810" i="2"/>
  <c r="N1811" i="2"/>
  <c r="N1812" i="2"/>
  <c r="N1813" i="2"/>
  <c r="N1814" i="2"/>
  <c r="N1815" i="2"/>
  <c r="N1816" i="2"/>
  <c r="N1817" i="2"/>
  <c r="N1818" i="2"/>
  <c r="N1819" i="2"/>
  <c r="N1820" i="2"/>
  <c r="N1821" i="2"/>
  <c r="N1822" i="2"/>
  <c r="N1823" i="2"/>
  <c r="N1824" i="2"/>
  <c r="N1825" i="2"/>
  <c r="N1826" i="2"/>
  <c r="N1827" i="2"/>
  <c r="N1828" i="2"/>
  <c r="N1829" i="2"/>
  <c r="N1830" i="2"/>
  <c r="N1831" i="2"/>
  <c r="N1832" i="2"/>
  <c r="N1833" i="2"/>
  <c r="N1834" i="2"/>
  <c r="N1835" i="2"/>
  <c r="N1836" i="2"/>
  <c r="N1837" i="2"/>
  <c r="N1838" i="2"/>
  <c r="N1839" i="2"/>
  <c r="N1840" i="2"/>
  <c r="N1841" i="2"/>
  <c r="N1842" i="2"/>
  <c r="N1843" i="2"/>
  <c r="N1844" i="2"/>
  <c r="N1845" i="2"/>
  <c r="N1846" i="2"/>
  <c r="N1847" i="2"/>
  <c r="N1848" i="2"/>
  <c r="N1849" i="2"/>
  <c r="N1850" i="2"/>
  <c r="N1851" i="2"/>
  <c r="N1852" i="2"/>
  <c r="N1853" i="2"/>
  <c r="N1854" i="2"/>
  <c r="N1855" i="2"/>
  <c r="N1856" i="2"/>
  <c r="N1857" i="2"/>
  <c r="N1858" i="2"/>
  <c r="N1859" i="2"/>
  <c r="N1860" i="2"/>
  <c r="N1861" i="2"/>
  <c r="N1862" i="2"/>
  <c r="N1863" i="2"/>
  <c r="N1864" i="2"/>
  <c r="N1865" i="2"/>
  <c r="N1866" i="2"/>
  <c r="N1867" i="2"/>
  <c r="N1868" i="2"/>
  <c r="N1869" i="2"/>
  <c r="N1870" i="2"/>
  <c r="N1871" i="2"/>
  <c r="N1872" i="2"/>
  <c r="N1873" i="2"/>
  <c r="N1874" i="2"/>
  <c r="N1875" i="2"/>
  <c r="N1876" i="2"/>
  <c r="N1877" i="2"/>
  <c r="N1878" i="2"/>
  <c r="N1879" i="2"/>
  <c r="N1880" i="2"/>
  <c r="N1881" i="2"/>
  <c r="N1882" i="2"/>
  <c r="N1883" i="2"/>
  <c r="N1884" i="2"/>
  <c r="N1885" i="2"/>
  <c r="N1886" i="2"/>
  <c r="N1887" i="2"/>
  <c r="N1888" i="2"/>
  <c r="N1889" i="2"/>
  <c r="N1890" i="2"/>
  <c r="N1891" i="2"/>
  <c r="N1892" i="2"/>
  <c r="N1893" i="2"/>
  <c r="N1894" i="2"/>
  <c r="N1895" i="2"/>
  <c r="N1896" i="2"/>
  <c r="N1897" i="2"/>
  <c r="N1898" i="2"/>
  <c r="N1899" i="2"/>
  <c r="N1900" i="2"/>
  <c r="N1901" i="2"/>
  <c r="N1902" i="2"/>
  <c r="N1903" i="2"/>
  <c r="N1904" i="2"/>
  <c r="N1905" i="2"/>
  <c r="N1906" i="2"/>
  <c r="N1907" i="2"/>
  <c r="N1908" i="2"/>
  <c r="N1909" i="2"/>
  <c r="N1910" i="2"/>
  <c r="N1911" i="2"/>
  <c r="N1912" i="2"/>
  <c r="N1913" i="2"/>
  <c r="N1914" i="2"/>
  <c r="N1915" i="2"/>
  <c r="N1916" i="2"/>
  <c r="N1917" i="2"/>
  <c r="N1918" i="2"/>
  <c r="N1919" i="2"/>
  <c r="N1920" i="2"/>
  <c r="N1921" i="2"/>
  <c r="N1922" i="2"/>
  <c r="N1923" i="2"/>
  <c r="N1924" i="2"/>
  <c r="N1925" i="2"/>
  <c r="N1926" i="2"/>
  <c r="N1927" i="2"/>
  <c r="N1928" i="2"/>
  <c r="N1929" i="2"/>
  <c r="N1930" i="2"/>
  <c r="N1931" i="2"/>
  <c r="N1932" i="2"/>
  <c r="N1933" i="2"/>
  <c r="N1934" i="2"/>
  <c r="N1935" i="2"/>
  <c r="N1936" i="2"/>
  <c r="N1937" i="2"/>
  <c r="N1938" i="2"/>
  <c r="N1939" i="2"/>
  <c r="N1940" i="2"/>
  <c r="N1941" i="2"/>
  <c r="N1942" i="2"/>
  <c r="N1943" i="2"/>
  <c r="N1944" i="2"/>
  <c r="N1945" i="2"/>
  <c r="N1946" i="2"/>
  <c r="N1947" i="2"/>
  <c r="N1948" i="2"/>
  <c r="N1949" i="2"/>
  <c r="N1950" i="2"/>
  <c r="N1951" i="2"/>
  <c r="N1952" i="2"/>
  <c r="N1953" i="2"/>
  <c r="N1954" i="2"/>
  <c r="N1955" i="2"/>
  <c r="N1956" i="2"/>
  <c r="N1957" i="2"/>
  <c r="N1958" i="2"/>
  <c r="N1959" i="2"/>
  <c r="N1960" i="2"/>
  <c r="N1961" i="2"/>
  <c r="N1962" i="2"/>
  <c r="N1963" i="2"/>
  <c r="N1964" i="2"/>
  <c r="N1965" i="2"/>
  <c r="N1966" i="2"/>
  <c r="N1967" i="2"/>
  <c r="N1968" i="2"/>
  <c r="N1969" i="2"/>
  <c r="N1970" i="2"/>
  <c r="N1971" i="2"/>
  <c r="N1972" i="2"/>
  <c r="N1973" i="2"/>
  <c r="N1974" i="2"/>
  <c r="N1975" i="2"/>
  <c r="N1976" i="2"/>
  <c r="N1977" i="2"/>
  <c r="N1978" i="2"/>
  <c r="N1979" i="2"/>
  <c r="N1980" i="2"/>
  <c r="N1981" i="2"/>
  <c r="N1982" i="2"/>
  <c r="N1983" i="2"/>
  <c r="N1984" i="2"/>
  <c r="N1985" i="2"/>
  <c r="N1986" i="2"/>
  <c r="N1987" i="2"/>
  <c r="N1988" i="2"/>
  <c r="N1989" i="2"/>
  <c r="N1990" i="2"/>
  <c r="N1991" i="2"/>
  <c r="N1992" i="2"/>
  <c r="N1993" i="2"/>
  <c r="N1994" i="2"/>
  <c r="N1995" i="2"/>
  <c r="N1996" i="2"/>
  <c r="N1997" i="2"/>
  <c r="N1998" i="2"/>
  <c r="N1999" i="2"/>
  <c r="N2000" i="2"/>
  <c r="N2001" i="2"/>
  <c r="N2002" i="2"/>
  <c r="N2003" i="2"/>
  <c r="N2004" i="2"/>
  <c r="N2005" i="2"/>
  <c r="N2006" i="2"/>
  <c r="N2007" i="2"/>
  <c r="N2008" i="2"/>
  <c r="N2009" i="2"/>
  <c r="N2010" i="2"/>
  <c r="N2011" i="2"/>
  <c r="N2012" i="2"/>
  <c r="N2013" i="2"/>
  <c r="N2014" i="2"/>
  <c r="N2015" i="2"/>
  <c r="N2016" i="2"/>
  <c r="N2017" i="2"/>
  <c r="N2018" i="2"/>
  <c r="N2019" i="2"/>
  <c r="N2020" i="2"/>
  <c r="N2021" i="2"/>
  <c r="N2022" i="2"/>
  <c r="N2023" i="2"/>
  <c r="N2024" i="2"/>
  <c r="N2025" i="2"/>
  <c r="N2026" i="2"/>
  <c r="N2027" i="2"/>
  <c r="N2028" i="2"/>
  <c r="N2029" i="2"/>
  <c r="N2030" i="2"/>
  <c r="N2031" i="2"/>
  <c r="N2032" i="2"/>
  <c r="N2033" i="2"/>
  <c r="N2034" i="2"/>
  <c r="N2035" i="2"/>
  <c r="N2036" i="2"/>
  <c r="N2037" i="2"/>
  <c r="N2038" i="2"/>
  <c r="N2039" i="2"/>
  <c r="N2040" i="2"/>
  <c r="N2041" i="2"/>
  <c r="N2042" i="2"/>
  <c r="N2043" i="2"/>
  <c r="N2044" i="2"/>
  <c r="N2045" i="2"/>
  <c r="N2046" i="2"/>
  <c r="N2047" i="2"/>
  <c r="N2048" i="2"/>
  <c r="N2049" i="2"/>
  <c r="N2050" i="2"/>
  <c r="N2051" i="2"/>
  <c r="N2052" i="2"/>
  <c r="N2053" i="2"/>
  <c r="N2054" i="2"/>
  <c r="N2055" i="2"/>
  <c r="N2056" i="2"/>
  <c r="N2057" i="2"/>
  <c r="N2058" i="2"/>
  <c r="N2059" i="2"/>
  <c r="N2060" i="2"/>
  <c r="N2061" i="2"/>
  <c r="N2062" i="2"/>
  <c r="N2063" i="2"/>
  <c r="N2064" i="2"/>
  <c r="N2065" i="2"/>
  <c r="N2066" i="2"/>
  <c r="N2067" i="2"/>
  <c r="N2068" i="2"/>
  <c r="N2069" i="2"/>
  <c r="N2070" i="2"/>
  <c r="N2071" i="2"/>
  <c r="N2072" i="2"/>
  <c r="N2073" i="2"/>
  <c r="N2074" i="2"/>
  <c r="N2075" i="2"/>
  <c r="N2076" i="2"/>
  <c r="N2077" i="2"/>
  <c r="N2078" i="2"/>
  <c r="N2079" i="2"/>
  <c r="N2080" i="2"/>
  <c r="N2081" i="2"/>
  <c r="N2082" i="2"/>
  <c r="N2083" i="2"/>
  <c r="N2084" i="2"/>
  <c r="N2085" i="2"/>
  <c r="N2086" i="2"/>
  <c r="N2087" i="2"/>
  <c r="N2088" i="2"/>
  <c r="N2089" i="2"/>
  <c r="N2090" i="2"/>
  <c r="N2091" i="2"/>
  <c r="N2092" i="2"/>
  <c r="N2093" i="2"/>
  <c r="N2094" i="2"/>
  <c r="N2095" i="2"/>
  <c r="N2096" i="2"/>
  <c r="N2097" i="2"/>
  <c r="N2098" i="2"/>
  <c r="N2099" i="2"/>
  <c r="N2100" i="2"/>
  <c r="N2101" i="2"/>
  <c r="N2102" i="2"/>
  <c r="N2103" i="2"/>
  <c r="N2104" i="2"/>
  <c r="N2105" i="2"/>
  <c r="N2106" i="2"/>
  <c r="N2107" i="2"/>
  <c r="N2108" i="2"/>
  <c r="N2109" i="2"/>
  <c r="N2110" i="2"/>
  <c r="N2111" i="2"/>
  <c r="N2112" i="2"/>
  <c r="N2113" i="2"/>
  <c r="N2114" i="2"/>
  <c r="N2115" i="2"/>
  <c r="N2116" i="2"/>
  <c r="N2117" i="2"/>
  <c r="N2118" i="2"/>
  <c r="N2119" i="2"/>
  <c r="N2120" i="2"/>
  <c r="N2121" i="2"/>
  <c r="N2122" i="2"/>
  <c r="N2123" i="2"/>
  <c r="N2124" i="2"/>
  <c r="N2125" i="2"/>
  <c r="N2126" i="2"/>
  <c r="N2127" i="2"/>
  <c r="N2128" i="2"/>
  <c r="N2129" i="2"/>
  <c r="N2130" i="2"/>
  <c r="N2131" i="2"/>
  <c r="N2132" i="2"/>
  <c r="N2133" i="2"/>
  <c r="N2134" i="2"/>
  <c r="N2135" i="2"/>
  <c r="N2136" i="2"/>
  <c r="N2137" i="2"/>
  <c r="N2138" i="2"/>
  <c r="N2139" i="2"/>
  <c r="N2140" i="2"/>
  <c r="N2141" i="2"/>
  <c r="N2142" i="2"/>
  <c r="N2143" i="2"/>
  <c r="N2144" i="2"/>
  <c r="N2145" i="2"/>
  <c r="N2146" i="2"/>
  <c r="N2147" i="2"/>
  <c r="N2148" i="2"/>
  <c r="N2149" i="2"/>
  <c r="N2150" i="2"/>
  <c r="N2151" i="2"/>
  <c r="N2152" i="2"/>
  <c r="N2153" i="2"/>
  <c r="N2154" i="2"/>
  <c r="N2155" i="2"/>
  <c r="N2156" i="2"/>
  <c r="N2157" i="2"/>
  <c r="N2158" i="2"/>
  <c r="N2159" i="2"/>
  <c r="N2160" i="2"/>
  <c r="N2161" i="2"/>
  <c r="N2162" i="2"/>
  <c r="N2163" i="2"/>
  <c r="N2164" i="2"/>
  <c r="N2165" i="2"/>
  <c r="N2166" i="2"/>
  <c r="N2167" i="2"/>
  <c r="N2168" i="2"/>
  <c r="N2169" i="2"/>
  <c r="N2170" i="2"/>
  <c r="N2171" i="2"/>
  <c r="N2172" i="2"/>
  <c r="N2173" i="2"/>
  <c r="N2174" i="2"/>
  <c r="N2175" i="2"/>
  <c r="N2176" i="2"/>
  <c r="N2177" i="2"/>
  <c r="N2178" i="2"/>
  <c r="N2179" i="2"/>
  <c r="N2180" i="2"/>
  <c r="N2181" i="2"/>
  <c r="N2182" i="2"/>
  <c r="N2183" i="2"/>
  <c r="N2184" i="2"/>
  <c r="N2185" i="2"/>
  <c r="N2186" i="2"/>
  <c r="N2187" i="2"/>
  <c r="N2188" i="2"/>
  <c r="N2189" i="2"/>
  <c r="N2190" i="2"/>
  <c r="N2191" i="2"/>
  <c r="N2192" i="2"/>
  <c r="N2193" i="2"/>
  <c r="N2194" i="2"/>
  <c r="N2195" i="2"/>
  <c r="N2196" i="2"/>
  <c r="N2197" i="2"/>
  <c r="N2198" i="2"/>
  <c r="N2199" i="2"/>
  <c r="N2200" i="2"/>
  <c r="N2201" i="2"/>
  <c r="N2202" i="2"/>
  <c r="N2203" i="2"/>
  <c r="N2204" i="2"/>
  <c r="N2205" i="2"/>
  <c r="N2206" i="2"/>
  <c r="N2207" i="2"/>
  <c r="N2208" i="2"/>
  <c r="N2209" i="2"/>
  <c r="N2210" i="2"/>
  <c r="N2211" i="2"/>
  <c r="N2212" i="2"/>
  <c r="N2213" i="2"/>
  <c r="N2214" i="2"/>
  <c r="N2215" i="2"/>
  <c r="N2216" i="2"/>
  <c r="N2217" i="2"/>
  <c r="N2218" i="2"/>
  <c r="N2219" i="2"/>
  <c r="N2220" i="2"/>
  <c r="N2221" i="2"/>
  <c r="N2222" i="2"/>
  <c r="N2223" i="2"/>
  <c r="N2224" i="2"/>
  <c r="N2225" i="2"/>
  <c r="N2226" i="2"/>
  <c r="N2227" i="2"/>
  <c r="N2228" i="2"/>
  <c r="N2229" i="2"/>
  <c r="N2230" i="2"/>
  <c r="N2231" i="2"/>
  <c r="N2232" i="2"/>
  <c r="N2233" i="2"/>
  <c r="N2234" i="2"/>
  <c r="N2235" i="2"/>
  <c r="N2236" i="2"/>
  <c r="N2237" i="2"/>
  <c r="N2238" i="2"/>
  <c r="N2239" i="2"/>
  <c r="N2240" i="2"/>
  <c r="N2241" i="2"/>
  <c r="N2242" i="2"/>
  <c r="N2243" i="2"/>
  <c r="N2244" i="2"/>
  <c r="N2245" i="2"/>
  <c r="N2246" i="2"/>
  <c r="N2247" i="2"/>
  <c r="N2248" i="2"/>
  <c r="N2249" i="2"/>
  <c r="N2250" i="2"/>
  <c r="N2251" i="2"/>
  <c r="N2252" i="2"/>
  <c r="N2253" i="2"/>
  <c r="N2254" i="2"/>
  <c r="N2255" i="2"/>
  <c r="N2256" i="2"/>
  <c r="N2257" i="2"/>
  <c r="N2258" i="2"/>
  <c r="N2259" i="2"/>
  <c r="N2260" i="2"/>
  <c r="N2261" i="2"/>
  <c r="N2262" i="2"/>
  <c r="N2263" i="2"/>
  <c r="N2264" i="2"/>
  <c r="N2265" i="2"/>
  <c r="N2266" i="2"/>
  <c r="N2267" i="2"/>
  <c r="N2268" i="2"/>
  <c r="N2269" i="2"/>
  <c r="N2270" i="2"/>
  <c r="N2271" i="2"/>
  <c r="N2272" i="2"/>
  <c r="N2273" i="2"/>
  <c r="N2274" i="2"/>
  <c r="N2275" i="2"/>
  <c r="N2276" i="2"/>
  <c r="N2277" i="2"/>
  <c r="N2278" i="2"/>
  <c r="N2279" i="2"/>
  <c r="N2280" i="2"/>
  <c r="N2281" i="2"/>
  <c r="N2282" i="2"/>
  <c r="N2283" i="2"/>
  <c r="N2284" i="2"/>
  <c r="N2285" i="2"/>
  <c r="N2286" i="2"/>
  <c r="N2287" i="2"/>
  <c r="N2288" i="2"/>
  <c r="N2289" i="2"/>
  <c r="N2290" i="2"/>
  <c r="N2291" i="2"/>
  <c r="N2292" i="2"/>
  <c r="N2293" i="2"/>
  <c r="N2294" i="2"/>
  <c r="N2295" i="2"/>
  <c r="N2296" i="2"/>
  <c r="N2297" i="2"/>
  <c r="N2298" i="2"/>
  <c r="N2299" i="2"/>
  <c r="N2300" i="2"/>
  <c r="N2301" i="2"/>
  <c r="N2302" i="2"/>
  <c r="N2303" i="2"/>
  <c r="N2304" i="2"/>
  <c r="N2305" i="2"/>
  <c r="N2306" i="2"/>
  <c r="N2307" i="2"/>
  <c r="N2308" i="2"/>
  <c r="N2309" i="2"/>
  <c r="N2310" i="2"/>
  <c r="N2311" i="2"/>
  <c r="N2312" i="2"/>
  <c r="N2313" i="2"/>
  <c r="N2314" i="2"/>
  <c r="N2315" i="2"/>
  <c r="N2316" i="2"/>
  <c r="N2317" i="2"/>
  <c r="N2318" i="2"/>
  <c r="N2319" i="2"/>
  <c r="N2320" i="2"/>
  <c r="N2321" i="2"/>
  <c r="N2322" i="2"/>
  <c r="N2323" i="2"/>
  <c r="N2324" i="2"/>
  <c r="N2325" i="2"/>
  <c r="N2326" i="2"/>
  <c r="N2327" i="2"/>
  <c r="N2328" i="2"/>
  <c r="N2329" i="2"/>
  <c r="N2330" i="2"/>
  <c r="N2331" i="2"/>
  <c r="N2332" i="2"/>
  <c r="N2333" i="2"/>
  <c r="N2334" i="2"/>
  <c r="N2335" i="2"/>
  <c r="N2336" i="2"/>
  <c r="N2337" i="2"/>
  <c r="N2338" i="2"/>
  <c r="N2339" i="2"/>
  <c r="N2340" i="2"/>
  <c r="N2341" i="2"/>
  <c r="N2342" i="2"/>
  <c r="N2343" i="2"/>
  <c r="N2344" i="2"/>
  <c r="N2345" i="2"/>
  <c r="N2346" i="2"/>
  <c r="N2347" i="2"/>
  <c r="N2348" i="2"/>
  <c r="N2349" i="2"/>
  <c r="N2350" i="2"/>
  <c r="N2351" i="2"/>
  <c r="N2352" i="2"/>
  <c r="N2353" i="2"/>
  <c r="N2354" i="2"/>
  <c r="N2355" i="2"/>
  <c r="N2356" i="2"/>
  <c r="N2357" i="2"/>
  <c r="N2358" i="2"/>
  <c r="N2359" i="2"/>
  <c r="N2360" i="2"/>
  <c r="N2361" i="2"/>
  <c r="N2362" i="2"/>
  <c r="N2363" i="2"/>
  <c r="N2364" i="2"/>
  <c r="N2365" i="2"/>
  <c r="N2366" i="2"/>
  <c r="N2367" i="2"/>
  <c r="N2368" i="2"/>
  <c r="N2369" i="2"/>
  <c r="N2370" i="2"/>
  <c r="N2371" i="2"/>
  <c r="N2372" i="2"/>
  <c r="N2373" i="2"/>
  <c r="N2374" i="2"/>
  <c r="N2375" i="2"/>
  <c r="N2376" i="2"/>
  <c r="N2377" i="2"/>
  <c r="N2378" i="2"/>
  <c r="N2379" i="2"/>
  <c r="N2380" i="2"/>
  <c r="N2381" i="2"/>
  <c r="N2382" i="2"/>
  <c r="N2383" i="2"/>
  <c r="N2384" i="2"/>
  <c r="N2385" i="2"/>
  <c r="N2386" i="2"/>
  <c r="N2387" i="2"/>
  <c r="N2388" i="2"/>
  <c r="M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480" i="2"/>
  <c r="M481" i="2"/>
  <c r="M482" i="2"/>
  <c r="M483" i="2"/>
  <c r="M484" i="2"/>
  <c r="M485" i="2"/>
  <c r="M486" i="2"/>
  <c r="M487" i="2"/>
  <c r="M488" i="2"/>
  <c r="M489" i="2"/>
  <c r="M490" i="2"/>
  <c r="M491" i="2"/>
  <c r="M492" i="2"/>
  <c r="M493" i="2"/>
  <c r="M494" i="2"/>
  <c r="M495" i="2"/>
  <c r="M496" i="2"/>
  <c r="M497" i="2"/>
  <c r="M498" i="2"/>
  <c r="M499" i="2"/>
  <c r="M500" i="2"/>
  <c r="M501" i="2"/>
  <c r="M502" i="2"/>
  <c r="M503" i="2"/>
  <c r="M504" i="2"/>
  <c r="M505" i="2"/>
  <c r="M506" i="2"/>
  <c r="M507" i="2"/>
  <c r="M508" i="2"/>
  <c r="M509" i="2"/>
  <c r="M510" i="2"/>
  <c r="M511" i="2"/>
  <c r="M512" i="2"/>
  <c r="M513" i="2"/>
  <c r="M514" i="2"/>
  <c r="M515" i="2"/>
  <c r="M516" i="2"/>
  <c r="M517" i="2"/>
  <c r="M518" i="2"/>
  <c r="M519" i="2"/>
  <c r="M520" i="2"/>
  <c r="M521" i="2"/>
  <c r="M522" i="2"/>
  <c r="M523" i="2"/>
  <c r="M524" i="2"/>
  <c r="M525" i="2"/>
  <c r="M526" i="2"/>
  <c r="M527" i="2"/>
  <c r="M528" i="2"/>
  <c r="M529" i="2"/>
  <c r="M530" i="2"/>
  <c r="M531" i="2"/>
  <c r="M532" i="2"/>
  <c r="M533" i="2"/>
  <c r="M534" i="2"/>
  <c r="M535" i="2"/>
  <c r="M536" i="2"/>
  <c r="M537" i="2"/>
  <c r="M538" i="2"/>
  <c r="M539" i="2"/>
  <c r="M540" i="2"/>
  <c r="M541" i="2"/>
  <c r="M542" i="2"/>
  <c r="M543" i="2"/>
  <c r="M544" i="2"/>
  <c r="M545" i="2"/>
  <c r="M546" i="2"/>
  <c r="M547" i="2"/>
  <c r="M548" i="2"/>
  <c r="M549" i="2"/>
  <c r="M550" i="2"/>
  <c r="M551" i="2"/>
  <c r="M552" i="2"/>
  <c r="M553" i="2"/>
  <c r="M554" i="2"/>
  <c r="M555" i="2"/>
  <c r="M556" i="2"/>
  <c r="M557" i="2"/>
  <c r="M558" i="2"/>
  <c r="M559" i="2"/>
  <c r="M560" i="2"/>
  <c r="M561" i="2"/>
  <c r="M562" i="2"/>
  <c r="M563" i="2"/>
  <c r="M564" i="2"/>
  <c r="M565" i="2"/>
  <c r="M566" i="2"/>
  <c r="M567" i="2"/>
  <c r="M568" i="2"/>
  <c r="M569" i="2"/>
  <c r="M570" i="2"/>
  <c r="M571" i="2"/>
  <c r="M572" i="2"/>
  <c r="M573" i="2"/>
  <c r="M574" i="2"/>
  <c r="M575" i="2"/>
  <c r="M576" i="2"/>
  <c r="M577" i="2"/>
  <c r="M578" i="2"/>
  <c r="M579" i="2"/>
  <c r="M580" i="2"/>
  <c r="M581" i="2"/>
  <c r="M582" i="2"/>
  <c r="M583" i="2"/>
  <c r="M584" i="2"/>
  <c r="M585" i="2"/>
  <c r="M586" i="2"/>
  <c r="M587" i="2"/>
  <c r="M588" i="2"/>
  <c r="M589" i="2"/>
  <c r="M590" i="2"/>
  <c r="M591" i="2"/>
  <c r="M592" i="2"/>
  <c r="M593" i="2"/>
  <c r="M594" i="2"/>
  <c r="M595" i="2"/>
  <c r="M596" i="2"/>
  <c r="M597" i="2"/>
  <c r="M598" i="2"/>
  <c r="M599" i="2"/>
  <c r="M600" i="2"/>
  <c r="M601" i="2"/>
  <c r="M602" i="2"/>
  <c r="M603" i="2"/>
  <c r="M604" i="2"/>
  <c r="M605" i="2"/>
  <c r="M606" i="2"/>
  <c r="M607" i="2"/>
  <c r="M608" i="2"/>
  <c r="M609" i="2"/>
  <c r="M610" i="2"/>
  <c r="M611" i="2"/>
  <c r="M612" i="2"/>
  <c r="M613" i="2"/>
  <c r="M614" i="2"/>
  <c r="M615" i="2"/>
  <c r="M616" i="2"/>
  <c r="M617" i="2"/>
  <c r="M618" i="2"/>
  <c r="M619" i="2"/>
  <c r="M620" i="2"/>
  <c r="M621" i="2"/>
  <c r="M622" i="2"/>
  <c r="M623" i="2"/>
  <c r="M624" i="2"/>
  <c r="M625" i="2"/>
  <c r="M626" i="2"/>
  <c r="M627" i="2"/>
  <c r="M628" i="2"/>
  <c r="M629" i="2"/>
  <c r="M630" i="2"/>
  <c r="M631" i="2"/>
  <c r="M632" i="2"/>
  <c r="M633" i="2"/>
  <c r="M634" i="2"/>
  <c r="M635" i="2"/>
  <c r="M636" i="2"/>
  <c r="M637" i="2"/>
  <c r="M638" i="2"/>
  <c r="M639" i="2"/>
  <c r="M640" i="2"/>
  <c r="M641" i="2"/>
  <c r="M642" i="2"/>
  <c r="M643" i="2"/>
  <c r="M644" i="2"/>
  <c r="M645" i="2"/>
  <c r="M646" i="2"/>
  <c r="M647" i="2"/>
  <c r="M648" i="2"/>
  <c r="M649" i="2"/>
  <c r="M650" i="2"/>
  <c r="M651" i="2"/>
  <c r="M652" i="2"/>
  <c r="M653" i="2"/>
  <c r="M654" i="2"/>
  <c r="M655" i="2"/>
  <c r="M656" i="2"/>
  <c r="M657" i="2"/>
  <c r="M658" i="2"/>
  <c r="M659" i="2"/>
  <c r="M660" i="2"/>
  <c r="M661" i="2"/>
  <c r="M662" i="2"/>
  <c r="M663" i="2"/>
  <c r="M664" i="2"/>
  <c r="M665" i="2"/>
  <c r="M666" i="2"/>
  <c r="M667" i="2"/>
  <c r="M668" i="2"/>
  <c r="M669" i="2"/>
  <c r="M670" i="2"/>
  <c r="M671" i="2"/>
  <c r="M672" i="2"/>
  <c r="M673" i="2"/>
  <c r="M674" i="2"/>
  <c r="M675" i="2"/>
  <c r="M676" i="2"/>
  <c r="M677" i="2"/>
  <c r="M678" i="2"/>
  <c r="M679" i="2"/>
  <c r="M680" i="2"/>
  <c r="M681" i="2"/>
  <c r="M682" i="2"/>
  <c r="M683" i="2"/>
  <c r="M684" i="2"/>
  <c r="M685" i="2"/>
  <c r="M686" i="2"/>
  <c r="M687" i="2"/>
  <c r="M688" i="2"/>
  <c r="M689" i="2"/>
  <c r="M690" i="2"/>
  <c r="M691" i="2"/>
  <c r="M692" i="2"/>
  <c r="M693" i="2"/>
  <c r="M694" i="2"/>
  <c r="M695" i="2"/>
  <c r="M696" i="2"/>
  <c r="M697" i="2"/>
  <c r="M698" i="2"/>
  <c r="M699" i="2"/>
  <c r="M700" i="2"/>
  <c r="M701" i="2"/>
  <c r="M702" i="2"/>
  <c r="M703" i="2"/>
  <c r="M704" i="2"/>
  <c r="M705" i="2"/>
  <c r="M706" i="2"/>
  <c r="M707" i="2"/>
  <c r="M708" i="2"/>
  <c r="M709" i="2"/>
  <c r="M710" i="2"/>
  <c r="M711" i="2"/>
  <c r="M712" i="2"/>
  <c r="M713" i="2"/>
  <c r="M714" i="2"/>
  <c r="M715" i="2"/>
  <c r="M716" i="2"/>
  <c r="M717" i="2"/>
  <c r="M718" i="2"/>
  <c r="M719" i="2"/>
  <c r="M720" i="2"/>
  <c r="M721" i="2"/>
  <c r="M722" i="2"/>
  <c r="M723" i="2"/>
  <c r="M724" i="2"/>
  <c r="M725" i="2"/>
  <c r="M726" i="2"/>
  <c r="M727" i="2"/>
  <c r="M728" i="2"/>
  <c r="M729" i="2"/>
  <c r="M730" i="2"/>
  <c r="M731" i="2"/>
  <c r="M732" i="2"/>
  <c r="M733" i="2"/>
  <c r="M734" i="2"/>
  <c r="M735" i="2"/>
  <c r="M736" i="2"/>
  <c r="M737" i="2"/>
  <c r="M738" i="2"/>
  <c r="M739" i="2"/>
  <c r="M740" i="2"/>
  <c r="M741" i="2"/>
  <c r="M742" i="2"/>
  <c r="M743" i="2"/>
  <c r="M744" i="2"/>
  <c r="M745" i="2"/>
  <c r="M746" i="2"/>
  <c r="M747" i="2"/>
  <c r="M748" i="2"/>
  <c r="M749" i="2"/>
  <c r="M750" i="2"/>
  <c r="M751" i="2"/>
  <c r="M752" i="2"/>
  <c r="M753" i="2"/>
  <c r="M754" i="2"/>
  <c r="M755" i="2"/>
  <c r="M756" i="2"/>
  <c r="M757" i="2"/>
  <c r="M758" i="2"/>
  <c r="M759" i="2"/>
  <c r="M760" i="2"/>
  <c r="M761" i="2"/>
  <c r="M762" i="2"/>
  <c r="M763" i="2"/>
  <c r="M764" i="2"/>
  <c r="M765" i="2"/>
  <c r="M766" i="2"/>
  <c r="M767" i="2"/>
  <c r="M768" i="2"/>
  <c r="M769" i="2"/>
  <c r="M770" i="2"/>
  <c r="M771" i="2"/>
  <c r="M772" i="2"/>
  <c r="M773" i="2"/>
  <c r="M774" i="2"/>
  <c r="M775" i="2"/>
  <c r="M776" i="2"/>
  <c r="M777" i="2"/>
  <c r="M778" i="2"/>
  <c r="M779" i="2"/>
  <c r="M780" i="2"/>
  <c r="M781" i="2"/>
  <c r="M782" i="2"/>
  <c r="M783" i="2"/>
  <c r="M784" i="2"/>
  <c r="M785" i="2"/>
  <c r="M786" i="2"/>
  <c r="M787" i="2"/>
  <c r="M788" i="2"/>
  <c r="M789" i="2"/>
  <c r="M790" i="2"/>
  <c r="M791" i="2"/>
  <c r="M792" i="2"/>
  <c r="M793" i="2"/>
  <c r="M794" i="2"/>
  <c r="M795" i="2"/>
  <c r="M796" i="2"/>
  <c r="M797" i="2"/>
  <c r="M798" i="2"/>
  <c r="M799" i="2"/>
  <c r="M800" i="2"/>
  <c r="M801" i="2"/>
  <c r="M802" i="2"/>
  <c r="M803" i="2"/>
  <c r="M804" i="2"/>
  <c r="M805" i="2"/>
  <c r="M806" i="2"/>
  <c r="M807" i="2"/>
  <c r="M808" i="2"/>
  <c r="M809" i="2"/>
  <c r="M810" i="2"/>
  <c r="M811" i="2"/>
  <c r="M812" i="2"/>
  <c r="M813" i="2"/>
  <c r="M814" i="2"/>
  <c r="M815" i="2"/>
  <c r="M816" i="2"/>
  <c r="M817" i="2"/>
  <c r="M818" i="2"/>
  <c r="M819" i="2"/>
  <c r="M820" i="2"/>
  <c r="M821" i="2"/>
  <c r="M822" i="2"/>
  <c r="M823" i="2"/>
  <c r="M824" i="2"/>
  <c r="M825" i="2"/>
  <c r="M826" i="2"/>
  <c r="M827" i="2"/>
  <c r="M828" i="2"/>
  <c r="M829" i="2"/>
  <c r="M830" i="2"/>
  <c r="M831" i="2"/>
  <c r="M832" i="2"/>
  <c r="M833" i="2"/>
  <c r="M834" i="2"/>
  <c r="M835" i="2"/>
  <c r="M836" i="2"/>
  <c r="M837" i="2"/>
  <c r="M838" i="2"/>
  <c r="M839" i="2"/>
  <c r="M840" i="2"/>
  <c r="M841" i="2"/>
  <c r="M842" i="2"/>
  <c r="M843" i="2"/>
  <c r="M844" i="2"/>
  <c r="M845" i="2"/>
  <c r="M846" i="2"/>
  <c r="M847" i="2"/>
  <c r="M848" i="2"/>
  <c r="M849" i="2"/>
  <c r="M850" i="2"/>
  <c r="M851" i="2"/>
  <c r="M852" i="2"/>
  <c r="M853" i="2"/>
  <c r="M854" i="2"/>
  <c r="M855" i="2"/>
  <c r="M856" i="2"/>
  <c r="M857" i="2"/>
  <c r="M858" i="2"/>
  <c r="M859" i="2"/>
  <c r="M860" i="2"/>
  <c r="M861" i="2"/>
  <c r="M862" i="2"/>
  <c r="M863" i="2"/>
  <c r="M864" i="2"/>
  <c r="M865" i="2"/>
  <c r="M866" i="2"/>
  <c r="M867" i="2"/>
  <c r="M868" i="2"/>
  <c r="M869" i="2"/>
  <c r="M870" i="2"/>
  <c r="M871" i="2"/>
  <c r="M872" i="2"/>
  <c r="M873" i="2"/>
  <c r="M874" i="2"/>
  <c r="M875" i="2"/>
  <c r="M876" i="2"/>
  <c r="M877" i="2"/>
  <c r="M878" i="2"/>
  <c r="M879" i="2"/>
  <c r="M880" i="2"/>
  <c r="M881" i="2"/>
  <c r="M882" i="2"/>
  <c r="M883" i="2"/>
  <c r="M884" i="2"/>
  <c r="M885" i="2"/>
  <c r="M886" i="2"/>
  <c r="M887" i="2"/>
  <c r="M888" i="2"/>
  <c r="M889" i="2"/>
  <c r="M890" i="2"/>
  <c r="M891" i="2"/>
  <c r="M892" i="2"/>
  <c r="M893" i="2"/>
  <c r="M894" i="2"/>
  <c r="M895" i="2"/>
  <c r="M896" i="2"/>
  <c r="M897" i="2"/>
  <c r="M898" i="2"/>
  <c r="M899" i="2"/>
  <c r="M900" i="2"/>
  <c r="M901" i="2"/>
  <c r="M902" i="2"/>
  <c r="M903" i="2"/>
  <c r="M904" i="2"/>
  <c r="M905" i="2"/>
  <c r="M906" i="2"/>
  <c r="M907" i="2"/>
  <c r="M908" i="2"/>
  <c r="M909" i="2"/>
  <c r="M910" i="2"/>
  <c r="M911" i="2"/>
  <c r="M912" i="2"/>
  <c r="M913" i="2"/>
  <c r="M914" i="2"/>
  <c r="M915" i="2"/>
  <c r="M916" i="2"/>
  <c r="M917" i="2"/>
  <c r="M918" i="2"/>
  <c r="M919" i="2"/>
  <c r="M920" i="2"/>
  <c r="M921" i="2"/>
  <c r="M922" i="2"/>
  <c r="M923" i="2"/>
  <c r="M924" i="2"/>
  <c r="M925" i="2"/>
  <c r="M926" i="2"/>
  <c r="M927" i="2"/>
  <c r="M928" i="2"/>
  <c r="M929" i="2"/>
  <c r="M930" i="2"/>
  <c r="M931" i="2"/>
  <c r="M932" i="2"/>
  <c r="M933" i="2"/>
  <c r="M934" i="2"/>
  <c r="M935" i="2"/>
  <c r="M936" i="2"/>
  <c r="M937" i="2"/>
  <c r="M938" i="2"/>
  <c r="M939" i="2"/>
  <c r="M940" i="2"/>
  <c r="M941" i="2"/>
  <c r="M942" i="2"/>
  <c r="M943" i="2"/>
  <c r="M944" i="2"/>
  <c r="M945" i="2"/>
  <c r="M946" i="2"/>
  <c r="M947" i="2"/>
  <c r="M948" i="2"/>
  <c r="M949" i="2"/>
  <c r="M950" i="2"/>
  <c r="M951" i="2"/>
  <c r="M952" i="2"/>
  <c r="M953" i="2"/>
  <c r="M954" i="2"/>
  <c r="M955" i="2"/>
  <c r="M956" i="2"/>
  <c r="M957" i="2"/>
  <c r="M958" i="2"/>
  <c r="M959" i="2"/>
  <c r="M960" i="2"/>
  <c r="M961" i="2"/>
  <c r="M962" i="2"/>
  <c r="M963" i="2"/>
  <c r="M964" i="2"/>
  <c r="M965" i="2"/>
  <c r="M966" i="2"/>
  <c r="M967" i="2"/>
  <c r="M968" i="2"/>
  <c r="M969" i="2"/>
  <c r="M970" i="2"/>
  <c r="M971" i="2"/>
  <c r="M972" i="2"/>
  <c r="M973" i="2"/>
  <c r="M974" i="2"/>
  <c r="M975" i="2"/>
  <c r="M976" i="2"/>
  <c r="M977" i="2"/>
  <c r="M978" i="2"/>
  <c r="M979" i="2"/>
  <c r="M980" i="2"/>
  <c r="M981" i="2"/>
  <c r="M982" i="2"/>
  <c r="M983" i="2"/>
  <c r="M984" i="2"/>
  <c r="M985" i="2"/>
  <c r="M986" i="2"/>
  <c r="M987" i="2"/>
  <c r="M988" i="2"/>
  <c r="M989" i="2"/>
  <c r="M990" i="2"/>
  <c r="M991" i="2"/>
  <c r="M992" i="2"/>
  <c r="M993" i="2"/>
  <c r="M994" i="2"/>
  <c r="M995" i="2"/>
  <c r="M996" i="2"/>
  <c r="M997" i="2"/>
  <c r="M998" i="2"/>
  <c r="M999" i="2"/>
  <c r="M1000" i="2"/>
  <c r="M1001" i="2"/>
  <c r="M1002" i="2"/>
  <c r="M1003" i="2"/>
  <c r="M1004" i="2"/>
  <c r="M1005" i="2"/>
  <c r="M1006" i="2"/>
  <c r="M1007" i="2"/>
  <c r="M1008" i="2"/>
  <c r="M1009" i="2"/>
  <c r="M1010" i="2"/>
  <c r="M1011" i="2"/>
  <c r="M1012" i="2"/>
  <c r="M1013" i="2"/>
  <c r="M1014" i="2"/>
  <c r="M1015" i="2"/>
  <c r="M1016" i="2"/>
  <c r="M1017" i="2"/>
  <c r="M1018" i="2"/>
  <c r="M1019" i="2"/>
  <c r="M1020" i="2"/>
  <c r="M1021" i="2"/>
  <c r="M1022" i="2"/>
  <c r="M1023" i="2"/>
  <c r="M1024" i="2"/>
  <c r="M1025" i="2"/>
  <c r="M1026" i="2"/>
  <c r="M1027" i="2"/>
  <c r="M1028" i="2"/>
  <c r="M1029" i="2"/>
  <c r="M1030" i="2"/>
  <c r="M1031" i="2"/>
  <c r="M1032" i="2"/>
  <c r="M1033" i="2"/>
  <c r="M1034" i="2"/>
  <c r="M1035" i="2"/>
  <c r="M1036" i="2"/>
  <c r="M1037" i="2"/>
  <c r="M1038" i="2"/>
  <c r="M1039" i="2"/>
  <c r="M1040" i="2"/>
  <c r="M1041" i="2"/>
  <c r="M1042" i="2"/>
  <c r="M1043" i="2"/>
  <c r="M1044" i="2"/>
  <c r="M1045" i="2"/>
  <c r="M1046" i="2"/>
  <c r="M1047" i="2"/>
  <c r="M1048" i="2"/>
  <c r="M1049" i="2"/>
  <c r="M1050" i="2"/>
  <c r="M1051" i="2"/>
  <c r="M1052" i="2"/>
  <c r="M1053" i="2"/>
  <c r="M1054" i="2"/>
  <c r="M1055" i="2"/>
  <c r="M1056" i="2"/>
  <c r="M1057" i="2"/>
  <c r="M1058" i="2"/>
  <c r="M1059" i="2"/>
  <c r="M1060" i="2"/>
  <c r="M1061" i="2"/>
  <c r="M1062" i="2"/>
  <c r="M1063" i="2"/>
  <c r="M1064" i="2"/>
  <c r="M1065" i="2"/>
  <c r="M1066" i="2"/>
  <c r="M1067" i="2"/>
  <c r="M1068" i="2"/>
  <c r="M1069" i="2"/>
  <c r="M1070" i="2"/>
  <c r="M1071" i="2"/>
  <c r="M1072" i="2"/>
  <c r="M1073" i="2"/>
  <c r="M1074" i="2"/>
  <c r="M1075" i="2"/>
  <c r="M1076" i="2"/>
  <c r="M1077" i="2"/>
  <c r="M1078" i="2"/>
  <c r="M1079" i="2"/>
  <c r="M1080" i="2"/>
  <c r="M1081" i="2"/>
  <c r="M1082" i="2"/>
  <c r="M1083" i="2"/>
  <c r="M1084" i="2"/>
  <c r="M1085" i="2"/>
  <c r="M1086" i="2"/>
  <c r="M1087" i="2"/>
  <c r="M1088" i="2"/>
  <c r="M1089" i="2"/>
  <c r="M1090" i="2"/>
  <c r="M1091" i="2"/>
  <c r="M1092" i="2"/>
  <c r="M1093" i="2"/>
  <c r="M1094" i="2"/>
  <c r="M1095" i="2"/>
  <c r="M1096" i="2"/>
  <c r="M1097" i="2"/>
  <c r="M1098" i="2"/>
  <c r="M1099" i="2"/>
  <c r="M1100" i="2"/>
  <c r="M1101" i="2"/>
  <c r="M1102" i="2"/>
  <c r="M1103" i="2"/>
  <c r="M1104" i="2"/>
  <c r="M1105" i="2"/>
  <c r="M1106" i="2"/>
  <c r="M1107" i="2"/>
  <c r="M1108" i="2"/>
  <c r="M1109" i="2"/>
  <c r="M1110" i="2"/>
  <c r="M1111" i="2"/>
  <c r="M1112" i="2"/>
  <c r="M1113" i="2"/>
  <c r="M1114" i="2"/>
  <c r="M1115" i="2"/>
  <c r="M1116" i="2"/>
  <c r="M1117" i="2"/>
  <c r="M1118" i="2"/>
  <c r="M1119" i="2"/>
  <c r="M1120" i="2"/>
  <c r="M1121" i="2"/>
  <c r="M1122" i="2"/>
  <c r="M1123" i="2"/>
  <c r="M1124" i="2"/>
  <c r="M1125" i="2"/>
  <c r="M1126" i="2"/>
  <c r="M1127" i="2"/>
  <c r="M1128" i="2"/>
  <c r="M1129" i="2"/>
  <c r="M1130" i="2"/>
  <c r="M1131" i="2"/>
  <c r="M1132" i="2"/>
  <c r="M1133" i="2"/>
  <c r="M1134" i="2"/>
  <c r="M1135" i="2"/>
  <c r="M1136" i="2"/>
  <c r="M1137" i="2"/>
  <c r="M1138" i="2"/>
  <c r="M1139" i="2"/>
  <c r="M1140" i="2"/>
  <c r="M1141" i="2"/>
  <c r="M1142" i="2"/>
  <c r="M1143" i="2"/>
  <c r="M1144" i="2"/>
  <c r="M1145" i="2"/>
  <c r="M1146" i="2"/>
  <c r="M1147" i="2"/>
  <c r="M1148" i="2"/>
  <c r="M1149" i="2"/>
  <c r="M1150" i="2"/>
  <c r="M1151" i="2"/>
  <c r="M1152" i="2"/>
  <c r="M1153" i="2"/>
  <c r="M1154" i="2"/>
  <c r="M1155" i="2"/>
  <c r="M1156" i="2"/>
  <c r="M1157" i="2"/>
  <c r="M1158" i="2"/>
  <c r="M1159" i="2"/>
  <c r="M1160" i="2"/>
  <c r="M1161" i="2"/>
  <c r="M1162" i="2"/>
  <c r="M1163" i="2"/>
  <c r="M1164" i="2"/>
  <c r="M1165" i="2"/>
  <c r="M1166" i="2"/>
  <c r="M1167" i="2"/>
  <c r="M1168" i="2"/>
  <c r="M1169" i="2"/>
  <c r="M1170" i="2"/>
  <c r="M1171" i="2"/>
  <c r="M1172" i="2"/>
  <c r="M1173" i="2"/>
  <c r="M1174" i="2"/>
  <c r="M1175" i="2"/>
  <c r="M1176" i="2"/>
  <c r="M1177" i="2"/>
  <c r="M1178" i="2"/>
  <c r="M1179" i="2"/>
  <c r="M1180" i="2"/>
  <c r="M1181" i="2"/>
  <c r="M1182" i="2"/>
  <c r="M1183" i="2"/>
  <c r="M1184" i="2"/>
  <c r="M1185" i="2"/>
  <c r="M1186" i="2"/>
  <c r="M1187" i="2"/>
  <c r="M1188" i="2"/>
  <c r="M1189" i="2"/>
  <c r="M1190" i="2"/>
  <c r="M1191" i="2"/>
  <c r="M1192" i="2"/>
  <c r="M1193" i="2"/>
  <c r="M1194" i="2"/>
  <c r="M1195" i="2"/>
  <c r="M1196" i="2"/>
  <c r="M1197" i="2"/>
  <c r="M1198" i="2"/>
  <c r="M1199" i="2"/>
  <c r="M1200" i="2"/>
  <c r="M1201" i="2"/>
  <c r="M1202" i="2"/>
  <c r="M1203" i="2"/>
  <c r="M1204" i="2"/>
  <c r="M1205" i="2"/>
  <c r="M1206" i="2"/>
  <c r="M1207" i="2"/>
  <c r="M1208" i="2"/>
  <c r="M1209" i="2"/>
  <c r="M1210" i="2"/>
  <c r="M1211" i="2"/>
  <c r="M1212" i="2"/>
  <c r="M1213" i="2"/>
  <c r="M1214" i="2"/>
  <c r="M1215" i="2"/>
  <c r="M1216" i="2"/>
  <c r="M1217" i="2"/>
  <c r="M1218" i="2"/>
  <c r="M1219" i="2"/>
  <c r="M1220" i="2"/>
  <c r="M1221" i="2"/>
  <c r="M1222" i="2"/>
  <c r="M1223" i="2"/>
  <c r="M1224" i="2"/>
  <c r="M1225" i="2"/>
  <c r="M1226" i="2"/>
  <c r="M1227" i="2"/>
  <c r="M1228" i="2"/>
  <c r="M1229" i="2"/>
  <c r="M1230" i="2"/>
  <c r="M1231" i="2"/>
  <c r="M1232" i="2"/>
  <c r="M1233" i="2"/>
  <c r="M1234" i="2"/>
  <c r="M1235" i="2"/>
  <c r="M1236" i="2"/>
  <c r="M1237" i="2"/>
  <c r="M1238" i="2"/>
  <c r="M1239" i="2"/>
  <c r="M1240" i="2"/>
  <c r="M1241" i="2"/>
  <c r="M1242" i="2"/>
  <c r="M1243" i="2"/>
  <c r="M1244" i="2"/>
  <c r="M1245" i="2"/>
  <c r="M1246" i="2"/>
  <c r="M1247" i="2"/>
  <c r="M1248" i="2"/>
  <c r="M1249" i="2"/>
  <c r="M1250" i="2"/>
  <c r="M1251" i="2"/>
  <c r="M1252" i="2"/>
  <c r="M1253" i="2"/>
  <c r="M1254" i="2"/>
  <c r="M1255" i="2"/>
  <c r="M1256" i="2"/>
  <c r="M1257" i="2"/>
  <c r="M1258" i="2"/>
  <c r="M1259" i="2"/>
  <c r="M1260" i="2"/>
  <c r="M1261" i="2"/>
  <c r="M1262" i="2"/>
  <c r="M1263" i="2"/>
  <c r="M1264" i="2"/>
  <c r="M1265" i="2"/>
  <c r="M1266" i="2"/>
  <c r="M1267" i="2"/>
  <c r="M1268" i="2"/>
  <c r="M1269" i="2"/>
  <c r="M1270" i="2"/>
  <c r="M1271" i="2"/>
  <c r="M1272" i="2"/>
  <c r="M1273" i="2"/>
  <c r="M1274" i="2"/>
  <c r="M1275" i="2"/>
  <c r="M1276" i="2"/>
  <c r="M1277" i="2"/>
  <c r="M1278" i="2"/>
  <c r="M1279" i="2"/>
  <c r="M1280" i="2"/>
  <c r="M1281" i="2"/>
  <c r="M1282" i="2"/>
  <c r="M1283" i="2"/>
  <c r="M1284" i="2"/>
  <c r="M1285" i="2"/>
  <c r="M1286" i="2"/>
  <c r="M1287" i="2"/>
  <c r="M1288" i="2"/>
  <c r="M1289" i="2"/>
  <c r="M1290" i="2"/>
  <c r="M1291" i="2"/>
  <c r="M1292" i="2"/>
  <c r="M1293" i="2"/>
  <c r="M1294" i="2"/>
  <c r="M1295" i="2"/>
  <c r="M1296" i="2"/>
  <c r="M1297" i="2"/>
  <c r="M1298" i="2"/>
  <c r="M1299" i="2"/>
  <c r="M1300" i="2"/>
  <c r="M1301" i="2"/>
  <c r="M1302" i="2"/>
  <c r="M1303" i="2"/>
  <c r="M1304" i="2"/>
  <c r="M1305" i="2"/>
  <c r="M1306" i="2"/>
  <c r="M1307" i="2"/>
  <c r="M1308" i="2"/>
  <c r="M1309" i="2"/>
  <c r="M1310" i="2"/>
  <c r="M1311" i="2"/>
  <c r="M1312" i="2"/>
  <c r="M1313" i="2"/>
  <c r="M1314" i="2"/>
  <c r="M1315" i="2"/>
  <c r="M1316" i="2"/>
  <c r="M1317" i="2"/>
  <c r="M1318" i="2"/>
  <c r="M1319" i="2"/>
  <c r="M1320" i="2"/>
  <c r="M1321" i="2"/>
  <c r="M1322" i="2"/>
  <c r="M1323" i="2"/>
  <c r="M1324" i="2"/>
  <c r="M1325" i="2"/>
  <c r="M1326" i="2"/>
  <c r="M1327" i="2"/>
  <c r="M1328" i="2"/>
  <c r="M1329" i="2"/>
  <c r="M1330" i="2"/>
  <c r="M1331" i="2"/>
  <c r="M1332" i="2"/>
  <c r="M1333" i="2"/>
  <c r="M1334" i="2"/>
  <c r="M1335" i="2"/>
  <c r="M1336" i="2"/>
  <c r="M1337" i="2"/>
  <c r="M1338" i="2"/>
  <c r="M1339" i="2"/>
  <c r="M1340" i="2"/>
  <c r="M1341" i="2"/>
  <c r="M1342" i="2"/>
  <c r="M1343" i="2"/>
  <c r="M1344" i="2"/>
  <c r="M1345" i="2"/>
  <c r="M1346" i="2"/>
  <c r="M1347" i="2"/>
  <c r="M1348" i="2"/>
  <c r="M1349" i="2"/>
  <c r="M1350" i="2"/>
  <c r="M1351" i="2"/>
  <c r="M1352" i="2"/>
  <c r="M1353" i="2"/>
  <c r="M1354" i="2"/>
  <c r="M1355" i="2"/>
  <c r="M1356" i="2"/>
  <c r="M1357" i="2"/>
  <c r="M1358" i="2"/>
  <c r="M1359" i="2"/>
  <c r="M1360" i="2"/>
  <c r="M1361" i="2"/>
  <c r="M1362" i="2"/>
  <c r="M1363" i="2"/>
  <c r="M1364" i="2"/>
  <c r="M1365" i="2"/>
  <c r="M1366" i="2"/>
  <c r="M1367" i="2"/>
  <c r="M1368" i="2"/>
  <c r="M1369" i="2"/>
  <c r="M1370" i="2"/>
  <c r="M1371" i="2"/>
  <c r="M1372" i="2"/>
  <c r="M1373" i="2"/>
  <c r="M1374" i="2"/>
  <c r="M1375" i="2"/>
  <c r="M1376" i="2"/>
  <c r="M1377" i="2"/>
  <c r="M1378" i="2"/>
  <c r="M1379" i="2"/>
  <c r="M1380" i="2"/>
  <c r="M1381" i="2"/>
  <c r="M1382" i="2"/>
  <c r="M1383" i="2"/>
  <c r="M1384" i="2"/>
  <c r="M1385" i="2"/>
  <c r="M1386" i="2"/>
  <c r="M1387" i="2"/>
  <c r="M1388" i="2"/>
  <c r="M1389" i="2"/>
  <c r="M1390" i="2"/>
  <c r="M1391" i="2"/>
  <c r="M1392" i="2"/>
  <c r="M1393" i="2"/>
  <c r="M1394" i="2"/>
  <c r="M1395" i="2"/>
  <c r="M1396" i="2"/>
  <c r="M1397" i="2"/>
  <c r="M1398" i="2"/>
  <c r="M1399" i="2"/>
  <c r="M1400" i="2"/>
  <c r="M1401" i="2"/>
  <c r="M1402" i="2"/>
  <c r="M1403" i="2"/>
  <c r="M1404" i="2"/>
  <c r="M1405" i="2"/>
  <c r="M1406" i="2"/>
  <c r="M1407" i="2"/>
  <c r="M1408" i="2"/>
  <c r="M1409" i="2"/>
  <c r="M1410" i="2"/>
  <c r="M1411" i="2"/>
  <c r="M1412" i="2"/>
  <c r="M1413" i="2"/>
  <c r="M1414" i="2"/>
  <c r="M1415" i="2"/>
  <c r="M1416" i="2"/>
  <c r="M1417" i="2"/>
  <c r="M1418" i="2"/>
  <c r="M1419" i="2"/>
  <c r="M1420" i="2"/>
  <c r="M1421" i="2"/>
  <c r="M1422" i="2"/>
  <c r="M1423" i="2"/>
  <c r="M1424" i="2"/>
  <c r="M1425" i="2"/>
  <c r="M1426" i="2"/>
  <c r="M1427" i="2"/>
  <c r="M1428" i="2"/>
  <c r="M1429" i="2"/>
  <c r="M1430" i="2"/>
  <c r="M1431" i="2"/>
  <c r="M1432" i="2"/>
  <c r="M1433" i="2"/>
  <c r="M1434" i="2"/>
  <c r="M1435" i="2"/>
  <c r="M1436" i="2"/>
  <c r="M1437" i="2"/>
  <c r="M1438" i="2"/>
  <c r="M1439" i="2"/>
  <c r="M1440" i="2"/>
  <c r="M1441" i="2"/>
  <c r="M1442" i="2"/>
  <c r="M1443" i="2"/>
  <c r="M1444" i="2"/>
  <c r="M1445" i="2"/>
  <c r="M1446" i="2"/>
  <c r="M1447" i="2"/>
  <c r="M1448" i="2"/>
  <c r="M1449" i="2"/>
  <c r="M1450" i="2"/>
  <c r="M1451" i="2"/>
  <c r="M1452" i="2"/>
  <c r="M1453" i="2"/>
  <c r="M1454" i="2"/>
  <c r="M1455" i="2"/>
  <c r="M1456" i="2"/>
  <c r="M1457" i="2"/>
  <c r="M1458" i="2"/>
  <c r="M1459" i="2"/>
  <c r="M1460" i="2"/>
  <c r="M1461" i="2"/>
  <c r="M1462" i="2"/>
  <c r="M1463" i="2"/>
  <c r="M1464" i="2"/>
  <c r="M1465" i="2"/>
  <c r="M1466" i="2"/>
  <c r="M1467" i="2"/>
  <c r="M1468" i="2"/>
  <c r="M1469" i="2"/>
  <c r="M1470" i="2"/>
  <c r="M1471" i="2"/>
  <c r="M1472" i="2"/>
  <c r="M1473" i="2"/>
  <c r="M1474" i="2"/>
  <c r="M1475" i="2"/>
  <c r="M1476" i="2"/>
  <c r="M1477" i="2"/>
  <c r="M1478" i="2"/>
  <c r="M1479" i="2"/>
  <c r="M1480" i="2"/>
  <c r="M1481" i="2"/>
  <c r="M1482" i="2"/>
  <c r="M1483" i="2"/>
  <c r="M1484" i="2"/>
  <c r="M1485" i="2"/>
  <c r="M1486" i="2"/>
  <c r="M1487" i="2"/>
  <c r="M1488" i="2"/>
  <c r="M1489" i="2"/>
  <c r="M1490" i="2"/>
  <c r="M1491" i="2"/>
  <c r="M1492" i="2"/>
  <c r="M1493" i="2"/>
  <c r="M1494" i="2"/>
  <c r="M1495" i="2"/>
  <c r="M1496" i="2"/>
  <c r="M1497" i="2"/>
  <c r="M1498" i="2"/>
  <c r="M1499" i="2"/>
  <c r="M1500" i="2"/>
  <c r="M1501" i="2"/>
  <c r="M1502" i="2"/>
  <c r="M1503" i="2"/>
  <c r="M1504" i="2"/>
  <c r="M1505" i="2"/>
  <c r="M1506" i="2"/>
  <c r="M1507" i="2"/>
  <c r="M1508" i="2"/>
  <c r="M1509" i="2"/>
  <c r="M1510" i="2"/>
  <c r="M1511" i="2"/>
  <c r="M1512" i="2"/>
  <c r="M1513" i="2"/>
  <c r="M1514" i="2"/>
  <c r="M1515" i="2"/>
  <c r="M1516" i="2"/>
  <c r="M1517" i="2"/>
  <c r="M1518" i="2"/>
  <c r="M1519" i="2"/>
  <c r="M1520" i="2"/>
  <c r="M1521" i="2"/>
  <c r="M1522" i="2"/>
  <c r="M1523" i="2"/>
  <c r="M1524" i="2"/>
  <c r="M1525" i="2"/>
  <c r="M1526" i="2"/>
  <c r="M1527" i="2"/>
  <c r="M1528" i="2"/>
  <c r="M1529" i="2"/>
  <c r="M1530" i="2"/>
  <c r="M1531" i="2"/>
  <c r="M1532" i="2"/>
  <c r="M1533" i="2"/>
  <c r="M1534" i="2"/>
  <c r="M1535" i="2"/>
  <c r="M1536" i="2"/>
  <c r="M1537" i="2"/>
  <c r="M1538" i="2"/>
  <c r="M1539" i="2"/>
  <c r="M1540" i="2"/>
  <c r="M1541" i="2"/>
  <c r="M1542" i="2"/>
  <c r="M1543" i="2"/>
  <c r="M1544" i="2"/>
  <c r="M1545" i="2"/>
  <c r="M1546" i="2"/>
  <c r="M1547" i="2"/>
  <c r="M1548" i="2"/>
  <c r="M1549" i="2"/>
  <c r="M1550" i="2"/>
  <c r="M1551" i="2"/>
  <c r="M1552" i="2"/>
  <c r="M1553" i="2"/>
  <c r="M1554" i="2"/>
  <c r="M1555" i="2"/>
  <c r="M1556" i="2"/>
  <c r="M1557" i="2"/>
  <c r="M1558" i="2"/>
  <c r="M1559" i="2"/>
  <c r="M1560" i="2"/>
  <c r="M1561" i="2"/>
  <c r="M1562" i="2"/>
  <c r="M1563" i="2"/>
  <c r="M1564" i="2"/>
  <c r="M1565" i="2"/>
  <c r="M1566" i="2"/>
  <c r="M1567" i="2"/>
  <c r="M1568" i="2"/>
  <c r="M1569" i="2"/>
  <c r="M1570" i="2"/>
  <c r="M1571" i="2"/>
  <c r="M1572" i="2"/>
  <c r="M1573" i="2"/>
  <c r="M1574" i="2"/>
  <c r="M1575" i="2"/>
  <c r="M1576" i="2"/>
  <c r="M1577" i="2"/>
  <c r="M1578" i="2"/>
  <c r="M1579" i="2"/>
  <c r="M1580" i="2"/>
  <c r="M1581" i="2"/>
  <c r="M1582" i="2"/>
  <c r="M1583" i="2"/>
  <c r="M1584" i="2"/>
  <c r="M1585" i="2"/>
  <c r="M1586" i="2"/>
  <c r="M1587" i="2"/>
  <c r="M1588" i="2"/>
  <c r="M1589" i="2"/>
  <c r="M1590" i="2"/>
  <c r="M1591" i="2"/>
  <c r="M1592" i="2"/>
  <c r="M1593" i="2"/>
  <c r="M1594" i="2"/>
  <c r="M1595" i="2"/>
  <c r="M1596" i="2"/>
  <c r="M1597" i="2"/>
  <c r="M1598" i="2"/>
  <c r="M1599" i="2"/>
  <c r="M1600" i="2"/>
  <c r="M1601" i="2"/>
  <c r="M1602" i="2"/>
  <c r="M1603" i="2"/>
  <c r="M1604" i="2"/>
  <c r="M1605" i="2"/>
  <c r="M1606" i="2"/>
  <c r="M1607" i="2"/>
  <c r="M1608" i="2"/>
  <c r="M1609" i="2"/>
  <c r="M1610" i="2"/>
  <c r="M1611" i="2"/>
  <c r="M1612" i="2"/>
  <c r="M1613" i="2"/>
  <c r="M1614" i="2"/>
  <c r="M1615" i="2"/>
  <c r="M1616" i="2"/>
  <c r="M1617" i="2"/>
  <c r="M1618" i="2"/>
  <c r="M1619" i="2"/>
  <c r="M1620" i="2"/>
  <c r="M1621" i="2"/>
  <c r="M1622" i="2"/>
  <c r="M1623" i="2"/>
  <c r="M1624" i="2"/>
  <c r="M1625" i="2"/>
  <c r="M1626" i="2"/>
  <c r="M1627" i="2"/>
  <c r="M1628" i="2"/>
  <c r="M1629" i="2"/>
  <c r="M1630" i="2"/>
  <c r="M1631" i="2"/>
  <c r="M1632" i="2"/>
  <c r="M1633" i="2"/>
  <c r="M1634" i="2"/>
  <c r="M1635" i="2"/>
  <c r="M1636" i="2"/>
  <c r="M1637" i="2"/>
  <c r="M1638" i="2"/>
  <c r="M1639" i="2"/>
  <c r="M1640" i="2"/>
  <c r="M1641" i="2"/>
  <c r="M1642" i="2"/>
  <c r="M1643" i="2"/>
  <c r="M1644" i="2"/>
  <c r="M1645" i="2"/>
  <c r="M1646" i="2"/>
  <c r="M1647" i="2"/>
  <c r="M1648" i="2"/>
  <c r="M1649" i="2"/>
  <c r="M1650" i="2"/>
  <c r="M1651" i="2"/>
  <c r="M1652" i="2"/>
  <c r="M1653" i="2"/>
  <c r="M1654" i="2"/>
  <c r="M1655" i="2"/>
  <c r="M1656" i="2"/>
  <c r="M1657" i="2"/>
  <c r="M1658" i="2"/>
  <c r="M1659" i="2"/>
  <c r="M1660" i="2"/>
  <c r="M1661" i="2"/>
  <c r="M1662" i="2"/>
  <c r="M1663" i="2"/>
  <c r="M1664" i="2"/>
  <c r="M1665" i="2"/>
  <c r="M1666" i="2"/>
  <c r="M1667" i="2"/>
  <c r="M1668" i="2"/>
  <c r="M1669" i="2"/>
  <c r="M1670" i="2"/>
  <c r="M1671" i="2"/>
  <c r="M1672" i="2"/>
  <c r="M1673" i="2"/>
  <c r="M1674" i="2"/>
  <c r="M1675" i="2"/>
  <c r="M1676" i="2"/>
  <c r="M1677" i="2"/>
  <c r="M1678" i="2"/>
  <c r="M1679" i="2"/>
  <c r="M1680" i="2"/>
  <c r="M1681" i="2"/>
  <c r="M1682" i="2"/>
  <c r="M1683" i="2"/>
  <c r="M1684" i="2"/>
  <c r="M1685" i="2"/>
  <c r="M1686" i="2"/>
  <c r="M1687" i="2"/>
  <c r="M1688" i="2"/>
  <c r="M1689" i="2"/>
  <c r="M1690" i="2"/>
  <c r="M1691" i="2"/>
  <c r="M1692" i="2"/>
  <c r="M1693" i="2"/>
  <c r="M1694" i="2"/>
  <c r="M1695" i="2"/>
  <c r="M1696" i="2"/>
  <c r="M1697" i="2"/>
  <c r="M1698" i="2"/>
  <c r="M1699" i="2"/>
  <c r="M1700" i="2"/>
  <c r="M1701" i="2"/>
  <c r="M1702" i="2"/>
  <c r="M1703" i="2"/>
  <c r="M1704" i="2"/>
  <c r="M1705" i="2"/>
  <c r="M1706" i="2"/>
  <c r="M1707" i="2"/>
  <c r="M1708" i="2"/>
  <c r="M1709" i="2"/>
  <c r="M1710" i="2"/>
  <c r="M1711" i="2"/>
  <c r="M1712" i="2"/>
  <c r="M1713" i="2"/>
  <c r="M1714" i="2"/>
  <c r="M1715" i="2"/>
  <c r="M1716" i="2"/>
  <c r="M1717" i="2"/>
  <c r="M1718" i="2"/>
  <c r="M1719" i="2"/>
  <c r="M1720" i="2"/>
  <c r="M1721" i="2"/>
  <c r="M1722" i="2"/>
  <c r="M1723" i="2"/>
  <c r="M1724" i="2"/>
  <c r="M1725" i="2"/>
  <c r="M1726" i="2"/>
  <c r="M1727" i="2"/>
  <c r="M1728" i="2"/>
  <c r="M1729" i="2"/>
  <c r="M1730" i="2"/>
  <c r="M1731" i="2"/>
  <c r="M1732" i="2"/>
  <c r="M1733" i="2"/>
  <c r="M1734" i="2"/>
  <c r="M1735" i="2"/>
  <c r="M1736" i="2"/>
  <c r="M1737" i="2"/>
  <c r="M1738" i="2"/>
  <c r="M1739" i="2"/>
  <c r="M1740" i="2"/>
  <c r="M1741" i="2"/>
  <c r="M1742" i="2"/>
  <c r="M1743" i="2"/>
  <c r="M1744" i="2"/>
  <c r="M1745" i="2"/>
  <c r="M1746" i="2"/>
  <c r="M1747" i="2"/>
  <c r="M1748" i="2"/>
  <c r="M1749" i="2"/>
  <c r="M1750" i="2"/>
  <c r="M1751" i="2"/>
  <c r="M1752" i="2"/>
  <c r="M1753" i="2"/>
  <c r="M1754" i="2"/>
  <c r="M1755" i="2"/>
  <c r="M1756" i="2"/>
  <c r="M1757" i="2"/>
  <c r="M1758" i="2"/>
  <c r="M1759" i="2"/>
  <c r="M1760" i="2"/>
  <c r="M1761" i="2"/>
  <c r="M1762" i="2"/>
  <c r="M1763" i="2"/>
  <c r="M1764" i="2"/>
  <c r="M1765" i="2"/>
  <c r="M1766" i="2"/>
  <c r="M1767" i="2"/>
  <c r="M1768" i="2"/>
  <c r="M1769" i="2"/>
  <c r="M1770" i="2"/>
  <c r="M1771" i="2"/>
  <c r="M1772" i="2"/>
  <c r="M1773" i="2"/>
  <c r="M1774" i="2"/>
  <c r="M1775" i="2"/>
  <c r="M1776" i="2"/>
  <c r="M1777" i="2"/>
  <c r="M1778" i="2"/>
  <c r="M1779" i="2"/>
  <c r="M1780" i="2"/>
  <c r="M1781" i="2"/>
  <c r="M1782" i="2"/>
  <c r="M1783" i="2"/>
  <c r="M1784" i="2"/>
  <c r="M1785" i="2"/>
  <c r="M1786" i="2"/>
  <c r="M1787" i="2"/>
  <c r="M1788" i="2"/>
  <c r="M1789" i="2"/>
  <c r="M1790" i="2"/>
  <c r="M1791" i="2"/>
  <c r="M1792" i="2"/>
  <c r="M1793" i="2"/>
  <c r="M1794" i="2"/>
  <c r="M1795" i="2"/>
  <c r="M1796" i="2"/>
  <c r="M1797" i="2"/>
  <c r="M1798" i="2"/>
  <c r="M1799" i="2"/>
  <c r="M1800" i="2"/>
  <c r="M1801" i="2"/>
  <c r="M1802" i="2"/>
  <c r="M1803" i="2"/>
  <c r="M1804" i="2"/>
  <c r="M1805" i="2"/>
  <c r="M1806" i="2"/>
  <c r="M1807" i="2"/>
  <c r="M1808" i="2"/>
  <c r="M1809" i="2"/>
  <c r="M1810" i="2"/>
  <c r="M1811" i="2"/>
  <c r="M1812" i="2"/>
  <c r="M1813" i="2"/>
  <c r="M1814" i="2"/>
  <c r="M1815" i="2"/>
  <c r="M1816" i="2"/>
  <c r="M1817" i="2"/>
  <c r="M1818" i="2"/>
  <c r="M1819" i="2"/>
  <c r="M1820" i="2"/>
  <c r="M1821" i="2"/>
  <c r="M1822" i="2"/>
  <c r="M1823" i="2"/>
  <c r="M1824" i="2"/>
  <c r="M1825" i="2"/>
  <c r="M1826" i="2"/>
  <c r="M1827" i="2"/>
  <c r="M1828" i="2"/>
  <c r="M1829" i="2"/>
  <c r="M1830" i="2"/>
  <c r="M1831" i="2"/>
  <c r="M1832" i="2"/>
  <c r="M1833" i="2"/>
  <c r="M1834" i="2"/>
  <c r="M1835" i="2"/>
  <c r="M1836" i="2"/>
  <c r="M1837" i="2"/>
  <c r="M1838" i="2"/>
  <c r="M1839" i="2"/>
  <c r="M1840" i="2"/>
  <c r="M1841" i="2"/>
  <c r="M1842" i="2"/>
  <c r="M1843" i="2"/>
  <c r="M1844" i="2"/>
  <c r="M1845" i="2"/>
  <c r="M1846" i="2"/>
  <c r="M1847" i="2"/>
  <c r="M1848" i="2"/>
  <c r="M1849" i="2"/>
  <c r="M1850" i="2"/>
  <c r="M1851" i="2"/>
  <c r="M1852" i="2"/>
  <c r="M1853" i="2"/>
  <c r="M1854" i="2"/>
  <c r="M1855" i="2"/>
  <c r="M1856" i="2"/>
  <c r="M1857" i="2"/>
  <c r="M1858" i="2"/>
  <c r="M1859" i="2"/>
  <c r="M1860" i="2"/>
  <c r="M1861" i="2"/>
  <c r="M1862" i="2"/>
  <c r="M1863" i="2"/>
  <c r="M1864" i="2"/>
  <c r="M1865" i="2"/>
  <c r="M1866" i="2"/>
  <c r="M1867" i="2"/>
  <c r="M1868" i="2"/>
  <c r="M1869" i="2"/>
  <c r="M1870" i="2"/>
  <c r="M1871" i="2"/>
  <c r="M1872" i="2"/>
  <c r="M1873" i="2"/>
  <c r="M1874" i="2"/>
  <c r="M1875" i="2"/>
  <c r="M1876" i="2"/>
  <c r="M1877" i="2"/>
  <c r="M1878" i="2"/>
  <c r="M1879" i="2"/>
  <c r="M1880" i="2"/>
  <c r="M1881" i="2"/>
  <c r="M1882" i="2"/>
  <c r="M1883" i="2"/>
  <c r="M1884" i="2"/>
  <c r="M1885" i="2"/>
  <c r="M1886" i="2"/>
  <c r="M1887" i="2"/>
  <c r="M1888" i="2"/>
  <c r="M1889" i="2"/>
  <c r="M1890" i="2"/>
  <c r="M1891" i="2"/>
  <c r="M1892" i="2"/>
  <c r="M1893" i="2"/>
  <c r="M1894" i="2"/>
  <c r="M1895" i="2"/>
  <c r="M1896" i="2"/>
  <c r="M1897" i="2"/>
  <c r="M1898" i="2"/>
  <c r="M1899" i="2"/>
  <c r="M1900" i="2"/>
  <c r="M1901" i="2"/>
  <c r="M1902" i="2"/>
  <c r="M1903" i="2"/>
  <c r="M1904" i="2"/>
  <c r="M1905" i="2"/>
  <c r="M1906" i="2"/>
  <c r="M1907" i="2"/>
  <c r="M1908" i="2"/>
  <c r="M1909" i="2"/>
  <c r="M1910" i="2"/>
  <c r="M1911" i="2"/>
  <c r="M1912" i="2"/>
  <c r="M1913" i="2"/>
  <c r="M1914" i="2"/>
  <c r="M1915" i="2"/>
  <c r="M1916" i="2"/>
  <c r="M1917" i="2"/>
  <c r="M1918" i="2"/>
  <c r="M1919" i="2"/>
  <c r="M1920" i="2"/>
  <c r="M1921" i="2"/>
  <c r="M1922" i="2"/>
  <c r="M1923" i="2"/>
  <c r="M1924" i="2"/>
  <c r="M1925" i="2"/>
  <c r="M1926" i="2"/>
  <c r="M1927" i="2"/>
  <c r="M1928" i="2"/>
  <c r="M1929" i="2"/>
  <c r="M1930" i="2"/>
  <c r="M1931" i="2"/>
  <c r="M1932" i="2"/>
  <c r="M1933" i="2"/>
  <c r="M1934" i="2"/>
  <c r="M1935" i="2"/>
  <c r="M1936" i="2"/>
  <c r="M1937" i="2"/>
  <c r="M1938" i="2"/>
  <c r="M1939" i="2"/>
  <c r="M1940" i="2"/>
  <c r="M1941" i="2"/>
  <c r="M1942" i="2"/>
  <c r="M1943" i="2"/>
  <c r="M1944" i="2"/>
  <c r="M1945" i="2"/>
  <c r="M1946" i="2"/>
  <c r="M1947" i="2"/>
  <c r="M1948" i="2"/>
  <c r="M1949" i="2"/>
  <c r="M1950" i="2"/>
  <c r="M1951" i="2"/>
  <c r="M1952" i="2"/>
  <c r="M1953" i="2"/>
  <c r="M1954" i="2"/>
  <c r="M1955" i="2"/>
  <c r="M1956" i="2"/>
  <c r="M1957" i="2"/>
  <c r="M1958" i="2"/>
  <c r="M1959" i="2"/>
  <c r="M1960" i="2"/>
  <c r="M1961" i="2"/>
  <c r="M1962" i="2"/>
  <c r="M1963" i="2"/>
  <c r="M1964" i="2"/>
  <c r="M1965" i="2"/>
  <c r="M1966" i="2"/>
  <c r="M1967" i="2"/>
  <c r="M1968" i="2"/>
  <c r="M1969" i="2"/>
  <c r="M1970" i="2"/>
  <c r="M1971" i="2"/>
  <c r="M1972" i="2"/>
  <c r="M1973" i="2"/>
  <c r="M1974" i="2"/>
  <c r="M1975" i="2"/>
  <c r="M1976" i="2"/>
  <c r="M1977" i="2"/>
  <c r="M1978" i="2"/>
  <c r="M1979" i="2"/>
  <c r="M1980" i="2"/>
  <c r="M1981" i="2"/>
  <c r="M1982" i="2"/>
  <c r="M1983" i="2"/>
  <c r="M1984" i="2"/>
  <c r="M1985" i="2"/>
  <c r="M1986" i="2"/>
  <c r="M1987" i="2"/>
  <c r="M1988" i="2"/>
  <c r="M1989" i="2"/>
  <c r="M1990" i="2"/>
  <c r="M1991" i="2"/>
  <c r="M1992" i="2"/>
  <c r="M1993" i="2"/>
  <c r="M1994" i="2"/>
  <c r="M1995" i="2"/>
  <c r="M1996" i="2"/>
  <c r="M1997" i="2"/>
  <c r="M1998" i="2"/>
  <c r="M1999" i="2"/>
  <c r="M2000" i="2"/>
  <c r="M2001" i="2"/>
  <c r="M2002" i="2"/>
  <c r="M2003" i="2"/>
  <c r="M2004" i="2"/>
  <c r="M2005" i="2"/>
  <c r="M2006" i="2"/>
  <c r="M2007" i="2"/>
  <c r="M2008" i="2"/>
  <c r="M2009" i="2"/>
  <c r="M2010" i="2"/>
  <c r="M2011" i="2"/>
  <c r="M2012" i="2"/>
  <c r="M2013" i="2"/>
  <c r="M2014" i="2"/>
  <c r="M2015" i="2"/>
  <c r="M2016" i="2"/>
  <c r="M2017" i="2"/>
  <c r="M2018" i="2"/>
  <c r="M2019" i="2"/>
  <c r="M2020" i="2"/>
  <c r="M2021" i="2"/>
  <c r="M2022" i="2"/>
  <c r="M2023" i="2"/>
  <c r="M2024" i="2"/>
  <c r="M2025" i="2"/>
  <c r="M2026" i="2"/>
  <c r="M2027" i="2"/>
  <c r="M2028" i="2"/>
  <c r="M2029" i="2"/>
  <c r="M2030" i="2"/>
  <c r="M2031" i="2"/>
  <c r="M2032" i="2"/>
  <c r="M2033" i="2"/>
  <c r="M2034" i="2"/>
  <c r="M2035" i="2"/>
  <c r="M2036" i="2"/>
  <c r="M2037" i="2"/>
  <c r="M2038" i="2"/>
  <c r="M2039" i="2"/>
  <c r="M2040" i="2"/>
  <c r="M2041" i="2"/>
  <c r="M2042" i="2"/>
  <c r="M2043" i="2"/>
  <c r="M2044" i="2"/>
  <c r="M2045" i="2"/>
  <c r="M2046" i="2"/>
  <c r="M2047" i="2"/>
  <c r="M2048" i="2"/>
  <c r="M2049" i="2"/>
  <c r="M2050" i="2"/>
  <c r="M2051" i="2"/>
  <c r="M2052" i="2"/>
  <c r="M2053" i="2"/>
  <c r="M2054" i="2"/>
  <c r="M2055" i="2"/>
  <c r="M2056" i="2"/>
  <c r="M2057" i="2"/>
  <c r="M2058" i="2"/>
  <c r="M2059" i="2"/>
  <c r="M2060" i="2"/>
  <c r="M2061" i="2"/>
  <c r="M2062" i="2"/>
  <c r="M2063" i="2"/>
  <c r="M2064" i="2"/>
  <c r="M2065" i="2"/>
  <c r="M2066" i="2"/>
  <c r="M2067" i="2"/>
  <c r="M2068" i="2"/>
  <c r="M2069" i="2"/>
  <c r="M2070" i="2"/>
  <c r="M2071" i="2"/>
  <c r="M2072" i="2"/>
  <c r="M2073" i="2"/>
  <c r="M2074" i="2"/>
  <c r="M2075" i="2"/>
  <c r="M2076" i="2"/>
  <c r="M2077" i="2"/>
  <c r="M2078" i="2"/>
  <c r="M2079" i="2"/>
  <c r="M2080" i="2"/>
  <c r="M2081" i="2"/>
  <c r="M2082" i="2"/>
  <c r="M2083" i="2"/>
  <c r="M2084" i="2"/>
  <c r="M2085" i="2"/>
  <c r="M2086" i="2"/>
  <c r="M2087" i="2"/>
  <c r="M2088" i="2"/>
  <c r="M2089" i="2"/>
  <c r="M2090" i="2"/>
  <c r="M2091" i="2"/>
  <c r="M2092" i="2"/>
  <c r="M2093" i="2"/>
  <c r="M2094" i="2"/>
  <c r="M2095" i="2"/>
  <c r="M2096" i="2"/>
  <c r="M2097" i="2"/>
  <c r="M2098" i="2"/>
  <c r="M2099" i="2"/>
  <c r="M2100" i="2"/>
  <c r="M2101" i="2"/>
  <c r="M2102" i="2"/>
  <c r="M2103" i="2"/>
  <c r="M2104" i="2"/>
  <c r="M2105" i="2"/>
  <c r="M2106" i="2"/>
  <c r="M2107" i="2"/>
  <c r="M2108" i="2"/>
  <c r="M2109" i="2"/>
  <c r="M2110" i="2"/>
  <c r="M2111" i="2"/>
  <c r="M2112" i="2"/>
  <c r="M2113" i="2"/>
  <c r="M2114" i="2"/>
  <c r="M2115" i="2"/>
  <c r="M2116" i="2"/>
  <c r="M2117" i="2"/>
  <c r="M2118" i="2"/>
  <c r="M2119" i="2"/>
  <c r="M2120" i="2"/>
  <c r="M2121" i="2"/>
  <c r="M2122" i="2"/>
  <c r="M2123" i="2"/>
  <c r="M2124" i="2"/>
  <c r="M2125" i="2"/>
  <c r="M2126" i="2"/>
  <c r="M2127" i="2"/>
  <c r="M2128" i="2"/>
  <c r="M2129" i="2"/>
  <c r="M2130" i="2"/>
  <c r="M2131" i="2"/>
  <c r="M2132" i="2"/>
  <c r="M2133" i="2"/>
  <c r="M2134" i="2"/>
  <c r="M2135" i="2"/>
  <c r="M2136" i="2"/>
  <c r="M2137" i="2"/>
  <c r="M2138" i="2"/>
  <c r="M2139" i="2"/>
  <c r="M2140" i="2"/>
  <c r="M2141" i="2"/>
  <c r="M2142" i="2"/>
  <c r="M2143" i="2"/>
  <c r="M2144" i="2"/>
  <c r="M2145" i="2"/>
  <c r="M2146" i="2"/>
  <c r="M2147" i="2"/>
  <c r="M2148" i="2"/>
  <c r="M2149" i="2"/>
  <c r="M2150" i="2"/>
  <c r="M2151" i="2"/>
  <c r="M2152" i="2"/>
  <c r="M2153" i="2"/>
  <c r="M2154" i="2"/>
  <c r="M2155" i="2"/>
  <c r="M2156" i="2"/>
  <c r="M2157" i="2"/>
  <c r="M2158" i="2"/>
  <c r="M2159" i="2"/>
  <c r="M2160" i="2"/>
  <c r="M2161" i="2"/>
  <c r="M2162" i="2"/>
  <c r="M2163" i="2"/>
  <c r="M2164" i="2"/>
  <c r="M2165" i="2"/>
  <c r="M2166" i="2"/>
  <c r="M2167" i="2"/>
  <c r="M2168" i="2"/>
  <c r="M2169" i="2"/>
  <c r="M2170" i="2"/>
  <c r="M2171" i="2"/>
  <c r="M2172" i="2"/>
  <c r="M2173" i="2"/>
  <c r="M2174" i="2"/>
  <c r="M2175" i="2"/>
  <c r="M2176" i="2"/>
  <c r="M2177" i="2"/>
  <c r="M2178" i="2"/>
  <c r="M2179" i="2"/>
  <c r="M2180" i="2"/>
  <c r="M2181" i="2"/>
  <c r="M2182" i="2"/>
  <c r="M2183" i="2"/>
  <c r="M2184" i="2"/>
  <c r="M2185" i="2"/>
  <c r="M2186" i="2"/>
  <c r="M2187" i="2"/>
  <c r="M2188" i="2"/>
  <c r="M2189" i="2"/>
  <c r="M2190" i="2"/>
  <c r="M2191" i="2"/>
  <c r="M2192" i="2"/>
  <c r="M2193" i="2"/>
  <c r="M2194" i="2"/>
  <c r="M2195" i="2"/>
  <c r="M2196" i="2"/>
  <c r="M2197" i="2"/>
  <c r="M2198" i="2"/>
  <c r="M2199" i="2"/>
  <c r="M2200" i="2"/>
  <c r="M2201" i="2"/>
  <c r="M2202" i="2"/>
  <c r="M2203" i="2"/>
  <c r="M2204" i="2"/>
  <c r="M2205" i="2"/>
  <c r="M2206" i="2"/>
  <c r="M2207" i="2"/>
  <c r="M2208" i="2"/>
  <c r="M2209" i="2"/>
  <c r="M2210" i="2"/>
  <c r="M2211" i="2"/>
  <c r="M2212" i="2"/>
  <c r="M2213" i="2"/>
  <c r="M2214" i="2"/>
  <c r="M2215" i="2"/>
  <c r="M2216" i="2"/>
  <c r="M2217" i="2"/>
  <c r="M2218" i="2"/>
  <c r="M2219" i="2"/>
  <c r="M2220" i="2"/>
  <c r="M2221" i="2"/>
  <c r="M2222" i="2"/>
  <c r="M2223" i="2"/>
  <c r="M2224" i="2"/>
  <c r="M2225" i="2"/>
  <c r="M2226" i="2"/>
  <c r="M2227" i="2"/>
  <c r="M2228" i="2"/>
  <c r="M2229" i="2"/>
  <c r="M2230" i="2"/>
  <c r="M2231" i="2"/>
  <c r="M2232" i="2"/>
  <c r="M2233" i="2"/>
  <c r="M2234" i="2"/>
  <c r="M2235" i="2"/>
  <c r="M2236" i="2"/>
  <c r="M2237" i="2"/>
  <c r="M2238" i="2"/>
  <c r="M2239" i="2"/>
  <c r="M2240" i="2"/>
  <c r="M2241" i="2"/>
  <c r="M2242" i="2"/>
  <c r="M2243" i="2"/>
  <c r="M2244" i="2"/>
  <c r="M2245" i="2"/>
  <c r="M2246" i="2"/>
  <c r="M2247" i="2"/>
  <c r="M2248" i="2"/>
  <c r="M2249" i="2"/>
  <c r="M2250" i="2"/>
  <c r="M2251" i="2"/>
  <c r="M2252" i="2"/>
  <c r="M2253" i="2"/>
  <c r="M2254" i="2"/>
  <c r="M2255" i="2"/>
  <c r="M2256" i="2"/>
  <c r="M2257" i="2"/>
  <c r="M2258" i="2"/>
  <c r="M2259" i="2"/>
  <c r="M2260" i="2"/>
  <c r="M2261" i="2"/>
  <c r="M2262" i="2"/>
  <c r="M2263" i="2"/>
  <c r="M2264" i="2"/>
  <c r="M2265" i="2"/>
  <c r="M2266" i="2"/>
  <c r="M2267" i="2"/>
  <c r="M2268" i="2"/>
  <c r="M2269" i="2"/>
  <c r="M2270" i="2"/>
  <c r="M2271" i="2"/>
  <c r="M2272" i="2"/>
  <c r="M2273" i="2"/>
  <c r="M2274" i="2"/>
  <c r="M2275" i="2"/>
  <c r="M2276" i="2"/>
  <c r="M2277" i="2"/>
  <c r="M2278" i="2"/>
  <c r="M2279" i="2"/>
  <c r="M2280" i="2"/>
  <c r="M2281" i="2"/>
  <c r="M2282" i="2"/>
  <c r="M2283" i="2"/>
  <c r="M2284" i="2"/>
  <c r="M2285" i="2"/>
  <c r="M2286" i="2"/>
  <c r="M2287" i="2"/>
  <c r="M2288" i="2"/>
  <c r="M2289" i="2"/>
  <c r="M2290" i="2"/>
  <c r="M2291" i="2"/>
  <c r="M2292" i="2"/>
  <c r="M2293" i="2"/>
  <c r="M2294" i="2"/>
  <c r="M2295" i="2"/>
  <c r="M2296" i="2"/>
  <c r="M2297" i="2"/>
  <c r="M2298" i="2"/>
  <c r="M2299" i="2"/>
  <c r="M2300" i="2"/>
  <c r="M2301" i="2"/>
  <c r="M2302" i="2"/>
  <c r="M2303" i="2"/>
  <c r="M2304" i="2"/>
  <c r="M2305" i="2"/>
  <c r="M2306" i="2"/>
  <c r="M2307" i="2"/>
  <c r="M2308" i="2"/>
  <c r="M2309" i="2"/>
  <c r="M2310" i="2"/>
  <c r="M2311" i="2"/>
  <c r="M2312" i="2"/>
  <c r="M2313" i="2"/>
  <c r="M2314" i="2"/>
  <c r="M2315" i="2"/>
  <c r="M2316" i="2"/>
  <c r="M2317" i="2"/>
  <c r="M2318" i="2"/>
  <c r="M2319" i="2"/>
  <c r="M2320" i="2"/>
  <c r="M2321" i="2"/>
  <c r="M2322" i="2"/>
  <c r="M2323" i="2"/>
  <c r="M2324" i="2"/>
  <c r="M2325" i="2"/>
  <c r="M2326" i="2"/>
  <c r="M2327" i="2"/>
  <c r="M2328" i="2"/>
  <c r="M2329" i="2"/>
  <c r="M2330" i="2"/>
  <c r="M2331" i="2"/>
  <c r="M2332" i="2"/>
  <c r="M2333" i="2"/>
  <c r="M2334" i="2"/>
  <c r="M2335" i="2"/>
  <c r="M2336" i="2"/>
  <c r="M2337" i="2"/>
  <c r="M2338" i="2"/>
  <c r="M2339" i="2"/>
  <c r="M2340" i="2"/>
  <c r="M2341" i="2"/>
  <c r="M2342" i="2"/>
  <c r="M2343" i="2"/>
  <c r="M2344" i="2"/>
  <c r="M2345" i="2"/>
  <c r="M2346" i="2"/>
  <c r="M2347" i="2"/>
  <c r="M2348" i="2"/>
  <c r="M2349" i="2"/>
  <c r="M2350" i="2"/>
  <c r="M2351" i="2"/>
  <c r="M2352" i="2"/>
  <c r="M2353" i="2"/>
  <c r="M2354" i="2"/>
  <c r="M2355" i="2"/>
  <c r="M2356" i="2"/>
  <c r="M2357" i="2"/>
  <c r="M2358" i="2"/>
  <c r="M2359" i="2"/>
  <c r="M2360" i="2"/>
  <c r="M2361" i="2"/>
  <c r="M2362" i="2"/>
  <c r="M2363" i="2"/>
  <c r="M2364" i="2"/>
  <c r="M2365" i="2"/>
  <c r="M2366" i="2"/>
  <c r="M2367" i="2"/>
  <c r="M2368" i="2"/>
  <c r="M2369" i="2"/>
  <c r="M2370" i="2"/>
  <c r="M2371" i="2"/>
  <c r="M2372" i="2"/>
  <c r="M2373" i="2"/>
  <c r="M2374" i="2"/>
  <c r="M2375" i="2"/>
  <c r="M2376" i="2"/>
  <c r="M2377" i="2"/>
  <c r="M2378" i="2"/>
  <c r="M2379" i="2"/>
  <c r="M2380" i="2"/>
  <c r="M2381" i="2"/>
  <c r="M2382" i="2"/>
  <c r="M2383" i="2"/>
  <c r="M2384" i="2"/>
  <c r="M2385" i="2"/>
  <c r="M2386" i="2"/>
  <c r="M2387" i="2"/>
  <c r="M2388" i="2"/>
  <c r="L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752" i="2"/>
  <c r="L753" i="2"/>
  <c r="L754" i="2"/>
  <c r="L755" i="2"/>
  <c r="L756" i="2"/>
  <c r="L757" i="2"/>
  <c r="L758" i="2"/>
  <c r="L759" i="2"/>
  <c r="L760" i="2"/>
  <c r="L761" i="2"/>
  <c r="L762" i="2"/>
  <c r="L763" i="2"/>
  <c r="L764" i="2"/>
  <c r="L765" i="2"/>
  <c r="L766" i="2"/>
  <c r="L767" i="2"/>
  <c r="L768" i="2"/>
  <c r="L769" i="2"/>
  <c r="L770" i="2"/>
  <c r="L771" i="2"/>
  <c r="L772" i="2"/>
  <c r="L773" i="2"/>
  <c r="L774" i="2"/>
  <c r="L775" i="2"/>
  <c r="L776" i="2"/>
  <c r="L777" i="2"/>
  <c r="L778" i="2"/>
  <c r="L779" i="2"/>
  <c r="L780" i="2"/>
  <c r="L781" i="2"/>
  <c r="L782" i="2"/>
  <c r="L783" i="2"/>
  <c r="L784" i="2"/>
  <c r="L785" i="2"/>
  <c r="L786" i="2"/>
  <c r="L787" i="2"/>
  <c r="L788" i="2"/>
  <c r="L789" i="2"/>
  <c r="L790" i="2"/>
  <c r="L791" i="2"/>
  <c r="L792" i="2"/>
  <c r="L793" i="2"/>
  <c r="L794" i="2"/>
  <c r="L795" i="2"/>
  <c r="L796" i="2"/>
  <c r="L797" i="2"/>
  <c r="L798" i="2"/>
  <c r="L799" i="2"/>
  <c r="L800" i="2"/>
  <c r="L801" i="2"/>
  <c r="L802" i="2"/>
  <c r="L803" i="2"/>
  <c r="L804" i="2"/>
  <c r="L805" i="2"/>
  <c r="L806" i="2"/>
  <c r="L807" i="2"/>
  <c r="L808" i="2"/>
  <c r="L809" i="2"/>
  <c r="L810" i="2"/>
  <c r="L811" i="2"/>
  <c r="L812" i="2"/>
  <c r="L813" i="2"/>
  <c r="L814" i="2"/>
  <c r="L815" i="2"/>
  <c r="L816" i="2"/>
  <c r="L817" i="2"/>
  <c r="L818" i="2"/>
  <c r="L819" i="2"/>
  <c r="L820" i="2"/>
  <c r="L821" i="2"/>
  <c r="L822" i="2"/>
  <c r="L823" i="2"/>
  <c r="L824" i="2"/>
  <c r="L825" i="2"/>
  <c r="L826" i="2"/>
  <c r="L827" i="2"/>
  <c r="L828" i="2"/>
  <c r="L829" i="2"/>
  <c r="L830" i="2"/>
  <c r="L831" i="2"/>
  <c r="L832" i="2"/>
  <c r="L833" i="2"/>
  <c r="L834" i="2"/>
  <c r="L835" i="2"/>
  <c r="L836" i="2"/>
  <c r="L837" i="2"/>
  <c r="L838" i="2"/>
  <c r="L839" i="2"/>
  <c r="L840" i="2"/>
  <c r="L841" i="2"/>
  <c r="L842" i="2"/>
  <c r="L843" i="2"/>
  <c r="L844" i="2"/>
  <c r="L845" i="2"/>
  <c r="L846" i="2"/>
  <c r="L847" i="2"/>
  <c r="L848" i="2"/>
  <c r="L849" i="2"/>
  <c r="L850" i="2"/>
  <c r="L851" i="2"/>
  <c r="L852" i="2"/>
  <c r="L853" i="2"/>
  <c r="L854" i="2"/>
  <c r="L855" i="2"/>
  <c r="L856" i="2"/>
  <c r="L857" i="2"/>
  <c r="L858" i="2"/>
  <c r="L859" i="2"/>
  <c r="L860" i="2"/>
  <c r="L861" i="2"/>
  <c r="L862" i="2"/>
  <c r="L863" i="2"/>
  <c r="L864" i="2"/>
  <c r="L865" i="2"/>
  <c r="L866" i="2"/>
  <c r="L867" i="2"/>
  <c r="L868" i="2"/>
  <c r="L869" i="2"/>
  <c r="L870" i="2"/>
  <c r="L871" i="2"/>
  <c r="L872" i="2"/>
  <c r="L873" i="2"/>
  <c r="L874" i="2"/>
  <c r="L875" i="2"/>
  <c r="L876" i="2"/>
  <c r="L877" i="2"/>
  <c r="L878" i="2"/>
  <c r="L879" i="2"/>
  <c r="L880" i="2"/>
  <c r="L881" i="2"/>
  <c r="L882" i="2"/>
  <c r="L883" i="2"/>
  <c r="L884" i="2"/>
  <c r="L885" i="2"/>
  <c r="L886" i="2"/>
  <c r="L887" i="2"/>
  <c r="L888" i="2"/>
  <c r="L889" i="2"/>
  <c r="L890" i="2"/>
  <c r="L891" i="2"/>
  <c r="L892" i="2"/>
  <c r="L893" i="2"/>
  <c r="L894" i="2"/>
  <c r="L895" i="2"/>
  <c r="L896" i="2"/>
  <c r="L897" i="2"/>
  <c r="L898" i="2"/>
  <c r="L899" i="2"/>
  <c r="L900" i="2"/>
  <c r="L901" i="2"/>
  <c r="L902" i="2"/>
  <c r="L903" i="2"/>
  <c r="L904" i="2"/>
  <c r="L905" i="2"/>
  <c r="L906" i="2"/>
  <c r="L907" i="2"/>
  <c r="L908" i="2"/>
  <c r="L909" i="2"/>
  <c r="L910" i="2"/>
  <c r="L911" i="2"/>
  <c r="L912" i="2"/>
  <c r="L913" i="2"/>
  <c r="L914" i="2"/>
  <c r="L915" i="2"/>
  <c r="L916" i="2"/>
  <c r="L917" i="2"/>
  <c r="L918" i="2"/>
  <c r="L919" i="2"/>
  <c r="L920" i="2"/>
  <c r="L921" i="2"/>
  <c r="L922" i="2"/>
  <c r="L923" i="2"/>
  <c r="L924" i="2"/>
  <c r="L925" i="2"/>
  <c r="L926" i="2"/>
  <c r="L927" i="2"/>
  <c r="L928" i="2"/>
  <c r="L929" i="2"/>
  <c r="L930" i="2"/>
  <c r="L931" i="2"/>
  <c r="L932" i="2"/>
  <c r="L933" i="2"/>
  <c r="L934" i="2"/>
  <c r="L935" i="2"/>
  <c r="L936" i="2"/>
  <c r="L937" i="2"/>
  <c r="L938" i="2"/>
  <c r="L939" i="2"/>
  <c r="L940" i="2"/>
  <c r="L941" i="2"/>
  <c r="L942" i="2"/>
  <c r="L943" i="2"/>
  <c r="L944" i="2"/>
  <c r="L945" i="2"/>
  <c r="L946" i="2"/>
  <c r="L947" i="2"/>
  <c r="L948" i="2"/>
  <c r="L949" i="2"/>
  <c r="L950" i="2"/>
  <c r="L951" i="2"/>
  <c r="L952" i="2"/>
  <c r="L953" i="2"/>
  <c r="L954" i="2"/>
  <c r="L955" i="2"/>
  <c r="L956" i="2"/>
  <c r="L957" i="2"/>
  <c r="L958" i="2"/>
  <c r="L959" i="2"/>
  <c r="L960" i="2"/>
  <c r="L961" i="2"/>
  <c r="L962" i="2"/>
  <c r="L963" i="2"/>
  <c r="L964" i="2"/>
  <c r="L965" i="2"/>
  <c r="L966" i="2"/>
  <c r="L967" i="2"/>
  <c r="L968" i="2"/>
  <c r="L969" i="2"/>
  <c r="L970" i="2"/>
  <c r="L971" i="2"/>
  <c r="L972" i="2"/>
  <c r="L973" i="2"/>
  <c r="L974" i="2"/>
  <c r="L975" i="2"/>
  <c r="L976" i="2"/>
  <c r="L977" i="2"/>
  <c r="L978" i="2"/>
  <c r="L979" i="2"/>
  <c r="L980" i="2"/>
  <c r="L981" i="2"/>
  <c r="L982" i="2"/>
  <c r="L983" i="2"/>
  <c r="L984" i="2"/>
  <c r="L985" i="2"/>
  <c r="L986" i="2"/>
  <c r="L987" i="2"/>
  <c r="L988" i="2"/>
  <c r="L989" i="2"/>
  <c r="L990" i="2"/>
  <c r="L991" i="2"/>
  <c r="L992" i="2"/>
  <c r="L993" i="2"/>
  <c r="L994" i="2"/>
  <c r="L995" i="2"/>
  <c r="L996" i="2"/>
  <c r="L997" i="2"/>
  <c r="L998" i="2"/>
  <c r="L999" i="2"/>
  <c r="L1000" i="2"/>
  <c r="L1001" i="2"/>
  <c r="L1002" i="2"/>
  <c r="L1003" i="2"/>
  <c r="L1004" i="2"/>
  <c r="L1005" i="2"/>
  <c r="L1006" i="2"/>
  <c r="L1007" i="2"/>
  <c r="L1008" i="2"/>
  <c r="L1009" i="2"/>
  <c r="L1010" i="2"/>
  <c r="L1011" i="2"/>
  <c r="L1012" i="2"/>
  <c r="L1013" i="2"/>
  <c r="L1014" i="2"/>
  <c r="L1015" i="2"/>
  <c r="L1016" i="2"/>
  <c r="L1017" i="2"/>
  <c r="L1018" i="2"/>
  <c r="L1019" i="2"/>
  <c r="L1020" i="2"/>
  <c r="L1021" i="2"/>
  <c r="L1022" i="2"/>
  <c r="L1023" i="2"/>
  <c r="L1024" i="2"/>
  <c r="L1025" i="2"/>
  <c r="L1026" i="2"/>
  <c r="L1027" i="2"/>
  <c r="L1028" i="2"/>
  <c r="L1029" i="2"/>
  <c r="L1030" i="2"/>
  <c r="L1031" i="2"/>
  <c r="L1032" i="2"/>
  <c r="L1033" i="2"/>
  <c r="L1034" i="2"/>
  <c r="L1035" i="2"/>
  <c r="L1036" i="2"/>
  <c r="L1037" i="2"/>
  <c r="L1038" i="2"/>
  <c r="L1039" i="2"/>
  <c r="L1040" i="2"/>
  <c r="L1041" i="2"/>
  <c r="L1042" i="2"/>
  <c r="L1043" i="2"/>
  <c r="L1044" i="2"/>
  <c r="L1045" i="2"/>
  <c r="L1046" i="2"/>
  <c r="L1047" i="2"/>
  <c r="L1048" i="2"/>
  <c r="L1049" i="2"/>
  <c r="L1050" i="2"/>
  <c r="L1051" i="2"/>
  <c r="L1052" i="2"/>
  <c r="L1053" i="2"/>
  <c r="L1054" i="2"/>
  <c r="L1055" i="2"/>
  <c r="L1056" i="2"/>
  <c r="L1057" i="2"/>
  <c r="L1058" i="2"/>
  <c r="L1059" i="2"/>
  <c r="L1060" i="2"/>
  <c r="L1061" i="2"/>
  <c r="L1062" i="2"/>
  <c r="L1063" i="2"/>
  <c r="L1064" i="2"/>
  <c r="L1065" i="2"/>
  <c r="L1066" i="2"/>
  <c r="L1067" i="2"/>
  <c r="L1068" i="2"/>
  <c r="L1069" i="2"/>
  <c r="L1070" i="2"/>
  <c r="L1071" i="2"/>
  <c r="L1072" i="2"/>
  <c r="L1073" i="2"/>
  <c r="L1074" i="2"/>
  <c r="L1075" i="2"/>
  <c r="L1076" i="2"/>
  <c r="L1077" i="2"/>
  <c r="L1078" i="2"/>
  <c r="L1079" i="2"/>
  <c r="L1080" i="2"/>
  <c r="L1081" i="2"/>
  <c r="L1082" i="2"/>
  <c r="L1083" i="2"/>
  <c r="L1084" i="2"/>
  <c r="L1085" i="2"/>
  <c r="L1086" i="2"/>
  <c r="L1087" i="2"/>
  <c r="L1088" i="2"/>
  <c r="L1089" i="2"/>
  <c r="L1090" i="2"/>
  <c r="L1091" i="2"/>
  <c r="L1092" i="2"/>
  <c r="L1093" i="2"/>
  <c r="L1094" i="2"/>
  <c r="L1095" i="2"/>
  <c r="L1096" i="2"/>
  <c r="L1097" i="2"/>
  <c r="L1098" i="2"/>
  <c r="L1099" i="2"/>
  <c r="L1100" i="2"/>
  <c r="L1101" i="2"/>
  <c r="L1102" i="2"/>
  <c r="L1103" i="2"/>
  <c r="L1104" i="2"/>
  <c r="L1105" i="2"/>
  <c r="L1106" i="2"/>
  <c r="L1107" i="2"/>
  <c r="L1108" i="2"/>
  <c r="L1109" i="2"/>
  <c r="L1110" i="2"/>
  <c r="L1111" i="2"/>
  <c r="L1112" i="2"/>
  <c r="L1113" i="2"/>
  <c r="L1114" i="2"/>
  <c r="L1115" i="2"/>
  <c r="L1116" i="2"/>
  <c r="L1117" i="2"/>
  <c r="L1118" i="2"/>
  <c r="L1119" i="2"/>
  <c r="L1120" i="2"/>
  <c r="L1121" i="2"/>
  <c r="L1122" i="2"/>
  <c r="L1123" i="2"/>
  <c r="L1124" i="2"/>
  <c r="L1125" i="2"/>
  <c r="L1126" i="2"/>
  <c r="L1127" i="2"/>
  <c r="L1128" i="2"/>
  <c r="L1129" i="2"/>
  <c r="L1130" i="2"/>
  <c r="L1131" i="2"/>
  <c r="L1132" i="2"/>
  <c r="L1133" i="2"/>
  <c r="L1134" i="2"/>
  <c r="L1135" i="2"/>
  <c r="L1136" i="2"/>
  <c r="L1137" i="2"/>
  <c r="L1138" i="2"/>
  <c r="L1139" i="2"/>
  <c r="L1140" i="2"/>
  <c r="L1141" i="2"/>
  <c r="L1142" i="2"/>
  <c r="L1143" i="2"/>
  <c r="L1144" i="2"/>
  <c r="L1145" i="2"/>
  <c r="L1146" i="2"/>
  <c r="L1147" i="2"/>
  <c r="L1148" i="2"/>
  <c r="L1149" i="2"/>
  <c r="L1150" i="2"/>
  <c r="L1151" i="2"/>
  <c r="L1152" i="2"/>
  <c r="L1153" i="2"/>
  <c r="L1154" i="2"/>
  <c r="L1155" i="2"/>
  <c r="L1156" i="2"/>
  <c r="L1157" i="2"/>
  <c r="L1158" i="2"/>
  <c r="L1159" i="2"/>
  <c r="L1160" i="2"/>
  <c r="L1161" i="2"/>
  <c r="L1162" i="2"/>
  <c r="L1163" i="2"/>
  <c r="L1164" i="2"/>
  <c r="L1165" i="2"/>
  <c r="L1166" i="2"/>
  <c r="L1167" i="2"/>
  <c r="L1168" i="2"/>
  <c r="L1169" i="2"/>
  <c r="L1170" i="2"/>
  <c r="L1171" i="2"/>
  <c r="L1172" i="2"/>
  <c r="L1173" i="2"/>
  <c r="L1174" i="2"/>
  <c r="L1175" i="2"/>
  <c r="L1176" i="2"/>
  <c r="L1177" i="2"/>
  <c r="L1178" i="2"/>
  <c r="L1179" i="2"/>
  <c r="L1180" i="2"/>
  <c r="L1181" i="2"/>
  <c r="L1182" i="2"/>
  <c r="L1183" i="2"/>
  <c r="L1184" i="2"/>
  <c r="L1185" i="2"/>
  <c r="L1186" i="2"/>
  <c r="L1187" i="2"/>
  <c r="L1188" i="2"/>
  <c r="L1189" i="2"/>
  <c r="L1190" i="2"/>
  <c r="L1191" i="2"/>
  <c r="L1192" i="2"/>
  <c r="L1193" i="2"/>
  <c r="L1194" i="2"/>
  <c r="L1195" i="2"/>
  <c r="L1196" i="2"/>
  <c r="L1197" i="2"/>
  <c r="L1198" i="2"/>
  <c r="L1199" i="2"/>
  <c r="L1200" i="2"/>
  <c r="L1201" i="2"/>
  <c r="L1202" i="2"/>
  <c r="L1203" i="2"/>
  <c r="L1204" i="2"/>
  <c r="L1205" i="2"/>
  <c r="L1206" i="2"/>
  <c r="L1207" i="2"/>
  <c r="L1208" i="2"/>
  <c r="L1209" i="2"/>
  <c r="L1210" i="2"/>
  <c r="L1211" i="2"/>
  <c r="L1212" i="2"/>
  <c r="L1213" i="2"/>
  <c r="L1214" i="2"/>
  <c r="L1215" i="2"/>
  <c r="L1216" i="2"/>
  <c r="L1217" i="2"/>
  <c r="L1218" i="2"/>
  <c r="L1219" i="2"/>
  <c r="L1220" i="2"/>
  <c r="L1221" i="2"/>
  <c r="L1222" i="2"/>
  <c r="L1223" i="2"/>
  <c r="L1224" i="2"/>
  <c r="L1225" i="2"/>
  <c r="L1226" i="2"/>
  <c r="L1227" i="2"/>
  <c r="L1228" i="2"/>
  <c r="L1229" i="2"/>
  <c r="L1230" i="2"/>
  <c r="L1231" i="2"/>
  <c r="L1232" i="2"/>
  <c r="L1233" i="2"/>
  <c r="L1234" i="2"/>
  <c r="L1235" i="2"/>
  <c r="L1236" i="2"/>
  <c r="L1237" i="2"/>
  <c r="L1238" i="2"/>
  <c r="L1239" i="2"/>
  <c r="L1240" i="2"/>
  <c r="L1241" i="2"/>
  <c r="L1242" i="2"/>
  <c r="L1243" i="2"/>
  <c r="L1244" i="2"/>
  <c r="L1245" i="2"/>
  <c r="L1246" i="2"/>
  <c r="L1247" i="2"/>
  <c r="L1248" i="2"/>
  <c r="L1249" i="2"/>
  <c r="L1250" i="2"/>
  <c r="L1251" i="2"/>
  <c r="L1252" i="2"/>
  <c r="L1253" i="2"/>
  <c r="L1254" i="2"/>
  <c r="L1255" i="2"/>
  <c r="L1256" i="2"/>
  <c r="L1257" i="2"/>
  <c r="L1258" i="2"/>
  <c r="L1259" i="2"/>
  <c r="L1260" i="2"/>
  <c r="L1261" i="2"/>
  <c r="L1262" i="2"/>
  <c r="L1263" i="2"/>
  <c r="L1264" i="2"/>
  <c r="L1265" i="2"/>
  <c r="L1266" i="2"/>
  <c r="L1267" i="2"/>
  <c r="L1268" i="2"/>
  <c r="L1269" i="2"/>
  <c r="L1270" i="2"/>
  <c r="L1271" i="2"/>
  <c r="L1272" i="2"/>
  <c r="L1273" i="2"/>
  <c r="L1274" i="2"/>
  <c r="L1275" i="2"/>
  <c r="L1276" i="2"/>
  <c r="L1277" i="2"/>
  <c r="L1278" i="2"/>
  <c r="L1279" i="2"/>
  <c r="L1280" i="2"/>
  <c r="L1281" i="2"/>
  <c r="L1282" i="2"/>
  <c r="L1283" i="2"/>
  <c r="L1284" i="2"/>
  <c r="L1285" i="2"/>
  <c r="L1286" i="2"/>
  <c r="L1287" i="2"/>
  <c r="L1288" i="2"/>
  <c r="L1289" i="2"/>
  <c r="L1290" i="2"/>
  <c r="L1291" i="2"/>
  <c r="L1292" i="2"/>
  <c r="L1293" i="2"/>
  <c r="L1294" i="2"/>
  <c r="L1295" i="2"/>
  <c r="L1296" i="2"/>
  <c r="L1297" i="2"/>
  <c r="L1298" i="2"/>
  <c r="L1299" i="2"/>
  <c r="L1300" i="2"/>
  <c r="L1301" i="2"/>
  <c r="L1302" i="2"/>
  <c r="L1303" i="2"/>
  <c r="L1304" i="2"/>
  <c r="L1305" i="2"/>
  <c r="L1306" i="2"/>
  <c r="L1307" i="2"/>
  <c r="L1308" i="2"/>
  <c r="L1309" i="2"/>
  <c r="L1310" i="2"/>
  <c r="L1311" i="2"/>
  <c r="L1312" i="2"/>
  <c r="L1313" i="2"/>
  <c r="L1314" i="2"/>
  <c r="L1315" i="2"/>
  <c r="L1316" i="2"/>
  <c r="L1317" i="2"/>
  <c r="L1318" i="2"/>
  <c r="L1319" i="2"/>
  <c r="L1320" i="2"/>
  <c r="L1321" i="2"/>
  <c r="L1322" i="2"/>
  <c r="L1323" i="2"/>
  <c r="L1324" i="2"/>
  <c r="L1325" i="2"/>
  <c r="L1326" i="2"/>
  <c r="L1327" i="2"/>
  <c r="L1328" i="2"/>
  <c r="L1329" i="2"/>
  <c r="L1330" i="2"/>
  <c r="L1331" i="2"/>
  <c r="L1332" i="2"/>
  <c r="L1333" i="2"/>
  <c r="L1334" i="2"/>
  <c r="L1335" i="2"/>
  <c r="L1336" i="2"/>
  <c r="L1337" i="2"/>
  <c r="L1338" i="2"/>
  <c r="L1339" i="2"/>
  <c r="L1340" i="2"/>
  <c r="L1341" i="2"/>
  <c r="L1342" i="2"/>
  <c r="L1343" i="2"/>
  <c r="L1344" i="2"/>
  <c r="L1345" i="2"/>
  <c r="L1346" i="2"/>
  <c r="L1347" i="2"/>
  <c r="L1348" i="2"/>
  <c r="L1349" i="2"/>
  <c r="L1350" i="2"/>
  <c r="L1351" i="2"/>
  <c r="L1352" i="2"/>
  <c r="L1353" i="2"/>
  <c r="L1354" i="2"/>
  <c r="L1355" i="2"/>
  <c r="L1356" i="2"/>
  <c r="L1357" i="2"/>
  <c r="L1358" i="2"/>
  <c r="L1359" i="2"/>
  <c r="L1360" i="2"/>
  <c r="L1361" i="2"/>
  <c r="L1362" i="2"/>
  <c r="L1363" i="2"/>
  <c r="L1364" i="2"/>
  <c r="L1365" i="2"/>
  <c r="L1366" i="2"/>
  <c r="L1367" i="2"/>
  <c r="L1368" i="2"/>
  <c r="L1369" i="2"/>
  <c r="L1370" i="2"/>
  <c r="L1371" i="2"/>
  <c r="L1372" i="2"/>
  <c r="L1373" i="2"/>
  <c r="L1374" i="2"/>
  <c r="L1375" i="2"/>
  <c r="L1376" i="2"/>
  <c r="L1377" i="2"/>
  <c r="L1378" i="2"/>
  <c r="L1379" i="2"/>
  <c r="L1380" i="2"/>
  <c r="L1381" i="2"/>
  <c r="L1382" i="2"/>
  <c r="L1383" i="2"/>
  <c r="L1384" i="2"/>
  <c r="L1385" i="2"/>
  <c r="L1386" i="2"/>
  <c r="L1387" i="2"/>
  <c r="L1388" i="2"/>
  <c r="L1389" i="2"/>
  <c r="L1390" i="2"/>
  <c r="L1391" i="2"/>
  <c r="L1392" i="2"/>
  <c r="L1393" i="2"/>
  <c r="L1394" i="2"/>
  <c r="L1395" i="2"/>
  <c r="L1396" i="2"/>
  <c r="L1397" i="2"/>
  <c r="L1398" i="2"/>
  <c r="L1399" i="2"/>
  <c r="L1400" i="2"/>
  <c r="L1401" i="2"/>
  <c r="L1402" i="2"/>
  <c r="L1403" i="2"/>
  <c r="L1404" i="2"/>
  <c r="L1405" i="2"/>
  <c r="L1406" i="2"/>
  <c r="L1407" i="2"/>
  <c r="L1408" i="2"/>
  <c r="L1409" i="2"/>
  <c r="L1410" i="2"/>
  <c r="L1411" i="2"/>
  <c r="L1412" i="2"/>
  <c r="L1413" i="2"/>
  <c r="L1414" i="2"/>
  <c r="L1415" i="2"/>
  <c r="L1416" i="2"/>
  <c r="L1417" i="2"/>
  <c r="L1418" i="2"/>
  <c r="L1419" i="2"/>
  <c r="L1420" i="2"/>
  <c r="L1421" i="2"/>
  <c r="L1422" i="2"/>
  <c r="L1423" i="2"/>
  <c r="L1424" i="2"/>
  <c r="L1425" i="2"/>
  <c r="L1426" i="2"/>
  <c r="L1427" i="2"/>
  <c r="L1428" i="2"/>
  <c r="L1429" i="2"/>
  <c r="L1430" i="2"/>
  <c r="L1431" i="2"/>
  <c r="L1432" i="2"/>
  <c r="L1433" i="2"/>
  <c r="L1434" i="2"/>
  <c r="L1435" i="2"/>
  <c r="L1436" i="2"/>
  <c r="L1437" i="2"/>
  <c r="L1438" i="2"/>
  <c r="L1439" i="2"/>
  <c r="L1440" i="2"/>
  <c r="L1441" i="2"/>
  <c r="L1442" i="2"/>
  <c r="L1443" i="2"/>
  <c r="L1444" i="2"/>
  <c r="L1445" i="2"/>
  <c r="L1446" i="2"/>
  <c r="L1447" i="2"/>
  <c r="L1448" i="2"/>
  <c r="L1449" i="2"/>
  <c r="L1450" i="2"/>
  <c r="L1451" i="2"/>
  <c r="L1452" i="2"/>
  <c r="L1453" i="2"/>
  <c r="L1454" i="2"/>
  <c r="L1455" i="2"/>
  <c r="L1456" i="2"/>
  <c r="L1457" i="2"/>
  <c r="L1458" i="2"/>
  <c r="L1459" i="2"/>
  <c r="L1460" i="2"/>
  <c r="L1461" i="2"/>
  <c r="L1462" i="2"/>
  <c r="L1463" i="2"/>
  <c r="L1464" i="2"/>
  <c r="L1465" i="2"/>
  <c r="L1466" i="2"/>
  <c r="L1467" i="2"/>
  <c r="L1468" i="2"/>
  <c r="L1469" i="2"/>
  <c r="L1470" i="2"/>
  <c r="L1471" i="2"/>
  <c r="L1472" i="2"/>
  <c r="L1473" i="2"/>
  <c r="L1474" i="2"/>
  <c r="L1475" i="2"/>
  <c r="L1476" i="2"/>
  <c r="L1477" i="2"/>
  <c r="L1478" i="2"/>
  <c r="L1479" i="2"/>
  <c r="L1480" i="2"/>
  <c r="L1481" i="2"/>
  <c r="L1482" i="2"/>
  <c r="L1483" i="2"/>
  <c r="L1484" i="2"/>
  <c r="L1485" i="2"/>
  <c r="L1486" i="2"/>
  <c r="L1487" i="2"/>
  <c r="L1488" i="2"/>
  <c r="L1489" i="2"/>
  <c r="L1490" i="2"/>
  <c r="L1491" i="2"/>
  <c r="L1492" i="2"/>
  <c r="L1493" i="2"/>
  <c r="L1494" i="2"/>
  <c r="L1495" i="2"/>
  <c r="L1496" i="2"/>
  <c r="L1497" i="2"/>
  <c r="L1498" i="2"/>
  <c r="L1499" i="2"/>
  <c r="L1500" i="2"/>
  <c r="L1501" i="2"/>
  <c r="L1502" i="2"/>
  <c r="L1503" i="2"/>
  <c r="L1504" i="2"/>
  <c r="L1505" i="2"/>
  <c r="L1506" i="2"/>
  <c r="L1507" i="2"/>
  <c r="L1508" i="2"/>
  <c r="L1509" i="2"/>
  <c r="L1510" i="2"/>
  <c r="L1511" i="2"/>
  <c r="L1512" i="2"/>
  <c r="L1513" i="2"/>
  <c r="L1514" i="2"/>
  <c r="L1515" i="2"/>
  <c r="L1516" i="2"/>
  <c r="L1517" i="2"/>
  <c r="L1518" i="2"/>
  <c r="L1519" i="2"/>
  <c r="L1520" i="2"/>
  <c r="L1521" i="2"/>
  <c r="L1522" i="2"/>
  <c r="L1523" i="2"/>
  <c r="L1524" i="2"/>
  <c r="L1525" i="2"/>
  <c r="L1526" i="2"/>
  <c r="L1527" i="2"/>
  <c r="L1528" i="2"/>
  <c r="L1529" i="2"/>
  <c r="L1530" i="2"/>
  <c r="L1531" i="2"/>
  <c r="L1532" i="2"/>
  <c r="L1533" i="2"/>
  <c r="L1534" i="2"/>
  <c r="L1535" i="2"/>
  <c r="L1536" i="2"/>
  <c r="L1537" i="2"/>
  <c r="L1538" i="2"/>
  <c r="L1539" i="2"/>
  <c r="L1540" i="2"/>
  <c r="L1541" i="2"/>
  <c r="L1542" i="2"/>
  <c r="L1543" i="2"/>
  <c r="L1544" i="2"/>
  <c r="L1545" i="2"/>
  <c r="L1546" i="2"/>
  <c r="L1547" i="2"/>
  <c r="L1548" i="2"/>
  <c r="L1549" i="2"/>
  <c r="L1550" i="2"/>
  <c r="L1551" i="2"/>
  <c r="L1552" i="2"/>
  <c r="L1553" i="2"/>
  <c r="L1554" i="2"/>
  <c r="L1555" i="2"/>
  <c r="L1556" i="2"/>
  <c r="L1557" i="2"/>
  <c r="L1558" i="2"/>
  <c r="L1559" i="2"/>
  <c r="L1560" i="2"/>
  <c r="L1561" i="2"/>
  <c r="L1562" i="2"/>
  <c r="L1563" i="2"/>
  <c r="L1564" i="2"/>
  <c r="L1565" i="2"/>
  <c r="L1566" i="2"/>
  <c r="L1567" i="2"/>
  <c r="L1568" i="2"/>
  <c r="L1569" i="2"/>
  <c r="L1570" i="2"/>
  <c r="L1571" i="2"/>
  <c r="L1572" i="2"/>
  <c r="L1573" i="2"/>
  <c r="L1574" i="2"/>
  <c r="L1575" i="2"/>
  <c r="L1576" i="2"/>
  <c r="L1577" i="2"/>
  <c r="L1578" i="2"/>
  <c r="L1579" i="2"/>
  <c r="L1580" i="2"/>
  <c r="L1581" i="2"/>
  <c r="L1582" i="2"/>
  <c r="L1583" i="2"/>
  <c r="L1584" i="2"/>
  <c r="L1585" i="2"/>
  <c r="L1586" i="2"/>
  <c r="L1587" i="2"/>
  <c r="L1588" i="2"/>
  <c r="L1589" i="2"/>
  <c r="L1590" i="2"/>
  <c r="L1591" i="2"/>
  <c r="L1592" i="2"/>
  <c r="L1593" i="2"/>
  <c r="L1594" i="2"/>
  <c r="L1595" i="2"/>
  <c r="L1596" i="2"/>
  <c r="L1597" i="2"/>
  <c r="L1598" i="2"/>
  <c r="L1599" i="2"/>
  <c r="L1600" i="2"/>
  <c r="L1601" i="2"/>
  <c r="L1602" i="2"/>
  <c r="L1603" i="2"/>
  <c r="L1604" i="2"/>
  <c r="L1605" i="2"/>
  <c r="L1606" i="2"/>
  <c r="L1607" i="2"/>
  <c r="L1608" i="2"/>
  <c r="L1609" i="2"/>
  <c r="L1610" i="2"/>
  <c r="L1611" i="2"/>
  <c r="L1612" i="2"/>
  <c r="L1613" i="2"/>
  <c r="L1614" i="2"/>
  <c r="L1615" i="2"/>
  <c r="L1616" i="2"/>
  <c r="L1617" i="2"/>
  <c r="L1618" i="2"/>
  <c r="L1619" i="2"/>
  <c r="L1620" i="2"/>
  <c r="L1621" i="2"/>
  <c r="L1622" i="2"/>
  <c r="L1623" i="2"/>
  <c r="L1624" i="2"/>
  <c r="L1625" i="2"/>
  <c r="L1626" i="2"/>
  <c r="L1627" i="2"/>
  <c r="L1628" i="2"/>
  <c r="L1629" i="2"/>
  <c r="L1630" i="2"/>
  <c r="L1631" i="2"/>
  <c r="L1632" i="2"/>
  <c r="L1633" i="2"/>
  <c r="L1634" i="2"/>
  <c r="L1635" i="2"/>
  <c r="L1636" i="2"/>
  <c r="L1637" i="2"/>
  <c r="L1638" i="2"/>
  <c r="L1639" i="2"/>
  <c r="L1640" i="2"/>
  <c r="L1641" i="2"/>
  <c r="L1642" i="2"/>
  <c r="L1643" i="2"/>
  <c r="L1644" i="2"/>
  <c r="L1645" i="2"/>
  <c r="L1646" i="2"/>
  <c r="L1647" i="2"/>
  <c r="L1648" i="2"/>
  <c r="L1649" i="2"/>
  <c r="L1650" i="2"/>
  <c r="L1651" i="2"/>
  <c r="L1652" i="2"/>
  <c r="L1653" i="2"/>
  <c r="L1654" i="2"/>
  <c r="L1655" i="2"/>
  <c r="L1656" i="2"/>
  <c r="L1657" i="2"/>
  <c r="L1658" i="2"/>
  <c r="L1659" i="2"/>
  <c r="L1660" i="2"/>
  <c r="L1661" i="2"/>
  <c r="L1662" i="2"/>
  <c r="L1663" i="2"/>
  <c r="L1664" i="2"/>
  <c r="L1665" i="2"/>
  <c r="L1666" i="2"/>
  <c r="L1667" i="2"/>
  <c r="L1668" i="2"/>
  <c r="L1669" i="2"/>
  <c r="L1670" i="2"/>
  <c r="L1671" i="2"/>
  <c r="L1672" i="2"/>
  <c r="L1673" i="2"/>
  <c r="L1674" i="2"/>
  <c r="L1675" i="2"/>
  <c r="L1676" i="2"/>
  <c r="L1677" i="2"/>
  <c r="L1678" i="2"/>
  <c r="L1679" i="2"/>
  <c r="L1680" i="2"/>
  <c r="L1681" i="2"/>
  <c r="L1682" i="2"/>
  <c r="L1683" i="2"/>
  <c r="L1684" i="2"/>
  <c r="L1685" i="2"/>
  <c r="L1686" i="2"/>
  <c r="L1687" i="2"/>
  <c r="L1688" i="2"/>
  <c r="L1689" i="2"/>
  <c r="L1690" i="2"/>
  <c r="L1691" i="2"/>
  <c r="L1692" i="2"/>
  <c r="L1693" i="2"/>
  <c r="L1694" i="2"/>
  <c r="L1695" i="2"/>
  <c r="L1696" i="2"/>
  <c r="L1697" i="2"/>
  <c r="L1698" i="2"/>
  <c r="L1699" i="2"/>
  <c r="L1700" i="2"/>
  <c r="L1701" i="2"/>
  <c r="L1702" i="2"/>
  <c r="L1703" i="2"/>
  <c r="L1704" i="2"/>
  <c r="L1705" i="2"/>
  <c r="L1706" i="2"/>
  <c r="L1707" i="2"/>
  <c r="L1708" i="2"/>
  <c r="L1709" i="2"/>
  <c r="L1710" i="2"/>
  <c r="L1711" i="2"/>
  <c r="L1712" i="2"/>
  <c r="L1713" i="2"/>
  <c r="L1714" i="2"/>
  <c r="L1715" i="2"/>
  <c r="L1716" i="2"/>
  <c r="L1717" i="2"/>
  <c r="L1718" i="2"/>
  <c r="L1719" i="2"/>
  <c r="L1720" i="2"/>
  <c r="L1721" i="2"/>
  <c r="L1722" i="2"/>
  <c r="L1723" i="2"/>
  <c r="L1724" i="2"/>
  <c r="L1725" i="2"/>
  <c r="L1726" i="2"/>
  <c r="L1727" i="2"/>
  <c r="L1728" i="2"/>
  <c r="L1729" i="2"/>
  <c r="L1730" i="2"/>
  <c r="L1731" i="2"/>
  <c r="L1732" i="2"/>
  <c r="L1733" i="2"/>
  <c r="L1734" i="2"/>
  <c r="L1735" i="2"/>
  <c r="L1736" i="2"/>
  <c r="L1737" i="2"/>
  <c r="L1738" i="2"/>
  <c r="L1739" i="2"/>
  <c r="L1740" i="2"/>
  <c r="L1741" i="2"/>
  <c r="L1742" i="2"/>
  <c r="L1743" i="2"/>
  <c r="L1744" i="2"/>
  <c r="L1745" i="2"/>
  <c r="L1746" i="2"/>
  <c r="L1747" i="2"/>
  <c r="L1748" i="2"/>
  <c r="L1749" i="2"/>
  <c r="L1750" i="2"/>
  <c r="L1751" i="2"/>
  <c r="L1752" i="2"/>
  <c r="L1753" i="2"/>
  <c r="L1754" i="2"/>
  <c r="L1755" i="2"/>
  <c r="L1756" i="2"/>
  <c r="L1757" i="2"/>
  <c r="L1758" i="2"/>
  <c r="L1759" i="2"/>
  <c r="L1760" i="2"/>
  <c r="L1761" i="2"/>
  <c r="L1762" i="2"/>
  <c r="L1763" i="2"/>
  <c r="L1764" i="2"/>
  <c r="L1765" i="2"/>
  <c r="L1766" i="2"/>
  <c r="L1767" i="2"/>
  <c r="L1768" i="2"/>
  <c r="L1769" i="2"/>
  <c r="L1770" i="2"/>
  <c r="L1771" i="2"/>
  <c r="L1772" i="2"/>
  <c r="L1773" i="2"/>
  <c r="L1774" i="2"/>
  <c r="L1775" i="2"/>
  <c r="L1776" i="2"/>
  <c r="L1777" i="2"/>
  <c r="L1778" i="2"/>
  <c r="L1779" i="2"/>
  <c r="L1780" i="2"/>
  <c r="L1781" i="2"/>
  <c r="L1782" i="2"/>
  <c r="L1783" i="2"/>
  <c r="L1784" i="2"/>
  <c r="L1785" i="2"/>
  <c r="L1786" i="2"/>
  <c r="L1787" i="2"/>
  <c r="L1788" i="2"/>
  <c r="L1789" i="2"/>
  <c r="L1790" i="2"/>
  <c r="L1791" i="2"/>
  <c r="L1792" i="2"/>
  <c r="L1793" i="2"/>
  <c r="L1794" i="2"/>
  <c r="L1795" i="2"/>
  <c r="L1796" i="2"/>
  <c r="L1797" i="2"/>
  <c r="L1798" i="2"/>
  <c r="L1799" i="2"/>
  <c r="L1800" i="2"/>
  <c r="L1801" i="2"/>
  <c r="L1802" i="2"/>
  <c r="L1803" i="2"/>
  <c r="L1804" i="2"/>
  <c r="L1805" i="2"/>
  <c r="L1806" i="2"/>
  <c r="L1807" i="2"/>
  <c r="L1808" i="2"/>
  <c r="L1809" i="2"/>
  <c r="L1810" i="2"/>
  <c r="L1811" i="2"/>
  <c r="L1812" i="2"/>
  <c r="L1813" i="2"/>
  <c r="L1814" i="2"/>
  <c r="L1815" i="2"/>
  <c r="L1816" i="2"/>
  <c r="L1817" i="2"/>
  <c r="L1818" i="2"/>
  <c r="L1819" i="2"/>
  <c r="L1820" i="2"/>
  <c r="L1821" i="2"/>
  <c r="L1822" i="2"/>
  <c r="L1823" i="2"/>
  <c r="L1824" i="2"/>
  <c r="L1825" i="2"/>
  <c r="L1826" i="2"/>
  <c r="L1827" i="2"/>
  <c r="L1828" i="2"/>
  <c r="L1829" i="2"/>
  <c r="L1830" i="2"/>
  <c r="L1831" i="2"/>
  <c r="L1832" i="2"/>
  <c r="L1833" i="2"/>
  <c r="L1834" i="2"/>
  <c r="L1835" i="2"/>
  <c r="L1836" i="2"/>
  <c r="L1837" i="2"/>
  <c r="L1838" i="2"/>
  <c r="L1839" i="2"/>
  <c r="L1840" i="2"/>
  <c r="L1841" i="2"/>
  <c r="L1842" i="2"/>
  <c r="L1843" i="2"/>
  <c r="L1844" i="2"/>
  <c r="L1845" i="2"/>
  <c r="L1846" i="2"/>
  <c r="L1847" i="2"/>
  <c r="L1848" i="2"/>
  <c r="L1849" i="2"/>
  <c r="L1850" i="2"/>
  <c r="L1851" i="2"/>
  <c r="L1852" i="2"/>
  <c r="L1853" i="2"/>
  <c r="L1854" i="2"/>
  <c r="L1855" i="2"/>
  <c r="L1856" i="2"/>
  <c r="L1857" i="2"/>
  <c r="L1858" i="2"/>
  <c r="L1859" i="2"/>
  <c r="L1860" i="2"/>
  <c r="L1861" i="2"/>
  <c r="L1862" i="2"/>
  <c r="L1863" i="2"/>
  <c r="L1864" i="2"/>
  <c r="L1865" i="2"/>
  <c r="L1866" i="2"/>
  <c r="L1867" i="2"/>
  <c r="L1868" i="2"/>
  <c r="L1869" i="2"/>
  <c r="L1870" i="2"/>
  <c r="L1871" i="2"/>
  <c r="L1872" i="2"/>
  <c r="L1873" i="2"/>
  <c r="L1874" i="2"/>
  <c r="L1875" i="2"/>
  <c r="L1876" i="2"/>
  <c r="L1877" i="2"/>
  <c r="L1878" i="2"/>
  <c r="L1879" i="2"/>
  <c r="L1880" i="2"/>
  <c r="L1881" i="2"/>
  <c r="L1882" i="2"/>
  <c r="L1883" i="2"/>
  <c r="L1884" i="2"/>
  <c r="L1885" i="2"/>
  <c r="L1886" i="2"/>
  <c r="L1887" i="2"/>
  <c r="L1888" i="2"/>
  <c r="L1889" i="2"/>
  <c r="L1890" i="2"/>
  <c r="L1891" i="2"/>
  <c r="L1892" i="2"/>
  <c r="L1893" i="2"/>
  <c r="L1894" i="2"/>
  <c r="L1895" i="2"/>
  <c r="L1896" i="2"/>
  <c r="L1897" i="2"/>
  <c r="L1898" i="2"/>
  <c r="L1899" i="2"/>
  <c r="L1900" i="2"/>
  <c r="L1901" i="2"/>
  <c r="L1902" i="2"/>
  <c r="L1903" i="2"/>
  <c r="L1904" i="2"/>
  <c r="L1905" i="2"/>
  <c r="L1906" i="2"/>
  <c r="L1907" i="2"/>
  <c r="L1908" i="2"/>
  <c r="L1909" i="2"/>
  <c r="L1910" i="2"/>
  <c r="L1911" i="2"/>
  <c r="L1912" i="2"/>
  <c r="L1913" i="2"/>
  <c r="L1914" i="2"/>
  <c r="L1915" i="2"/>
  <c r="L1916" i="2"/>
  <c r="L1917" i="2"/>
  <c r="L1918" i="2"/>
  <c r="L1919" i="2"/>
  <c r="L1920" i="2"/>
  <c r="L1921" i="2"/>
  <c r="L1922" i="2"/>
  <c r="L1923" i="2"/>
  <c r="L1924" i="2"/>
  <c r="L1925" i="2"/>
  <c r="L1926" i="2"/>
  <c r="L1927" i="2"/>
  <c r="L1928" i="2"/>
  <c r="L1929" i="2"/>
  <c r="L1930" i="2"/>
  <c r="L1931" i="2"/>
  <c r="L1932" i="2"/>
  <c r="L1933" i="2"/>
  <c r="L1934" i="2"/>
  <c r="L1935" i="2"/>
  <c r="L1936" i="2"/>
  <c r="L1937" i="2"/>
  <c r="L1938" i="2"/>
  <c r="L1939" i="2"/>
  <c r="L1940" i="2"/>
  <c r="L1941" i="2"/>
  <c r="L1942" i="2"/>
  <c r="L1943" i="2"/>
  <c r="L1944" i="2"/>
  <c r="L1945" i="2"/>
  <c r="L1946" i="2"/>
  <c r="L1947" i="2"/>
  <c r="L1948" i="2"/>
  <c r="L1949" i="2"/>
  <c r="L1950" i="2"/>
  <c r="L1951" i="2"/>
  <c r="L1952" i="2"/>
  <c r="L1953" i="2"/>
  <c r="L1954" i="2"/>
  <c r="L1955" i="2"/>
  <c r="L1956" i="2"/>
  <c r="L1957" i="2"/>
  <c r="L1958" i="2"/>
  <c r="L1959" i="2"/>
  <c r="L1960" i="2"/>
  <c r="L1961" i="2"/>
  <c r="L1962" i="2"/>
  <c r="L1963" i="2"/>
  <c r="L1964" i="2"/>
  <c r="L1965" i="2"/>
  <c r="L1966" i="2"/>
  <c r="L1967" i="2"/>
  <c r="L1968" i="2"/>
  <c r="L1969" i="2"/>
  <c r="L1970" i="2"/>
  <c r="L1971" i="2"/>
  <c r="L1972" i="2"/>
  <c r="L1973" i="2"/>
  <c r="L1974" i="2"/>
  <c r="L1975" i="2"/>
  <c r="L1976" i="2"/>
  <c r="L1977" i="2"/>
  <c r="L1978" i="2"/>
  <c r="L1979" i="2"/>
  <c r="L1980" i="2"/>
  <c r="L1981" i="2"/>
  <c r="L1982" i="2"/>
  <c r="L1983" i="2"/>
  <c r="L1984" i="2"/>
  <c r="L1985" i="2"/>
  <c r="L1986" i="2"/>
  <c r="L1987" i="2"/>
  <c r="L1988" i="2"/>
  <c r="L1989" i="2"/>
  <c r="L1990" i="2"/>
  <c r="L1991" i="2"/>
  <c r="L1992" i="2"/>
  <c r="L1993" i="2"/>
  <c r="L1994" i="2"/>
  <c r="L1995" i="2"/>
  <c r="L1996" i="2"/>
  <c r="L1997" i="2"/>
  <c r="L1998" i="2"/>
  <c r="L1999" i="2"/>
  <c r="L2000" i="2"/>
  <c r="L2001" i="2"/>
  <c r="L2002" i="2"/>
  <c r="L2003" i="2"/>
  <c r="L2004" i="2"/>
  <c r="L2005" i="2"/>
  <c r="L2006" i="2"/>
  <c r="L2007" i="2"/>
  <c r="L2008" i="2"/>
  <c r="L2009" i="2"/>
  <c r="L2010" i="2"/>
  <c r="L2011" i="2"/>
  <c r="L2012" i="2"/>
  <c r="L2013" i="2"/>
  <c r="L2014" i="2"/>
  <c r="L2015" i="2"/>
  <c r="L2016" i="2"/>
  <c r="L2017" i="2"/>
  <c r="L2018" i="2"/>
  <c r="L2019" i="2"/>
  <c r="L2020" i="2"/>
  <c r="L2021" i="2"/>
  <c r="L2022" i="2"/>
  <c r="L2023" i="2"/>
  <c r="L2024" i="2"/>
  <c r="L2025" i="2"/>
  <c r="L2026" i="2"/>
  <c r="L2027" i="2"/>
  <c r="L2028" i="2"/>
  <c r="L2029" i="2"/>
  <c r="L2030" i="2"/>
  <c r="L2031" i="2"/>
  <c r="L2032" i="2"/>
  <c r="L2033" i="2"/>
  <c r="L2034" i="2"/>
  <c r="L2035" i="2"/>
  <c r="L2036" i="2"/>
  <c r="L2037" i="2"/>
  <c r="L2038" i="2"/>
  <c r="L2039" i="2"/>
  <c r="L2040" i="2"/>
  <c r="L2041" i="2"/>
  <c r="L2042" i="2"/>
  <c r="L2043" i="2"/>
  <c r="L2044" i="2"/>
  <c r="L2045" i="2"/>
  <c r="L2046" i="2"/>
  <c r="L2047" i="2"/>
  <c r="L2048" i="2"/>
  <c r="L2049" i="2"/>
  <c r="L2050" i="2"/>
  <c r="L2051" i="2"/>
  <c r="L2052" i="2"/>
  <c r="L2053" i="2"/>
  <c r="L2054" i="2"/>
  <c r="L2055" i="2"/>
  <c r="L2056" i="2"/>
  <c r="L2057" i="2"/>
  <c r="L2058" i="2"/>
  <c r="L2059" i="2"/>
  <c r="L2060" i="2"/>
  <c r="L2061" i="2"/>
  <c r="L2062" i="2"/>
  <c r="L2063" i="2"/>
  <c r="L2064" i="2"/>
  <c r="L2065" i="2"/>
  <c r="L2066" i="2"/>
  <c r="L2067" i="2"/>
  <c r="L2068" i="2"/>
  <c r="L2069" i="2"/>
  <c r="L2070" i="2"/>
  <c r="L2071" i="2"/>
  <c r="L2072" i="2"/>
  <c r="L2073" i="2"/>
  <c r="L2074" i="2"/>
  <c r="L2075" i="2"/>
  <c r="L2076" i="2"/>
  <c r="L2077" i="2"/>
  <c r="L2078" i="2"/>
  <c r="L2079" i="2"/>
  <c r="L2080" i="2"/>
  <c r="L2081" i="2"/>
  <c r="L2082" i="2"/>
  <c r="L2083" i="2"/>
  <c r="L2084" i="2"/>
  <c r="L2085" i="2"/>
  <c r="L2086" i="2"/>
  <c r="L2087" i="2"/>
  <c r="L2088" i="2"/>
  <c r="L2089" i="2"/>
  <c r="L2090" i="2"/>
  <c r="L2091" i="2"/>
  <c r="L2092" i="2"/>
  <c r="L2093" i="2"/>
  <c r="L2094" i="2"/>
  <c r="L2095" i="2"/>
  <c r="L2096" i="2"/>
  <c r="L2097" i="2"/>
  <c r="L2098" i="2"/>
  <c r="L2099" i="2"/>
  <c r="L2100" i="2"/>
  <c r="L2101" i="2"/>
  <c r="L2102" i="2"/>
  <c r="L2103" i="2"/>
  <c r="L2104" i="2"/>
  <c r="L2105" i="2"/>
  <c r="L2106" i="2"/>
  <c r="L2107" i="2"/>
  <c r="L2108" i="2"/>
  <c r="L2109" i="2"/>
  <c r="L2110" i="2"/>
  <c r="L2111" i="2"/>
  <c r="L2112" i="2"/>
  <c r="L2113" i="2"/>
  <c r="L2114" i="2"/>
  <c r="L2115" i="2"/>
  <c r="L2116" i="2"/>
  <c r="L2117" i="2"/>
  <c r="L2118" i="2"/>
  <c r="L2119" i="2"/>
  <c r="L2120" i="2"/>
  <c r="L2121" i="2"/>
  <c r="L2122" i="2"/>
  <c r="L2123" i="2"/>
  <c r="L2124" i="2"/>
  <c r="L2125" i="2"/>
  <c r="L2126" i="2"/>
  <c r="L2127" i="2"/>
  <c r="L2128" i="2"/>
  <c r="L2129" i="2"/>
  <c r="L2130" i="2"/>
  <c r="L2131" i="2"/>
  <c r="L2132" i="2"/>
  <c r="L2133" i="2"/>
  <c r="L2134" i="2"/>
  <c r="L2135" i="2"/>
  <c r="L2136" i="2"/>
  <c r="L2137" i="2"/>
  <c r="L2138" i="2"/>
  <c r="L2139" i="2"/>
  <c r="L2140" i="2"/>
  <c r="L2141" i="2"/>
  <c r="L2142" i="2"/>
  <c r="L2143" i="2"/>
  <c r="L2144" i="2"/>
  <c r="L2145" i="2"/>
  <c r="L2146" i="2"/>
  <c r="L2147" i="2"/>
  <c r="L2148" i="2"/>
  <c r="L2149" i="2"/>
  <c r="L2150" i="2"/>
  <c r="L2151" i="2"/>
  <c r="L2152" i="2"/>
  <c r="L2153" i="2"/>
  <c r="L2154" i="2"/>
  <c r="L2155" i="2"/>
  <c r="L2156" i="2"/>
  <c r="L2157" i="2"/>
  <c r="L2158" i="2"/>
  <c r="L2159" i="2"/>
  <c r="L2160" i="2"/>
  <c r="L2161" i="2"/>
  <c r="L2162" i="2"/>
  <c r="L2163" i="2"/>
  <c r="L2164" i="2"/>
  <c r="L2165" i="2"/>
  <c r="L2166" i="2"/>
  <c r="L2167" i="2"/>
  <c r="L2168" i="2"/>
  <c r="L2169" i="2"/>
  <c r="L2170" i="2"/>
  <c r="L2171" i="2"/>
  <c r="L2172" i="2"/>
  <c r="L2173" i="2"/>
  <c r="L2174" i="2"/>
  <c r="L2175" i="2"/>
  <c r="L2176" i="2"/>
  <c r="L2177" i="2"/>
  <c r="L2178" i="2"/>
  <c r="L2179" i="2"/>
  <c r="L2180" i="2"/>
  <c r="L2181" i="2"/>
  <c r="L2182" i="2"/>
  <c r="L2183" i="2"/>
  <c r="L2184" i="2"/>
  <c r="L2185" i="2"/>
  <c r="L2186" i="2"/>
  <c r="L2187" i="2"/>
  <c r="L2188" i="2"/>
  <c r="L2189" i="2"/>
  <c r="L2190" i="2"/>
  <c r="L2191" i="2"/>
  <c r="L2192" i="2"/>
  <c r="L2193" i="2"/>
  <c r="L2194" i="2"/>
  <c r="L2195" i="2"/>
  <c r="L2196" i="2"/>
  <c r="L2197" i="2"/>
  <c r="L2198" i="2"/>
  <c r="L2199" i="2"/>
  <c r="L2200" i="2"/>
  <c r="L2201" i="2"/>
  <c r="L2202" i="2"/>
  <c r="L2203" i="2"/>
  <c r="L2204" i="2"/>
  <c r="L2205" i="2"/>
  <c r="L2206" i="2"/>
  <c r="L2207" i="2"/>
  <c r="L2208" i="2"/>
  <c r="L2209" i="2"/>
  <c r="L2210" i="2"/>
  <c r="L2211" i="2"/>
  <c r="L2212" i="2"/>
  <c r="L2213" i="2"/>
  <c r="L2214" i="2"/>
  <c r="L2215" i="2"/>
  <c r="L2216" i="2"/>
  <c r="L2217" i="2"/>
  <c r="L2218" i="2"/>
  <c r="L2219" i="2"/>
  <c r="L2220" i="2"/>
  <c r="L2221" i="2"/>
  <c r="L2222" i="2"/>
  <c r="L2223" i="2"/>
  <c r="L2224" i="2"/>
  <c r="L2225" i="2"/>
  <c r="L2226" i="2"/>
  <c r="L2227" i="2"/>
  <c r="L2228" i="2"/>
  <c r="L2229" i="2"/>
  <c r="L2230" i="2"/>
  <c r="L2231" i="2"/>
  <c r="L2232" i="2"/>
  <c r="L2233" i="2"/>
  <c r="L2234" i="2"/>
  <c r="L2235" i="2"/>
  <c r="L2236" i="2"/>
  <c r="L2237" i="2"/>
  <c r="L2238" i="2"/>
  <c r="L2239" i="2"/>
  <c r="L2240" i="2"/>
  <c r="L2241" i="2"/>
  <c r="L2242" i="2"/>
  <c r="L2243" i="2"/>
  <c r="L2244" i="2"/>
  <c r="L2245" i="2"/>
  <c r="L2246" i="2"/>
  <c r="L2247" i="2"/>
  <c r="L2248" i="2"/>
  <c r="L2249" i="2"/>
  <c r="L2250" i="2"/>
  <c r="L2251" i="2"/>
  <c r="L2252" i="2"/>
  <c r="L2253" i="2"/>
  <c r="L2254" i="2"/>
  <c r="L2255" i="2"/>
  <c r="L2256" i="2"/>
  <c r="L2257" i="2"/>
  <c r="L2258" i="2"/>
  <c r="L2259" i="2"/>
  <c r="L2260" i="2"/>
  <c r="L2261" i="2"/>
  <c r="L2262" i="2"/>
  <c r="L2263" i="2"/>
  <c r="L2264" i="2"/>
  <c r="L2265" i="2"/>
  <c r="L2266" i="2"/>
  <c r="L2267" i="2"/>
  <c r="L2268" i="2"/>
  <c r="L2269" i="2"/>
  <c r="L2270" i="2"/>
  <c r="L2271" i="2"/>
  <c r="L2272" i="2"/>
  <c r="L2273" i="2"/>
  <c r="L2274" i="2"/>
  <c r="L2275" i="2"/>
  <c r="L2276" i="2"/>
  <c r="L2277" i="2"/>
  <c r="L2278" i="2"/>
  <c r="L2279" i="2"/>
  <c r="L2280" i="2"/>
  <c r="L2281" i="2"/>
  <c r="L2282" i="2"/>
  <c r="L2283" i="2"/>
  <c r="L2284" i="2"/>
  <c r="L2285" i="2"/>
  <c r="L2286" i="2"/>
  <c r="L2287" i="2"/>
  <c r="L2288" i="2"/>
  <c r="L2289" i="2"/>
  <c r="L2290" i="2"/>
  <c r="L2291" i="2"/>
  <c r="L2292" i="2"/>
  <c r="L2293" i="2"/>
  <c r="L2294" i="2"/>
  <c r="L2295" i="2"/>
  <c r="L2296" i="2"/>
  <c r="L2297" i="2"/>
  <c r="L2298" i="2"/>
  <c r="L2299" i="2"/>
  <c r="L2300" i="2"/>
  <c r="L2301" i="2"/>
  <c r="L2302" i="2"/>
  <c r="L2303" i="2"/>
  <c r="L2304" i="2"/>
  <c r="L2305" i="2"/>
  <c r="L2306" i="2"/>
  <c r="L2307" i="2"/>
  <c r="L2308" i="2"/>
  <c r="L2309" i="2"/>
  <c r="L2310" i="2"/>
  <c r="L2311" i="2"/>
  <c r="L2312" i="2"/>
  <c r="L2313" i="2"/>
  <c r="L2314" i="2"/>
  <c r="L2315" i="2"/>
  <c r="L2316" i="2"/>
  <c r="L2317" i="2"/>
  <c r="L2318" i="2"/>
  <c r="L2319" i="2"/>
  <c r="L2320" i="2"/>
  <c r="L2321" i="2"/>
  <c r="L2322" i="2"/>
  <c r="L2323" i="2"/>
  <c r="L2324" i="2"/>
  <c r="L2325" i="2"/>
  <c r="L2326" i="2"/>
  <c r="L2327" i="2"/>
  <c r="L2328" i="2"/>
  <c r="L2329" i="2"/>
  <c r="L2330" i="2"/>
  <c r="L2331" i="2"/>
  <c r="L2332" i="2"/>
  <c r="L2333" i="2"/>
  <c r="L2334" i="2"/>
  <c r="L2335" i="2"/>
  <c r="L2336" i="2"/>
  <c r="L2337" i="2"/>
  <c r="L2338" i="2"/>
  <c r="L2339" i="2"/>
  <c r="L2340" i="2"/>
  <c r="L2341" i="2"/>
  <c r="L2342" i="2"/>
  <c r="L2343" i="2"/>
  <c r="L2344" i="2"/>
  <c r="L2345" i="2"/>
  <c r="L2346" i="2"/>
  <c r="L2347" i="2"/>
  <c r="L2348" i="2"/>
  <c r="L2349" i="2"/>
  <c r="L2350" i="2"/>
  <c r="L2351" i="2"/>
  <c r="L2352" i="2"/>
  <c r="L2353" i="2"/>
  <c r="L2354" i="2"/>
  <c r="L2355" i="2"/>
  <c r="L2356" i="2"/>
  <c r="L2357" i="2"/>
  <c r="L2358" i="2"/>
  <c r="L2359" i="2"/>
  <c r="L2360" i="2"/>
  <c r="L2361" i="2"/>
  <c r="L2362" i="2"/>
  <c r="L2363" i="2"/>
  <c r="L2364" i="2"/>
  <c r="L2365" i="2"/>
  <c r="L2366" i="2"/>
  <c r="L2367" i="2"/>
  <c r="L2368" i="2"/>
  <c r="L2369" i="2"/>
  <c r="L2370" i="2"/>
  <c r="L2371" i="2"/>
  <c r="L2372" i="2"/>
  <c r="L2373" i="2"/>
  <c r="L2374" i="2"/>
  <c r="L2375" i="2"/>
  <c r="L2376" i="2"/>
  <c r="L2377" i="2"/>
  <c r="L2378" i="2"/>
  <c r="L2379" i="2"/>
  <c r="L2380" i="2"/>
  <c r="L2381" i="2"/>
  <c r="L2382" i="2"/>
  <c r="L2383" i="2"/>
  <c r="L2384" i="2"/>
  <c r="L2385" i="2"/>
  <c r="L2386" i="2"/>
  <c r="L2387" i="2"/>
  <c r="L2388" i="2"/>
</calcChain>
</file>

<file path=xl/sharedStrings.xml><?xml version="1.0" encoding="utf-8"?>
<sst xmlns="http://schemas.openxmlformats.org/spreadsheetml/2006/main" count="9574" uniqueCount="2406">
  <si>
    <t>ticker</t>
  </si>
  <si>
    <t>total_years</t>
  </si>
  <si>
    <t>avg_net_income</t>
  </si>
  <si>
    <t>profit_consistency_ratio</t>
  </si>
  <si>
    <t>net_income_volatility</t>
  </si>
  <si>
    <t>income_growth</t>
  </si>
  <si>
    <t>quality_score</t>
  </si>
  <si>
    <t>stability_score</t>
  </si>
  <si>
    <t>growth_score</t>
  </si>
  <si>
    <t>allocation_score</t>
  </si>
  <si>
    <t>portfolio_decision</t>
  </si>
  <si>
    <t>AMC</t>
  </si>
  <si>
    <t>Strong Allocation</t>
  </si>
  <si>
    <t>QS</t>
  </si>
  <si>
    <t>NVAX</t>
  </si>
  <si>
    <t>CLVT</t>
  </si>
  <si>
    <t>ETM</t>
  </si>
  <si>
    <t>FSR</t>
  </si>
  <si>
    <t>PTON</t>
  </si>
  <si>
    <t>PLUG</t>
  </si>
  <si>
    <t>NIO</t>
  </si>
  <si>
    <t>BA</t>
  </si>
  <si>
    <t>CYTK</t>
  </si>
  <si>
    <t>GH</t>
  </si>
  <si>
    <t>IBRX</t>
  </si>
  <si>
    <t>KRTX</t>
  </si>
  <si>
    <t>INSM</t>
  </si>
  <si>
    <t>CSSE</t>
  </si>
  <si>
    <t>AMWL</t>
  </si>
  <si>
    <t>NKLA</t>
  </si>
  <si>
    <t>BBIO</t>
  </si>
  <si>
    <t>RVMD</t>
  </si>
  <si>
    <t>NTLA</t>
  </si>
  <si>
    <t>BYND</t>
  </si>
  <si>
    <t>PTCT</t>
  </si>
  <si>
    <t>RLAY</t>
  </si>
  <si>
    <t>CERE</t>
  </si>
  <si>
    <t>ARVN</t>
  </si>
  <si>
    <t>RIDE</t>
  </si>
  <si>
    <t>OKTA</t>
  </si>
  <si>
    <t>GDS</t>
  </si>
  <si>
    <t>ZS</t>
  </si>
  <si>
    <t>RARE</t>
  </si>
  <si>
    <t>DM</t>
  </si>
  <si>
    <t>KOD</t>
  </si>
  <si>
    <t>BILL</t>
  </si>
  <si>
    <t>APLS</t>
  </si>
  <si>
    <t>GOEV</t>
  </si>
  <si>
    <t>CDLX</t>
  </si>
  <si>
    <t>ACCD</t>
  </si>
  <si>
    <t>BEAM</t>
  </si>
  <si>
    <t>SNAP</t>
  </si>
  <si>
    <t>BPMC</t>
  </si>
  <si>
    <t>CRSP</t>
  </si>
  <si>
    <t>TDOC</t>
  </si>
  <si>
    <t>RCL</t>
  </si>
  <si>
    <t>SBGI</t>
  </si>
  <si>
    <t>IVR</t>
  </si>
  <si>
    <t>UIS</t>
  </si>
  <si>
    <t>CNNE</t>
  </si>
  <si>
    <t>GT</t>
  </si>
  <si>
    <t>TWLO</t>
  </si>
  <si>
    <t>JBLU</t>
  </si>
  <si>
    <t>SAVE</t>
  </si>
  <si>
    <t>NCLH</t>
  </si>
  <si>
    <t>SABR</t>
  </si>
  <si>
    <t>ROKU</t>
  </si>
  <si>
    <t>RUN</t>
  </si>
  <si>
    <t>ENDP</t>
  </si>
  <si>
    <t>IHRT</t>
  </si>
  <si>
    <t>SPR</t>
  </si>
  <si>
    <t>ELAN</t>
  </si>
  <si>
    <t>TLRY</t>
  </si>
  <si>
    <t>CCL</t>
  </si>
  <si>
    <t>MRNA</t>
  </si>
  <si>
    <t>LUMN</t>
  </si>
  <si>
    <t>SATS</t>
  </si>
  <si>
    <t>TEO</t>
  </si>
  <si>
    <t>MDGL</t>
  </si>
  <si>
    <t>ASAN</t>
  </si>
  <si>
    <t>ADCT</t>
  </si>
  <si>
    <t>AEVA</t>
  </si>
  <si>
    <t>CBB</t>
  </si>
  <si>
    <t>ESTC</t>
  </si>
  <si>
    <t>ATEC</t>
  </si>
  <si>
    <t>NRIX</t>
  </si>
  <si>
    <t>IDEX</t>
  </si>
  <si>
    <t>BCRX</t>
  </si>
  <si>
    <t>PCOK</t>
  </si>
  <si>
    <t>CDNA</t>
  </si>
  <si>
    <t>CRNX</t>
  </si>
  <si>
    <t>RVNC</t>
  </si>
  <si>
    <t>SANA</t>
  </si>
  <si>
    <t>SGMO</t>
  </si>
  <si>
    <t>BCYC</t>
  </si>
  <si>
    <t>COGT</t>
  </si>
  <si>
    <t>ALXO</t>
  </si>
  <si>
    <t>KROS</t>
  </si>
  <si>
    <t>BTAI</t>
  </si>
  <si>
    <t>AGEN</t>
  </si>
  <si>
    <t>MRSN</t>
  </si>
  <si>
    <t>RCKT</t>
  </si>
  <si>
    <t>AXSM</t>
  </si>
  <si>
    <t>ALVR</t>
  </si>
  <si>
    <t>ADPT</t>
  </si>
  <si>
    <t>PLRX</t>
  </si>
  <si>
    <t>NEXT</t>
  </si>
  <si>
    <t>HYZN</t>
  </si>
  <si>
    <t>BNGO</t>
  </si>
  <si>
    <t>RNA</t>
  </si>
  <si>
    <t>BLNK</t>
  </si>
  <si>
    <t>PGRE</t>
  </si>
  <si>
    <t>DYN</t>
  </si>
  <si>
    <t>FGEN</t>
  </si>
  <si>
    <t>INBX</t>
  </si>
  <si>
    <t>IOVA</t>
  </si>
  <si>
    <t>ZNTL</t>
  </si>
  <si>
    <t>ARQT</t>
  </si>
  <si>
    <t>AMBA</t>
  </si>
  <si>
    <t>DZSI</t>
  </si>
  <si>
    <t>MORF</t>
  </si>
  <si>
    <t>ATHA</t>
  </si>
  <si>
    <t>KYMR</t>
  </si>
  <si>
    <t>PHR</t>
  </si>
  <si>
    <t>OLMA</t>
  </si>
  <si>
    <t>KNTE</t>
  </si>
  <si>
    <t>KRON</t>
  </si>
  <si>
    <t>ANNX</t>
  </si>
  <si>
    <t>ESPR</t>
  </si>
  <si>
    <t>BNED</t>
  </si>
  <si>
    <t>FSLY</t>
  </si>
  <si>
    <t>NET</t>
  </si>
  <si>
    <t>PRAX</t>
  </si>
  <si>
    <t>ALLK</t>
  </si>
  <si>
    <t>BGNE</t>
  </si>
  <si>
    <t>DASH</t>
  </si>
  <si>
    <t>PSFE</t>
  </si>
  <si>
    <t>OPEN</t>
  </si>
  <si>
    <t>EXAS</t>
  </si>
  <si>
    <t>CNK</t>
  </si>
  <si>
    <t>CTGO</t>
  </si>
  <si>
    <t>ALEC</t>
  </si>
  <si>
    <t>ANY</t>
  </si>
  <si>
    <t>ERNA</t>
  </si>
  <si>
    <t>CYDY</t>
  </si>
  <si>
    <t>ATER</t>
  </si>
  <si>
    <t>RRGB</t>
  </si>
  <si>
    <t>FIXX</t>
  </si>
  <si>
    <t>FLDM</t>
  </si>
  <si>
    <t>BE</t>
  </si>
  <si>
    <t>ASRT</t>
  </si>
  <si>
    <t>NHHS</t>
  </si>
  <si>
    <t>ITOS</t>
  </si>
  <si>
    <t>SKLZ</t>
  </si>
  <si>
    <t>WKHS</t>
  </si>
  <si>
    <t>REAL</t>
  </si>
  <si>
    <t>IKNX</t>
  </si>
  <si>
    <t>LDI</t>
  </si>
  <si>
    <t>GERN</t>
  </si>
  <si>
    <t>MPLN</t>
  </si>
  <si>
    <t>NOTV</t>
  </si>
  <si>
    <t>FATE</t>
  </si>
  <si>
    <t>APPN</t>
  </si>
  <si>
    <t>ANAB</t>
  </si>
  <si>
    <t>ATXS</t>
  </si>
  <si>
    <t>RYTM</t>
  </si>
  <si>
    <t>MCRB</t>
  </si>
  <si>
    <t>ANGO</t>
  </si>
  <si>
    <t>RDFN</t>
  </si>
  <si>
    <t>BIVI</t>
  </si>
  <si>
    <t>NNDM</t>
  </si>
  <si>
    <t>PACB</t>
  </si>
  <si>
    <t>VRM</t>
  </si>
  <si>
    <t>BALY</t>
  </si>
  <si>
    <t>MERC</t>
  </si>
  <si>
    <t>RCUS</t>
  </si>
  <si>
    <t>PLCE</t>
  </si>
  <si>
    <t>TXG</t>
  </si>
  <si>
    <t>SNH</t>
  </si>
  <si>
    <t>PEB</t>
  </si>
  <si>
    <t>WISH</t>
  </si>
  <si>
    <t>PRGO</t>
  </si>
  <si>
    <t>CRNC</t>
  </si>
  <si>
    <t>RGNX</t>
  </si>
  <si>
    <t>CPS</t>
  </si>
  <si>
    <t>CMPR</t>
  </si>
  <si>
    <t>DDD</t>
  </si>
  <si>
    <t>SWTX</t>
  </si>
  <si>
    <t>CHRS</t>
  </si>
  <si>
    <t>SPCE</t>
  </si>
  <si>
    <t>SVC</t>
  </si>
  <si>
    <t>MAC</t>
  </si>
  <si>
    <t>SPOT</t>
  </si>
  <si>
    <t>BZUN</t>
  </si>
  <si>
    <t>PCVX</t>
  </si>
  <si>
    <t>XBIT</t>
  </si>
  <si>
    <t>IONS</t>
  </si>
  <si>
    <t>U</t>
  </si>
  <si>
    <t>HBI</t>
  </si>
  <si>
    <t>EVA</t>
  </si>
  <si>
    <t>SNOW</t>
  </si>
  <si>
    <t>PBI</t>
  </si>
  <si>
    <t>SMMT</t>
  </si>
  <si>
    <t>CPHI</t>
  </si>
  <si>
    <t>LYFT</t>
  </si>
  <si>
    <t>BHC</t>
  </si>
  <si>
    <t>IEP</t>
  </si>
  <si>
    <t>CLOV</t>
  </si>
  <si>
    <t>Z</t>
  </si>
  <si>
    <t>CCO</t>
  </si>
  <si>
    <t>BB</t>
  </si>
  <si>
    <t>ACET</t>
  </si>
  <si>
    <t>BCAB</t>
  </si>
  <si>
    <t>RPD</t>
  </si>
  <si>
    <t>AKRO</t>
  </si>
  <si>
    <t>HUBS</t>
  </si>
  <si>
    <t>MIRM</t>
  </si>
  <si>
    <t>SAVA</t>
  </si>
  <si>
    <t>CMPS</t>
  </si>
  <si>
    <t>CCCC</t>
  </si>
  <si>
    <t>KURA</t>
  </si>
  <si>
    <t>NKTX</t>
  </si>
  <si>
    <t>OM</t>
  </si>
  <si>
    <t>APLT</t>
  </si>
  <si>
    <t>BRP</t>
  </si>
  <si>
    <t>ETNB</t>
  </si>
  <si>
    <t>DMTK</t>
  </si>
  <si>
    <t>AUTL</t>
  </si>
  <si>
    <t>MRNS</t>
  </si>
  <si>
    <t>CLDX</t>
  </si>
  <si>
    <t>PSNL</t>
  </si>
  <si>
    <t>PRLD</t>
  </si>
  <si>
    <t>IMNM</t>
  </si>
  <si>
    <t>NGM</t>
  </si>
  <si>
    <t>SRAC</t>
  </si>
  <si>
    <t>GDRX</t>
  </si>
  <si>
    <t>DD</t>
  </si>
  <si>
    <t>NWBO</t>
  </si>
  <si>
    <t>GPRO</t>
  </si>
  <si>
    <t>NUTX</t>
  </si>
  <si>
    <t>BMBL</t>
  </si>
  <si>
    <t>NWL</t>
  </si>
  <si>
    <t>ALK</t>
  </si>
  <si>
    <t>H</t>
  </si>
  <si>
    <t>STNE</t>
  </si>
  <si>
    <t>UAL</t>
  </si>
  <si>
    <t>BRKS</t>
  </si>
  <si>
    <t>M</t>
  </si>
  <si>
    <t>VIR</t>
  </si>
  <si>
    <t>BIG</t>
  </si>
  <si>
    <t>IVZ</t>
  </si>
  <si>
    <t>MGM</t>
  </si>
  <si>
    <t>SMG</t>
  </si>
  <si>
    <t>DAL</t>
  </si>
  <si>
    <t>AAL</t>
  </si>
  <si>
    <t>WDC</t>
  </si>
  <si>
    <t>EAF</t>
  </si>
  <si>
    <t>CG</t>
  </si>
  <si>
    <t>CAH</t>
  </si>
  <si>
    <t>NCR</t>
  </si>
  <si>
    <t>WOW</t>
  </si>
  <si>
    <t>JWN</t>
  </si>
  <si>
    <t>KSS</t>
  </si>
  <si>
    <t>ASH</t>
  </si>
  <si>
    <t>ACHC</t>
  </si>
  <si>
    <t>CC</t>
  </si>
  <si>
    <t>HST</t>
  </si>
  <si>
    <t>TROX</t>
  </si>
  <si>
    <t>MCY</t>
  </si>
  <si>
    <t>ECL</t>
  </si>
  <si>
    <t>MDB</t>
  </si>
  <si>
    <t>LPSN</t>
  </si>
  <si>
    <t>RGS</t>
  </si>
  <si>
    <t>OCUL</t>
  </si>
  <si>
    <t>DCPH</t>
  </si>
  <si>
    <t>VHC</t>
  </si>
  <si>
    <t>MX</t>
  </si>
  <si>
    <t>HYFM</t>
  </si>
  <si>
    <t>GRPN</t>
  </si>
  <si>
    <t>OMER</t>
  </si>
  <si>
    <t>ZUO</t>
  </si>
  <si>
    <t>ITCI</t>
  </si>
  <si>
    <t>DIS</t>
  </si>
  <si>
    <t>MU</t>
  </si>
  <si>
    <t>NEM</t>
  </si>
  <si>
    <t>WBD</t>
  </si>
  <si>
    <t>TCOM</t>
  </si>
  <si>
    <t>VNO</t>
  </si>
  <si>
    <t>WFRD</t>
  </si>
  <si>
    <t>IFF</t>
  </si>
  <si>
    <t>DLTR</t>
  </si>
  <si>
    <t>HAS</t>
  </si>
  <si>
    <t>MKSI</t>
  </si>
  <si>
    <t>BSX</t>
  </si>
  <si>
    <t>LVS</t>
  </si>
  <si>
    <t>XRX</t>
  </si>
  <si>
    <t>CNLPL</t>
  </si>
  <si>
    <t>ES</t>
  </si>
  <si>
    <t>MHK</t>
  </si>
  <si>
    <t>FL</t>
  </si>
  <si>
    <t>WOOF</t>
  </si>
  <si>
    <t>ILMN</t>
  </si>
  <si>
    <t>WRK</t>
  </si>
  <si>
    <t>DISH</t>
  </si>
  <si>
    <t>LUV</t>
  </si>
  <si>
    <t>W</t>
  </si>
  <si>
    <t>Moderate Allocation</t>
  </si>
  <si>
    <t>SAGE</t>
  </si>
  <si>
    <t>ALNY</t>
  </si>
  <si>
    <t>INFN</t>
  </si>
  <si>
    <t>NTNX</t>
  </si>
  <si>
    <t>RIG</t>
  </si>
  <si>
    <t>ITHUF</t>
  </si>
  <si>
    <t>SCOR</t>
  </si>
  <si>
    <t>AKBA</t>
  </si>
  <si>
    <t>NBR</t>
  </si>
  <si>
    <t>DNB</t>
  </si>
  <si>
    <t>ASPN</t>
  </si>
  <si>
    <t>MGTX</t>
  </si>
  <si>
    <t>LQDA</t>
  </si>
  <si>
    <t>NXTC</t>
  </si>
  <si>
    <t>PD</t>
  </si>
  <si>
    <t>LASR</t>
  </si>
  <si>
    <t>CKPT</t>
  </si>
  <si>
    <t>FRPT</t>
  </si>
  <si>
    <t>CLNN</t>
  </si>
  <si>
    <t>PSTX</t>
  </si>
  <si>
    <t>ALGS</t>
  </si>
  <si>
    <t>ESTA</t>
  </si>
  <si>
    <t>PDSB</t>
  </si>
  <si>
    <t>HOOK</t>
  </si>
  <si>
    <t>LUNG</t>
  </si>
  <si>
    <t>AKTS</t>
  </si>
  <si>
    <t>ELDN</t>
  </si>
  <si>
    <t>MAX</t>
  </si>
  <si>
    <t>FCEL</t>
  </si>
  <si>
    <t>BIGC</t>
  </si>
  <si>
    <t>FBRX</t>
  </si>
  <si>
    <t>OTLK</t>
  </si>
  <si>
    <t>AMTX</t>
  </si>
  <si>
    <t>ISSM</t>
  </si>
  <si>
    <t>AVTX</t>
  </si>
  <si>
    <t>LFMDP</t>
  </si>
  <si>
    <t>DRTT</t>
  </si>
  <si>
    <t>EDIT</t>
  </si>
  <si>
    <t>EYPT</t>
  </si>
  <si>
    <t>NEXI</t>
  </si>
  <si>
    <t>CBAY</t>
  </si>
  <si>
    <t>ADOM</t>
  </si>
  <si>
    <t>FARM</t>
  </si>
  <si>
    <t>OCX</t>
  </si>
  <si>
    <t>CMPX</t>
  </si>
  <si>
    <t>ENV</t>
  </si>
  <si>
    <t>OPRT</t>
  </si>
  <si>
    <t>MODV</t>
  </si>
  <si>
    <t>ENTA</t>
  </si>
  <si>
    <t>TNDM</t>
  </si>
  <si>
    <t>VRDN</t>
  </si>
  <si>
    <t>SFIX</t>
  </si>
  <si>
    <t>SELB</t>
  </si>
  <si>
    <t>XENE</t>
  </si>
  <si>
    <t>CGEM</t>
  </si>
  <si>
    <t>CONN</t>
  </si>
  <si>
    <t>MGNI</t>
  </si>
  <si>
    <t>GWRE</t>
  </si>
  <si>
    <t>TARS</t>
  </si>
  <si>
    <t>OFIX</t>
  </si>
  <si>
    <t>SRRK</t>
  </si>
  <si>
    <t>GKOS</t>
  </si>
  <si>
    <t>SNDX</t>
  </si>
  <si>
    <t>CUTR</t>
  </si>
  <si>
    <t>UPLD</t>
  </si>
  <si>
    <t>ARWR</t>
  </si>
  <si>
    <t>LXRX</t>
  </si>
  <si>
    <t>KALV</t>
  </si>
  <si>
    <t>SEER</t>
  </si>
  <si>
    <t>RAPT</t>
  </si>
  <si>
    <t>KZR</t>
  </si>
  <si>
    <t>ALT</t>
  </si>
  <si>
    <t>GBIO</t>
  </si>
  <si>
    <t>IDYA</t>
  </si>
  <si>
    <t>CDXS</t>
  </si>
  <si>
    <t>AMHCU</t>
  </si>
  <si>
    <t>OCGN</t>
  </si>
  <si>
    <t>FREQ</t>
  </si>
  <si>
    <t>IMUX</t>
  </si>
  <si>
    <t>HCAT</t>
  </si>
  <si>
    <t>ANVS</t>
  </si>
  <si>
    <t>SCWX</t>
  </si>
  <si>
    <t>ADVM</t>
  </si>
  <si>
    <t>INZY</t>
  </si>
  <si>
    <t>AHR</t>
  </si>
  <si>
    <t>FROG</t>
  </si>
  <si>
    <t>MVIS</t>
  </si>
  <si>
    <t>RVPH</t>
  </si>
  <si>
    <t>PHUN</t>
  </si>
  <si>
    <t>ARPO</t>
  </si>
  <si>
    <t>NRDY</t>
  </si>
  <si>
    <t>BOLT</t>
  </si>
  <si>
    <t>GRTS</t>
  </si>
  <si>
    <t>BDTX</t>
  </si>
  <si>
    <t>IMRA</t>
  </si>
  <si>
    <t>EVER</t>
  </si>
  <si>
    <t>CABA</t>
  </si>
  <si>
    <t>FHTX</t>
  </si>
  <si>
    <t>PMVP</t>
  </si>
  <si>
    <t>BLDE</t>
  </si>
  <si>
    <t>LYRA</t>
  </si>
  <si>
    <t>LPTX</t>
  </si>
  <si>
    <t>PAVM</t>
  </si>
  <si>
    <t>FDMT</t>
  </si>
  <si>
    <t>ARMP</t>
  </si>
  <si>
    <t>AVDL</t>
  </si>
  <si>
    <t>MYGN</t>
  </si>
  <si>
    <t>AVIR</t>
  </si>
  <si>
    <t>INGN</t>
  </si>
  <si>
    <t>SRG</t>
  </si>
  <si>
    <t>RPAY</t>
  </si>
  <si>
    <t>EHTH</t>
  </si>
  <si>
    <t>PRPL</t>
  </si>
  <si>
    <t>FOSL</t>
  </si>
  <si>
    <t>FUSN</t>
  </si>
  <si>
    <t>ORIC</t>
  </si>
  <si>
    <t>IRTC</t>
  </si>
  <si>
    <t>FIVN</t>
  </si>
  <si>
    <t>ATRO</t>
  </si>
  <si>
    <t>NEO</t>
  </si>
  <si>
    <t>VERU</t>
  </si>
  <si>
    <t>JAZZ</t>
  </si>
  <si>
    <t>FUN</t>
  </si>
  <si>
    <t>GTE</t>
  </si>
  <si>
    <t>CCK</t>
  </si>
  <si>
    <t>AES</t>
  </si>
  <si>
    <t>SWI</t>
  </si>
  <si>
    <t>MGNX</t>
  </si>
  <si>
    <t>NKTR</t>
  </si>
  <si>
    <t>EOLS</t>
  </si>
  <si>
    <t>ACOR</t>
  </si>
  <si>
    <t>PROG</t>
  </si>
  <si>
    <t>CSU</t>
  </si>
  <si>
    <t>HRTX</t>
  </si>
  <si>
    <t>EB</t>
  </si>
  <si>
    <t>PHAT</t>
  </si>
  <si>
    <t>CCLP</t>
  </si>
  <si>
    <t>GOSS</t>
  </si>
  <si>
    <t>APRE</t>
  </si>
  <si>
    <t>ATRA</t>
  </si>
  <si>
    <t>KA</t>
  </si>
  <si>
    <t>QTWO</t>
  </si>
  <si>
    <t>EQ</t>
  </si>
  <si>
    <t>AUPH</t>
  </si>
  <si>
    <t>QTRX</t>
  </si>
  <si>
    <t>ARDX</t>
  </si>
  <si>
    <t>CRVS</t>
  </si>
  <si>
    <t>ABEO</t>
  </si>
  <si>
    <t>ADAP</t>
  </si>
  <si>
    <t>CRBP</t>
  </si>
  <si>
    <t>GIFI</t>
  </si>
  <si>
    <t>SESN</t>
  </si>
  <si>
    <t>ICD</t>
  </si>
  <si>
    <t>QRTEA</t>
  </si>
  <si>
    <t>TEVA</t>
  </si>
  <si>
    <t>AA</t>
  </si>
  <si>
    <t>MSTR</t>
  </si>
  <si>
    <t>PANW</t>
  </si>
  <si>
    <t>HP</t>
  </si>
  <si>
    <t>NLY</t>
  </si>
  <si>
    <t>AR</t>
  </si>
  <si>
    <t>CVNA</t>
  </si>
  <si>
    <t>CZR</t>
  </si>
  <si>
    <t>PLTR</t>
  </si>
  <si>
    <t>ADNT</t>
  </si>
  <si>
    <t>PTEN</t>
  </si>
  <si>
    <t>ETRN</t>
  </si>
  <si>
    <t>CKX</t>
  </si>
  <si>
    <t>ADT</t>
  </si>
  <si>
    <t>PINS</t>
  </si>
  <si>
    <t>CNX</t>
  </si>
  <si>
    <t>BKR</t>
  </si>
  <si>
    <t>FLR</t>
  </si>
  <si>
    <t>AESE</t>
  </si>
  <si>
    <t>PCG</t>
  </si>
  <si>
    <t>UBER</t>
  </si>
  <si>
    <t>CREG</t>
  </si>
  <si>
    <t>CCH</t>
  </si>
  <si>
    <t>ABNB</t>
  </si>
  <si>
    <t>PZG</t>
  </si>
  <si>
    <t>COTY</t>
  </si>
  <si>
    <t>GPOR</t>
  </si>
  <si>
    <t>UNIT</t>
  </si>
  <si>
    <t>FTI</t>
  </si>
  <si>
    <t>BHR</t>
  </si>
  <si>
    <t>AAMC</t>
  </si>
  <si>
    <t>GAN</t>
  </si>
  <si>
    <t>CDAY</t>
  </si>
  <si>
    <t>IMAX</t>
  </si>
  <si>
    <t>NLS</t>
  </si>
  <si>
    <t>TELL</t>
  </si>
  <si>
    <t>SMAR</t>
  </si>
  <si>
    <t>MAPS</t>
  </si>
  <si>
    <t>CARA</t>
  </si>
  <si>
    <t>EIGR</t>
  </si>
  <si>
    <t>CLBS</t>
  </si>
  <si>
    <t>ZNOG</t>
  </si>
  <si>
    <t>PTGX</t>
  </si>
  <si>
    <t>NNBR</t>
  </si>
  <si>
    <t>QNCX</t>
  </si>
  <si>
    <t>ANGN</t>
  </si>
  <si>
    <t>EVBG</t>
  </si>
  <si>
    <t>FLNT</t>
  </si>
  <si>
    <t>LIND</t>
  </si>
  <si>
    <t>PRTA</t>
  </si>
  <si>
    <t>BW</t>
  </si>
  <si>
    <t>HLX</t>
  </si>
  <si>
    <t>DHRM</t>
  </si>
  <si>
    <t>GSAT</t>
  </si>
  <si>
    <t>XL</t>
  </si>
  <si>
    <t>MXL</t>
  </si>
  <si>
    <t>GLT</t>
  </si>
  <si>
    <t>ANGI</t>
  </si>
  <si>
    <t>TWOU</t>
  </si>
  <si>
    <t>RYAM</t>
  </si>
  <si>
    <t>CRS</t>
  </si>
  <si>
    <t>LITE</t>
  </si>
  <si>
    <t>MRVI</t>
  </si>
  <si>
    <t>ALGT</t>
  </si>
  <si>
    <t>CBRL</t>
  </si>
  <si>
    <t>TRIP</t>
  </si>
  <si>
    <t>PTVE</t>
  </si>
  <si>
    <t>PDM</t>
  </si>
  <si>
    <t>HTA</t>
  </si>
  <si>
    <t>CTLT</t>
  </si>
  <si>
    <t>STAR</t>
  </si>
  <si>
    <t>IRBT</t>
  </si>
  <si>
    <t>KAR</t>
  </si>
  <si>
    <t>IIVI</t>
  </si>
  <si>
    <t>LEG</t>
  </si>
  <si>
    <t>WRE</t>
  </si>
  <si>
    <t>DEI</t>
  </si>
  <si>
    <t>MTZ</t>
  </si>
  <si>
    <t>VTR</t>
  </si>
  <si>
    <t>EQC</t>
  </si>
  <si>
    <t>KBR</t>
  </si>
  <si>
    <t>TCNNF</t>
  </si>
  <si>
    <t>KW</t>
  </si>
  <si>
    <t>OUT</t>
  </si>
  <si>
    <t>FLGT</t>
  </si>
  <si>
    <t>LEVI</t>
  </si>
  <si>
    <t>ILPT</t>
  </si>
  <si>
    <t>MC</t>
  </si>
  <si>
    <t>BURL</t>
  </si>
  <si>
    <t>ABCL</t>
  </si>
  <si>
    <t>SLQT</t>
  </si>
  <si>
    <t>WWW</t>
  </si>
  <si>
    <t>DAN</t>
  </si>
  <si>
    <t>RILY</t>
  </si>
  <si>
    <t>KAMN</t>
  </si>
  <si>
    <t>WW</t>
  </si>
  <si>
    <t>UPST</t>
  </si>
  <si>
    <t>OPI</t>
  </si>
  <si>
    <t>ANIK</t>
  </si>
  <si>
    <t>VOR</t>
  </si>
  <si>
    <t>WK</t>
  </si>
  <si>
    <t>BBGI</t>
  </si>
  <si>
    <t>TNXP</t>
  </si>
  <si>
    <t>MTRX</t>
  </si>
  <si>
    <t>TWST</t>
  </si>
  <si>
    <t>SYRS</t>
  </si>
  <si>
    <t>DCTH</t>
  </si>
  <si>
    <t>DTSS</t>
  </si>
  <si>
    <t>MCHX</t>
  </si>
  <si>
    <t>IPWR</t>
  </si>
  <si>
    <t>AEYE</t>
  </si>
  <si>
    <t>GLSI</t>
  </si>
  <si>
    <t>SILK</t>
  </si>
  <si>
    <t>MTNB</t>
  </si>
  <si>
    <t>DARE</t>
  </si>
  <si>
    <t>CUE</t>
  </si>
  <si>
    <t>MEIP</t>
  </si>
  <si>
    <t>PRSO</t>
  </si>
  <si>
    <t>ENG</t>
  </si>
  <si>
    <t>LRMR</t>
  </si>
  <si>
    <t>DMRC</t>
  </si>
  <si>
    <t>LTRN</t>
  </si>
  <si>
    <t>ACHV</t>
  </si>
  <si>
    <t>AQB</t>
  </si>
  <si>
    <t>PXLW</t>
  </si>
  <si>
    <t>RLMD</t>
  </si>
  <si>
    <t>CTXR</t>
  </si>
  <si>
    <t>MODN</t>
  </si>
  <si>
    <t>SINO</t>
  </si>
  <si>
    <t>CLPT</t>
  </si>
  <si>
    <t>CRIS</t>
  </si>
  <si>
    <t>INTV</t>
  </si>
  <si>
    <t>NVNO</t>
  </si>
  <si>
    <t>MBRX</t>
  </si>
  <si>
    <t>CYCC</t>
  </si>
  <si>
    <t>CAPR</t>
  </si>
  <si>
    <t>OPTT</t>
  </si>
  <si>
    <t>ALIM</t>
  </si>
  <si>
    <t>CTSO</t>
  </si>
  <si>
    <t>LCTX</t>
  </si>
  <si>
    <t>RGLS</t>
  </si>
  <si>
    <t>ATOS</t>
  </si>
  <si>
    <t>BEEM</t>
  </si>
  <si>
    <t>GRMM</t>
  </si>
  <si>
    <t>DRRX</t>
  </si>
  <si>
    <t>MRIN</t>
  </si>
  <si>
    <t>LTRX</t>
  </si>
  <si>
    <t>KNWN</t>
  </si>
  <si>
    <t>MEG</t>
  </si>
  <si>
    <t>MIST</t>
  </si>
  <si>
    <t>DMAC</t>
  </si>
  <si>
    <t>RWLK</t>
  </si>
  <si>
    <t>GRTX</t>
  </si>
  <si>
    <t>ATOM</t>
  </si>
  <si>
    <t>KULR</t>
  </si>
  <si>
    <t>MASS</t>
  </si>
  <si>
    <t>PI</t>
  </si>
  <si>
    <t>INMB</t>
  </si>
  <si>
    <t>OPGN</t>
  </si>
  <si>
    <t>KRBP</t>
  </si>
  <si>
    <t>AVMR</t>
  </si>
  <si>
    <t>FULC</t>
  </si>
  <si>
    <t>LGVN</t>
  </si>
  <si>
    <t>BDSX</t>
  </si>
  <si>
    <t>SCPH</t>
  </si>
  <si>
    <t>APTO</t>
  </si>
  <si>
    <t>ATNM</t>
  </si>
  <si>
    <t>CLRB</t>
  </si>
  <si>
    <t>CRDF</t>
  </si>
  <si>
    <t>LUMO</t>
  </si>
  <si>
    <t>GALT</t>
  </si>
  <si>
    <t>LIFE</t>
  </si>
  <si>
    <t>LPTV</t>
  </si>
  <si>
    <t>CRMD</t>
  </si>
  <si>
    <t>CVM</t>
  </si>
  <si>
    <t>SBTX</t>
  </si>
  <si>
    <t>BOXL</t>
  </si>
  <si>
    <t>SRPT</t>
  </si>
  <si>
    <t>SMLP</t>
  </si>
  <si>
    <t>DVAX</t>
  </si>
  <si>
    <t>TEAM</t>
  </si>
  <si>
    <t>KNSA</t>
  </si>
  <si>
    <t>LIVN</t>
  </si>
  <si>
    <t>PEGA</t>
  </si>
  <si>
    <t>NINE</t>
  </si>
  <si>
    <t>FGP</t>
  </si>
  <si>
    <t>TGTX</t>
  </si>
  <si>
    <t>FOLD</t>
  </si>
  <si>
    <t>ATGE</t>
  </si>
  <si>
    <t>CHGG</t>
  </si>
  <si>
    <t>CMRX</t>
  </si>
  <si>
    <t>FTAI</t>
  </si>
  <si>
    <t>HAIN</t>
  </si>
  <si>
    <t>SHC</t>
  </si>
  <si>
    <t>SENS</t>
  </si>
  <si>
    <t>PLYA</t>
  </si>
  <si>
    <t>DNLI</t>
  </si>
  <si>
    <t>GNK</t>
  </si>
  <si>
    <t>XPRO</t>
  </si>
  <si>
    <t>EEX</t>
  </si>
  <si>
    <t>WOLF</t>
  </si>
  <si>
    <t>HOUS</t>
  </si>
  <si>
    <t>RLGY</t>
  </si>
  <si>
    <t>BKD</t>
  </si>
  <si>
    <t>OPK</t>
  </si>
  <si>
    <t>CYCN</t>
  </si>
  <si>
    <t>ASXC</t>
  </si>
  <si>
    <t>AXNX</t>
  </si>
  <si>
    <t>OPTN</t>
  </si>
  <si>
    <t>ACRS</t>
  </si>
  <si>
    <t>GTHX</t>
  </si>
  <si>
    <t>ABUS</t>
  </si>
  <si>
    <t>ELOX</t>
  </si>
  <si>
    <t>RIGL</t>
  </si>
  <si>
    <t>ASMB</t>
  </si>
  <si>
    <t>DOMO</t>
  </si>
  <si>
    <t>HIMS</t>
  </si>
  <si>
    <t>KPTI</t>
  </si>
  <si>
    <t>KALA</t>
  </si>
  <si>
    <t>RAIL</t>
  </si>
  <si>
    <t>AQST</t>
  </si>
  <si>
    <t>GPRE</t>
  </si>
  <si>
    <t>ARLO</t>
  </si>
  <si>
    <t>MNKD</t>
  </si>
  <si>
    <t>NLTX</t>
  </si>
  <si>
    <t>DTIL</t>
  </si>
  <si>
    <t>NCSM</t>
  </si>
  <si>
    <t>BATL</t>
  </si>
  <si>
    <t>NVRO</t>
  </si>
  <si>
    <t>HL</t>
  </si>
  <si>
    <t>CWK</t>
  </si>
  <si>
    <t>AAN</t>
  </si>
  <si>
    <t>CAKE</t>
  </si>
  <si>
    <t>HFFG</t>
  </si>
  <si>
    <t>SONO</t>
  </si>
  <si>
    <t>VVI</t>
  </si>
  <si>
    <t>ARCT</t>
  </si>
  <si>
    <t>VATE</t>
  </si>
  <si>
    <t>OVID</t>
  </si>
  <si>
    <t>CRSR</t>
  </si>
  <si>
    <t>IPI</t>
  </si>
  <si>
    <t>RLJ</t>
  </si>
  <si>
    <t>DBI</t>
  </si>
  <si>
    <t>SIRI</t>
  </si>
  <si>
    <t>TEL</t>
  </si>
  <si>
    <t>ZBH</t>
  </si>
  <si>
    <t>TROW</t>
  </si>
  <si>
    <t>PAGP</t>
  </si>
  <si>
    <t>QVC</t>
  </si>
  <si>
    <t>TRU</t>
  </si>
  <si>
    <t>PPL</t>
  </si>
  <si>
    <t>PAA</t>
  </si>
  <si>
    <t>WELL</t>
  </si>
  <si>
    <t>NSC</t>
  </si>
  <si>
    <t>SJM</t>
  </si>
  <si>
    <t>WHR</t>
  </si>
  <si>
    <t>ROP</t>
  </si>
  <si>
    <t>SQ</t>
  </si>
  <si>
    <t>NOC</t>
  </si>
  <si>
    <t>UGI</t>
  </si>
  <si>
    <t>ORCL</t>
  </si>
  <si>
    <t>TSN</t>
  </si>
  <si>
    <t>RTX</t>
  </si>
  <si>
    <t>STX</t>
  </si>
  <si>
    <t>MDT</t>
  </si>
  <si>
    <t>SMTC</t>
  </si>
  <si>
    <t>RPRX</t>
  </si>
  <si>
    <t>SWK</t>
  </si>
  <si>
    <t>NRG</t>
  </si>
  <si>
    <t>WBA</t>
  </si>
  <si>
    <t>VZ</t>
  </si>
  <si>
    <t>PFE</t>
  </si>
  <si>
    <t>MRK</t>
  </si>
  <si>
    <t>BGS</t>
  </si>
  <si>
    <t>LE</t>
  </si>
  <si>
    <t>JW-A</t>
  </si>
  <si>
    <t>TG</t>
  </si>
  <si>
    <t>XNCR</t>
  </si>
  <si>
    <t>TREE</t>
  </si>
  <si>
    <t>QNST</t>
  </si>
  <si>
    <t>AMED</t>
  </si>
  <si>
    <t>ACCO</t>
  </si>
  <si>
    <t>KRO</t>
  </si>
  <si>
    <t>ICUI</t>
  </si>
  <si>
    <t>NTGR</t>
  </si>
  <si>
    <t>SGH</t>
  </si>
  <si>
    <t>AVAV</t>
  </si>
  <si>
    <t>PQG</t>
  </si>
  <si>
    <t>CMLS</t>
  </si>
  <si>
    <t>MESA</t>
  </si>
  <si>
    <t>MLKN</t>
  </si>
  <si>
    <t>CXW</t>
  </si>
  <si>
    <t>KMT</t>
  </si>
  <si>
    <t>MMI</t>
  </si>
  <si>
    <t>LL</t>
  </si>
  <si>
    <t>DENN</t>
  </si>
  <si>
    <t>HUYA</t>
  </si>
  <si>
    <t>EYE</t>
  </si>
  <si>
    <t>SCHN</t>
  </si>
  <si>
    <t>FLWS</t>
  </si>
  <si>
    <t>GCO</t>
  </si>
  <si>
    <t>TBI</t>
  </si>
  <si>
    <t>STOK</t>
  </si>
  <si>
    <t>SITM</t>
  </si>
  <si>
    <t>SFE</t>
  </si>
  <si>
    <t>SRI</t>
  </si>
  <si>
    <t>VXRT</t>
  </si>
  <si>
    <t>CSTL</t>
  </si>
  <si>
    <t>PTN</t>
  </si>
  <si>
    <t>XFOR</t>
  </si>
  <si>
    <t>VKTX</t>
  </si>
  <si>
    <t>VCYT</t>
  </si>
  <si>
    <t>CMTL</t>
  </si>
  <si>
    <t>KVHI</t>
  </si>
  <si>
    <t>STRO</t>
  </si>
  <si>
    <t>NLST</t>
  </si>
  <si>
    <t>ADES</t>
  </si>
  <si>
    <t>MTBC</t>
  </si>
  <si>
    <t>TRUP</t>
  </si>
  <si>
    <t>VRCA</t>
  </si>
  <si>
    <t>ASUR</t>
  </si>
  <si>
    <t>CBIO</t>
  </si>
  <si>
    <t>CERT</t>
  </si>
  <si>
    <t>VERX</t>
  </si>
  <si>
    <t>POAI</t>
  </si>
  <si>
    <t>PULM</t>
  </si>
  <si>
    <t>LQMT</t>
  </si>
  <si>
    <t>REPH</t>
  </si>
  <si>
    <t>AKTX</t>
  </si>
  <si>
    <t>PRPO</t>
  </si>
  <si>
    <t>AMPE</t>
  </si>
  <si>
    <t>MNOV</t>
  </si>
  <si>
    <t>ONTX</t>
  </si>
  <si>
    <t>ACAN</t>
  </si>
  <si>
    <t>BCLI</t>
  </si>
  <si>
    <t>PLSE</t>
  </si>
  <si>
    <t>AVGR</t>
  </si>
  <si>
    <t>ANIX</t>
  </si>
  <si>
    <t>APYX</t>
  </si>
  <si>
    <t>ADIL</t>
  </si>
  <si>
    <t>GRAY</t>
  </si>
  <si>
    <t>LTBR</t>
  </si>
  <si>
    <t>MYO</t>
  </si>
  <si>
    <t>CLIR</t>
  </si>
  <si>
    <t>BRFH</t>
  </si>
  <si>
    <t>NEPH</t>
  </si>
  <si>
    <t>HBIO</t>
  </si>
  <si>
    <t>IIIV</t>
  </si>
  <si>
    <t>ZIVO</t>
  </si>
  <si>
    <t>AWRE</t>
  </si>
  <si>
    <t>IGXT</t>
  </si>
  <si>
    <t>DYAI</t>
  </si>
  <si>
    <t>HSDT</t>
  </si>
  <si>
    <t>PIRS</t>
  </si>
  <si>
    <t>LEDS</t>
  </si>
  <si>
    <t>LNSR</t>
  </si>
  <si>
    <t>EYEN</t>
  </si>
  <si>
    <t>AUMN</t>
  </si>
  <si>
    <t>EKSO</t>
  </si>
  <si>
    <t>BYRN</t>
  </si>
  <si>
    <t>CURI</t>
  </si>
  <si>
    <t>ATNI</t>
  </si>
  <si>
    <t>BMRA</t>
  </si>
  <si>
    <t>MNPR</t>
  </si>
  <si>
    <t>LPCN</t>
  </si>
  <si>
    <t>SINT</t>
  </si>
  <si>
    <t>RNLX</t>
  </si>
  <si>
    <t>FENC</t>
  </si>
  <si>
    <t>SIBN</t>
  </si>
  <si>
    <t>LRDC</t>
  </si>
  <si>
    <t>NURO</t>
  </si>
  <si>
    <t>AGE</t>
  </si>
  <si>
    <t>XSPA</t>
  </si>
  <si>
    <t>MBIO</t>
  </si>
  <si>
    <t>ONCT</t>
  </si>
  <si>
    <t>ABML</t>
  </si>
  <si>
    <t>ICCC</t>
  </si>
  <si>
    <t>RDI</t>
  </si>
  <si>
    <t>OTRK</t>
  </si>
  <si>
    <t>JAGX</t>
  </si>
  <si>
    <t>AERG</t>
  </si>
  <si>
    <t>CDZI</t>
  </si>
  <si>
    <t>MFON</t>
  </si>
  <si>
    <t>YTEN</t>
  </si>
  <si>
    <t>PSTV</t>
  </si>
  <si>
    <t>JSDA</t>
  </si>
  <si>
    <t>FWAV</t>
  </si>
  <si>
    <t>AVPT</t>
  </si>
  <si>
    <t>ASTC</t>
  </si>
  <si>
    <t>NXTD</t>
  </si>
  <si>
    <t>APHE</t>
  </si>
  <si>
    <t>IRIX</t>
  </si>
  <si>
    <t>FCUV</t>
  </si>
  <si>
    <t>PPSI</t>
  </si>
  <si>
    <t>BRST</t>
  </si>
  <si>
    <t>ZUUS</t>
  </si>
  <si>
    <t>BSTG</t>
  </si>
  <si>
    <t>IPDN</t>
  </si>
  <si>
    <t>NNVC</t>
  </si>
  <si>
    <t>RBTK</t>
  </si>
  <si>
    <t>LTUM</t>
  </si>
  <si>
    <t>HUSA</t>
  </si>
  <si>
    <t>NBY</t>
  </si>
  <si>
    <t>HYBT</t>
  </si>
  <si>
    <t>AUGX</t>
  </si>
  <si>
    <t>VAPO</t>
  </si>
  <si>
    <t>MDIA</t>
  </si>
  <si>
    <t>SHWZ</t>
  </si>
  <si>
    <t>SPT</t>
  </si>
  <si>
    <t>DXYN</t>
  </si>
  <si>
    <t>VRNS</t>
  </si>
  <si>
    <t>KPLT</t>
  </si>
  <si>
    <t>CNTY</t>
  </si>
  <si>
    <t>AVNS</t>
  </si>
  <si>
    <t>VOXX</t>
  </si>
  <si>
    <t>TERN</t>
  </si>
  <si>
    <t>VIRX</t>
  </si>
  <si>
    <t>BAND</t>
  </si>
  <si>
    <t>AP</t>
  </si>
  <si>
    <t>EMKR</t>
  </si>
  <si>
    <t>CULP</t>
  </si>
  <si>
    <t>UAVS</t>
  </si>
  <si>
    <t>OSPN</t>
  </si>
  <si>
    <t>ONTF</t>
  </si>
  <si>
    <t>AMRN</t>
  </si>
  <si>
    <t>SMSI</t>
  </si>
  <si>
    <t>GURE</t>
  </si>
  <si>
    <t>TARA</t>
  </si>
  <si>
    <t>PKOH</t>
  </si>
  <si>
    <t>TLS</t>
  </si>
  <si>
    <t>CODX</t>
  </si>
  <si>
    <t>ALRN</t>
  </si>
  <si>
    <t>RKDA</t>
  </si>
  <si>
    <t>INSP</t>
  </si>
  <si>
    <t>ZOM</t>
  </si>
  <si>
    <t>ONCYF</t>
  </si>
  <si>
    <t>AAOI</t>
  </si>
  <si>
    <t>MACK</t>
  </si>
  <si>
    <t>QUIK</t>
  </si>
  <si>
    <t>GLYC</t>
  </si>
  <si>
    <t>PFMT</t>
  </si>
  <si>
    <t>KLDI</t>
  </si>
  <si>
    <t>OOMA</t>
  </si>
  <si>
    <t>ALPN</t>
  </si>
  <si>
    <t>PRO</t>
  </si>
  <si>
    <t>EYES</t>
  </si>
  <si>
    <t>KOPN</t>
  </si>
  <si>
    <t>HTIBP</t>
  </si>
  <si>
    <t>AXGN</t>
  </si>
  <si>
    <t>VTRS</t>
  </si>
  <si>
    <t>AXDX</t>
  </si>
  <si>
    <t>PRTS</t>
  </si>
  <si>
    <t>GRIL</t>
  </si>
  <si>
    <t>AQMS</t>
  </si>
  <si>
    <t>GPS</t>
  </si>
  <si>
    <t>CRK</t>
  </si>
  <si>
    <t>CNP</t>
  </si>
  <si>
    <t>CLF</t>
  </si>
  <si>
    <t>CDE</t>
  </si>
  <si>
    <t>CRWD</t>
  </si>
  <si>
    <t>PGEN</t>
  </si>
  <si>
    <t>ARMK</t>
  </si>
  <si>
    <t>BMRN</t>
  </si>
  <si>
    <t>INCY</t>
  </si>
  <si>
    <t>AIRC</t>
  </si>
  <si>
    <t>ATI</t>
  </si>
  <si>
    <t>TALO</t>
  </si>
  <si>
    <t>AMPY</t>
  </si>
  <si>
    <t>RMBS</t>
  </si>
  <si>
    <t>XELA</t>
  </si>
  <si>
    <t>SRCL</t>
  </si>
  <si>
    <t>DOCU</t>
  </si>
  <si>
    <t>CHWY</t>
  </si>
  <si>
    <t>DBVT</t>
  </si>
  <si>
    <t>KOS</t>
  </si>
  <si>
    <t>PSTG</t>
  </si>
  <si>
    <t>OIS</t>
  </si>
  <si>
    <t>NOVA</t>
  </si>
  <si>
    <t>NCMI</t>
  </si>
  <si>
    <t>ALKS</t>
  </si>
  <si>
    <t>MSGE</t>
  </si>
  <si>
    <t>SLCA</t>
  </si>
  <si>
    <t>GME</t>
  </si>
  <si>
    <t>OII</t>
  </si>
  <si>
    <t>AXL</t>
  </si>
  <si>
    <t>AMRX</t>
  </si>
  <si>
    <t>FET</t>
  </si>
  <si>
    <t>CFX</t>
  </si>
  <si>
    <t>WVE</t>
  </si>
  <si>
    <t>FOUR</t>
  </si>
  <si>
    <t>PWP</t>
  </si>
  <si>
    <t>ASC</t>
  </si>
  <si>
    <t>JILL</t>
  </si>
  <si>
    <t>IRDM</t>
  </si>
  <si>
    <t>QUAD</t>
  </si>
  <si>
    <t>RPTX</t>
  </si>
  <si>
    <t>ADMA</t>
  </si>
  <si>
    <t>SCYX</t>
  </si>
  <si>
    <t>MUX</t>
  </si>
  <si>
    <t>AVRO</t>
  </si>
  <si>
    <t>BL</t>
  </si>
  <si>
    <t>JAKK</t>
  </si>
  <si>
    <t>MATW</t>
  </si>
  <si>
    <t>TUSK</t>
  </si>
  <si>
    <t>SMHI</t>
  </si>
  <si>
    <t>CTOS</t>
  </si>
  <si>
    <t>RBBN</t>
  </si>
  <si>
    <t>UPWK</t>
  </si>
  <si>
    <t>ALTO</t>
  </si>
  <si>
    <t>FTK</t>
  </si>
  <si>
    <t>ITRI</t>
  </si>
  <si>
    <t>KRG</t>
  </si>
  <si>
    <t>KN</t>
  </si>
  <si>
    <t>ELY</t>
  </si>
  <si>
    <t>GEL</t>
  </si>
  <si>
    <t>KRYS</t>
  </si>
  <si>
    <t>AOSL</t>
  </si>
  <si>
    <t>WMT</t>
  </si>
  <si>
    <t>NWS</t>
  </si>
  <si>
    <t>AEO</t>
  </si>
  <si>
    <t>SLAB</t>
  </si>
  <si>
    <t>FSP</t>
  </si>
  <si>
    <t>CMBM</t>
  </si>
  <si>
    <t>APEI</t>
  </si>
  <si>
    <t>SBRA</t>
  </si>
  <si>
    <t>IRT</t>
  </si>
  <si>
    <t>GRWG</t>
  </si>
  <si>
    <t>LPRO</t>
  </si>
  <si>
    <t>ICHR</t>
  </si>
  <si>
    <t>PUMP</t>
  </si>
  <si>
    <t>TNL</t>
  </si>
  <si>
    <t>OHI</t>
  </si>
  <si>
    <t>PPC</t>
  </si>
  <si>
    <t>UHS</t>
  </si>
  <si>
    <t>SIX</t>
  </si>
  <si>
    <t>ST</t>
  </si>
  <si>
    <t>XPO</t>
  </si>
  <si>
    <t>STOR</t>
  </si>
  <si>
    <t>ZBRA</t>
  </si>
  <si>
    <t>NVST</t>
  </si>
  <si>
    <t>SKYW</t>
  </si>
  <si>
    <t>RRX</t>
  </si>
  <si>
    <t>THRY</t>
  </si>
  <si>
    <t>WU</t>
  </si>
  <si>
    <t>SUI</t>
  </si>
  <si>
    <t>SELF</t>
  </si>
  <si>
    <t>TDS</t>
  </si>
  <si>
    <t>SPFX</t>
  </si>
  <si>
    <t>MARK</t>
  </si>
  <si>
    <t>NARI</t>
  </si>
  <si>
    <t>CXDO</t>
  </si>
  <si>
    <t>SLGG</t>
  </si>
  <si>
    <t>SHAK</t>
  </si>
  <si>
    <t>EVC</t>
  </si>
  <si>
    <t>ATRC</t>
  </si>
  <si>
    <t>FARO</t>
  </si>
  <si>
    <t>APPF</t>
  </si>
  <si>
    <t>VFF</t>
  </si>
  <si>
    <t>XHR</t>
  </si>
  <si>
    <t>UCTT</t>
  </si>
  <si>
    <t>MG</t>
  </si>
  <si>
    <t>STRS</t>
  </si>
  <si>
    <t>MTW</t>
  </si>
  <si>
    <t>PDFS</t>
  </si>
  <si>
    <t>ANIP</t>
  </si>
  <si>
    <t>TROO</t>
  </si>
  <si>
    <t>NR</t>
  </si>
  <si>
    <t>PETQ</t>
  </si>
  <si>
    <t>AGS</t>
  </si>
  <si>
    <t>LODE</t>
  </si>
  <si>
    <t>ECOR</t>
  </si>
  <si>
    <t>CDXC</t>
  </si>
  <si>
    <t>ALDX</t>
  </si>
  <si>
    <t>GDNSF</t>
  </si>
  <si>
    <t>CERS</t>
  </si>
  <si>
    <t>KIRK</t>
  </si>
  <si>
    <t>SANW</t>
  </si>
  <si>
    <t>HHS</t>
  </si>
  <si>
    <t>TENB</t>
  </si>
  <si>
    <t>ARCH</t>
  </si>
  <si>
    <t>EXPE</t>
  </si>
  <si>
    <t>ETSY</t>
  </si>
  <si>
    <t>APY</t>
  </si>
  <si>
    <t>CPA</t>
  </si>
  <si>
    <t>DRI</t>
  </si>
  <si>
    <t>OI</t>
  </si>
  <si>
    <t>HLT</t>
  </si>
  <si>
    <t>MGY</t>
  </si>
  <si>
    <t>MAT</t>
  </si>
  <si>
    <t>T</t>
  </si>
  <si>
    <t>ET</t>
  </si>
  <si>
    <t>LYV</t>
  </si>
  <si>
    <t>LBRT</t>
  </si>
  <si>
    <t>DBX</t>
  </si>
  <si>
    <t>OLN</t>
  </si>
  <si>
    <t>BYD</t>
  </si>
  <si>
    <t>CARS</t>
  </si>
  <si>
    <t>CYH</t>
  </si>
  <si>
    <t>VST</t>
  </si>
  <si>
    <t>DDS</t>
  </si>
  <si>
    <t>AVT</t>
  </si>
  <si>
    <t>CRC</t>
  </si>
  <si>
    <t>WYNN</t>
  </si>
  <si>
    <t>TAP</t>
  </si>
  <si>
    <t>HTZ</t>
  </si>
  <si>
    <t>HOLX</t>
  </si>
  <si>
    <t>GPC</t>
  </si>
  <si>
    <t>PARR</t>
  </si>
  <si>
    <t>LSXMA</t>
  </si>
  <si>
    <t>EFX</t>
  </si>
  <si>
    <t>BTU</t>
  </si>
  <si>
    <t>HPE</t>
  </si>
  <si>
    <t>SM</t>
  </si>
  <si>
    <t>FSLR</t>
  </si>
  <si>
    <t>EBAY</t>
  </si>
  <si>
    <t>COR</t>
  </si>
  <si>
    <t>MTDR</t>
  </si>
  <si>
    <t>SWN</t>
  </si>
  <si>
    <t>RRC</t>
  </si>
  <si>
    <t>MOS</t>
  </si>
  <si>
    <t>EQH</t>
  </si>
  <si>
    <t>MPLX</t>
  </si>
  <si>
    <t>FANG</t>
  </si>
  <si>
    <t>EXE</t>
  </si>
  <si>
    <t>BMY</t>
  </si>
  <si>
    <t>DVN</t>
  </si>
  <si>
    <t>COP</t>
  </si>
  <si>
    <t>APA</t>
  </si>
  <si>
    <t>FYBR</t>
  </si>
  <si>
    <t>F</t>
  </si>
  <si>
    <t>EOG</t>
  </si>
  <si>
    <t>MPC</t>
  </si>
  <si>
    <t>BRK-A</t>
  </si>
  <si>
    <t>MO</t>
  </si>
  <si>
    <t>LNG</t>
  </si>
  <si>
    <t>GE</t>
  </si>
  <si>
    <t>SLB</t>
  </si>
  <si>
    <t>AMZN</t>
  </si>
  <si>
    <t>CVX</t>
  </si>
  <si>
    <t>BAX</t>
  </si>
  <si>
    <t>CTA-PB</t>
  </si>
  <si>
    <t>STZ</t>
  </si>
  <si>
    <t>CTVA</t>
  </si>
  <si>
    <t>ALTM</t>
  </si>
  <si>
    <t>FCX</t>
  </si>
  <si>
    <t>DOW</t>
  </si>
  <si>
    <t>MAR</t>
  </si>
  <si>
    <t>WDAY</t>
  </si>
  <si>
    <t>HAL</t>
  </si>
  <si>
    <t>X</t>
  </si>
  <si>
    <t>HES</t>
  </si>
  <si>
    <t>ALC</t>
  </si>
  <si>
    <t>TRGP</t>
  </si>
  <si>
    <t>IMO</t>
  </si>
  <si>
    <t>ENLC</t>
  </si>
  <si>
    <t>BBWI</t>
  </si>
  <si>
    <t>GDDY</t>
  </si>
  <si>
    <t>MELI</t>
  </si>
  <si>
    <t>OAS</t>
  </si>
  <si>
    <t>ARW</t>
  </si>
  <si>
    <t>MRO</t>
  </si>
  <si>
    <t>AMR</t>
  </si>
  <si>
    <t>VTLE</t>
  </si>
  <si>
    <t>NOG</t>
  </si>
  <si>
    <t>BOX</t>
  </si>
  <si>
    <t>TMST</t>
  </si>
  <si>
    <t>RRR</t>
  </si>
  <si>
    <t>SWAV</t>
  </si>
  <si>
    <t>TPC</t>
  </si>
  <si>
    <t>HRB</t>
  </si>
  <si>
    <t>HCC</t>
  </si>
  <si>
    <t>DX</t>
  </si>
  <si>
    <t>ODP</t>
  </si>
  <si>
    <t>MP</t>
  </si>
  <si>
    <t>GIII</t>
  </si>
  <si>
    <t>GFF</t>
  </si>
  <si>
    <t>AL</t>
  </si>
  <si>
    <t>HIMX</t>
  </si>
  <si>
    <t>BXC</t>
  </si>
  <si>
    <t>MRC</t>
  </si>
  <si>
    <t>CWEN</t>
  </si>
  <si>
    <t>LXU</t>
  </si>
  <si>
    <t>HY</t>
  </si>
  <si>
    <t>ENR</t>
  </si>
  <si>
    <t>CAL</t>
  </si>
  <si>
    <t>XPER</t>
  </si>
  <si>
    <t>KEX</t>
  </si>
  <si>
    <t>SCWO</t>
  </si>
  <si>
    <t>WHLR</t>
  </si>
  <si>
    <t>SSKN</t>
  </si>
  <si>
    <t>QRHC</t>
  </si>
  <si>
    <t>KIDS</t>
  </si>
  <si>
    <t>RHE</t>
  </si>
  <si>
    <t>REEMF</t>
  </si>
  <si>
    <t>THMO</t>
  </si>
  <si>
    <t>TFFP</t>
  </si>
  <si>
    <t>TLSA</t>
  </si>
  <si>
    <t>NDLS</t>
  </si>
  <si>
    <t>CEVA</t>
  </si>
  <si>
    <t>GDYN</t>
  </si>
  <si>
    <t>VRNA</t>
  </si>
  <si>
    <t>MCMJ</t>
  </si>
  <si>
    <t>ORN</t>
  </si>
  <si>
    <t>XGN</t>
  </si>
  <si>
    <t>AIRG</t>
  </si>
  <si>
    <t>PRPH</t>
  </si>
  <si>
    <t>DSP</t>
  </si>
  <si>
    <t>KRMD</t>
  </si>
  <si>
    <t>OPRX</t>
  </si>
  <si>
    <t>DALN</t>
  </si>
  <si>
    <t>SNSE</t>
  </si>
  <si>
    <t>STXS</t>
  </si>
  <si>
    <t>SOFO</t>
  </si>
  <si>
    <t>AUVI</t>
  </si>
  <si>
    <t>SNWV</t>
  </si>
  <si>
    <t>JAN</t>
  </si>
  <si>
    <t>BNTC</t>
  </si>
  <si>
    <t>HROW</t>
  </si>
  <si>
    <t>VUZI</t>
  </si>
  <si>
    <t>TELA</t>
  </si>
  <si>
    <t>DFCO</t>
  </si>
  <si>
    <t>VNRX</t>
  </si>
  <si>
    <t>LEE</t>
  </si>
  <si>
    <t>SLS</t>
  </si>
  <si>
    <t>SPRB</t>
  </si>
  <si>
    <t>AORT</t>
  </si>
  <si>
    <t>IONM</t>
  </si>
  <si>
    <t>OSS</t>
  </si>
  <si>
    <t>SLNO</t>
  </si>
  <si>
    <t>ASYS</t>
  </si>
  <si>
    <t>PMD</t>
  </si>
  <si>
    <t>VTVT</t>
  </si>
  <si>
    <t>RMAX</t>
  </si>
  <si>
    <t>NC</t>
  </si>
  <si>
    <t>SKYE</t>
  </si>
  <si>
    <t>SWX</t>
  </si>
  <si>
    <t>NMRK</t>
  </si>
  <si>
    <t>CL</t>
  </si>
  <si>
    <t>RHI</t>
  </si>
  <si>
    <t>ATUS</t>
  </si>
  <si>
    <t>HPQ</t>
  </si>
  <si>
    <t>EXC</t>
  </si>
  <si>
    <t>HUN</t>
  </si>
  <si>
    <t>BX</t>
  </si>
  <si>
    <t>CARR</t>
  </si>
  <si>
    <t>BKNG</t>
  </si>
  <si>
    <t>EL</t>
  </si>
  <si>
    <t>IP</t>
  </si>
  <si>
    <t>DUK</t>
  </si>
  <si>
    <t>GLW</t>
  </si>
  <si>
    <t>LH</t>
  </si>
  <si>
    <t>FOX</t>
  </si>
  <si>
    <t>BBY</t>
  </si>
  <si>
    <t>CBRE</t>
  </si>
  <si>
    <t>COO</t>
  </si>
  <si>
    <t>BEN</t>
  </si>
  <si>
    <t>ESBA</t>
  </si>
  <si>
    <t>HYSR</t>
  </si>
  <si>
    <t>SUP</t>
  </si>
  <si>
    <t>MOV</t>
  </si>
  <si>
    <t>CDMO</t>
  </si>
  <si>
    <t>DIN</t>
  </si>
  <si>
    <t>TER</t>
  </si>
  <si>
    <t>PBYI</t>
  </si>
  <si>
    <t>HNRG</t>
  </si>
  <si>
    <t>YEXT</t>
  </si>
  <si>
    <t>TCRT</t>
  </si>
  <si>
    <t>VNCE</t>
  </si>
  <si>
    <t>MDXG</t>
  </si>
  <si>
    <t>SPRO</t>
  </si>
  <si>
    <t>TAST</t>
  </si>
  <si>
    <t>DDOG</t>
  </si>
  <si>
    <t>VSTM</t>
  </si>
  <si>
    <t>AVXL</t>
  </si>
  <si>
    <t>YMAB</t>
  </si>
  <si>
    <t>APVO</t>
  </si>
  <si>
    <t>ALTG</t>
  </si>
  <si>
    <t>NERV</t>
  </si>
  <si>
    <t>INSE</t>
  </si>
  <si>
    <t>BBCP</t>
  </si>
  <si>
    <t>SNCR</t>
  </si>
  <si>
    <t>CTLP</t>
  </si>
  <si>
    <t>PBPB</t>
  </si>
  <si>
    <t>PRTH</t>
  </si>
  <si>
    <t>ACRX</t>
  </si>
  <si>
    <t>GATO</t>
  </si>
  <si>
    <t>OSUR</t>
  </si>
  <si>
    <t>LCUT</t>
  </si>
  <si>
    <t>OMI</t>
  </si>
  <si>
    <t>SPOK</t>
  </si>
  <si>
    <t>AMWD</t>
  </si>
  <si>
    <t>AROC</t>
  </si>
  <si>
    <t>CHEF</t>
  </si>
  <si>
    <t>HSII</t>
  </si>
  <si>
    <t>INTC</t>
  </si>
  <si>
    <t>BIIB</t>
  </si>
  <si>
    <t>LLY</t>
  </si>
  <si>
    <t>ABBV</t>
  </si>
  <si>
    <t>JCI</t>
  </si>
  <si>
    <t>DELL</t>
  </si>
  <si>
    <t>AMGN</t>
  </si>
  <si>
    <t>LYB</t>
  </si>
  <si>
    <t>CMI</t>
  </si>
  <si>
    <t>ENB</t>
  </si>
  <si>
    <t>IBM</t>
  </si>
  <si>
    <t>TMDX</t>
  </si>
  <si>
    <t>Avoid / Monitor</t>
  </si>
  <si>
    <t>OCC</t>
  </si>
  <si>
    <t>VERY</t>
  </si>
  <si>
    <t>XBIO</t>
  </si>
  <si>
    <t>PRKR</t>
  </si>
  <si>
    <t>SDPI</t>
  </si>
  <si>
    <t>XTNT</t>
  </si>
  <si>
    <t>ABIO</t>
  </si>
  <si>
    <t>SQFTP</t>
  </si>
  <si>
    <t>GEOS</t>
  </si>
  <si>
    <t>MEC</t>
  </si>
  <si>
    <t>PED</t>
  </si>
  <si>
    <t>MIND</t>
  </si>
  <si>
    <t>TTOO</t>
  </si>
  <si>
    <t>TTNP</t>
  </si>
  <si>
    <t>GAIA</t>
  </si>
  <si>
    <t>LMNR</t>
  </si>
  <si>
    <t>SLDB</t>
  </si>
  <si>
    <t>SVRA</t>
  </si>
  <si>
    <t>OMEX</t>
  </si>
  <si>
    <t>TCON</t>
  </si>
  <si>
    <t>CVSI</t>
  </si>
  <si>
    <t>PLX</t>
  </si>
  <si>
    <t>PLYM</t>
  </si>
  <si>
    <t>SONM</t>
  </si>
  <si>
    <t>WATT</t>
  </si>
  <si>
    <t>AEHR</t>
  </si>
  <si>
    <t>WTW</t>
  </si>
  <si>
    <t>SYY</t>
  </si>
  <si>
    <t>NXST</t>
  </si>
  <si>
    <t>WMG</t>
  </si>
  <si>
    <t>UAN</t>
  </si>
  <si>
    <t>CELH</t>
  </si>
  <si>
    <t>DLX</t>
  </si>
  <si>
    <t>RES</t>
  </si>
  <si>
    <t>CHDN</t>
  </si>
  <si>
    <t>CBT</t>
  </si>
  <si>
    <t>HRMY</t>
  </si>
  <si>
    <t>DSKE</t>
  </si>
  <si>
    <t>GOGO</t>
  </si>
  <si>
    <t>GDEN</t>
  </si>
  <si>
    <t>NRP</t>
  </si>
  <si>
    <t>NEP</t>
  </si>
  <si>
    <t>ANF</t>
  </si>
  <si>
    <t>EPAC</t>
  </si>
  <si>
    <t>LNTH</t>
  </si>
  <si>
    <t>APG</t>
  </si>
  <si>
    <t>KRP</t>
  </si>
  <si>
    <t>BZH</t>
  </si>
  <si>
    <t>ARLP</t>
  </si>
  <si>
    <t>NS</t>
  </si>
  <si>
    <t>THS</t>
  </si>
  <si>
    <t>HI</t>
  </si>
  <si>
    <t>ACM</t>
  </si>
  <si>
    <t>HALO</t>
  </si>
  <si>
    <t>UNFI</t>
  </si>
  <si>
    <t>OPCH</t>
  </si>
  <si>
    <t>DNOW</t>
  </si>
  <si>
    <t>NFE</t>
  </si>
  <si>
    <t>BDC</t>
  </si>
  <si>
    <t>MTSI</t>
  </si>
  <si>
    <t>FRO</t>
  </si>
  <si>
    <t>VRT</t>
  </si>
  <si>
    <t>XOMA</t>
  </si>
  <si>
    <t>IVT</t>
  </si>
  <si>
    <t>HEAR</t>
  </si>
  <si>
    <t>GLDD</t>
  </si>
  <si>
    <t>BBXIA</t>
  </si>
  <si>
    <t>CTRN</t>
  </si>
  <si>
    <t>AKR</t>
  </si>
  <si>
    <t>CLAR</t>
  </si>
  <si>
    <t>ASLE</t>
  </si>
  <si>
    <t>BJRI</t>
  </si>
  <si>
    <t>OESX</t>
  </si>
  <si>
    <t>SOI</t>
  </si>
  <si>
    <t>SND</t>
  </si>
  <si>
    <t>SYNL</t>
  </si>
  <si>
    <t>BGFV</t>
  </si>
  <si>
    <t>KALU</t>
  </si>
  <si>
    <t>IVAC</t>
  </si>
  <si>
    <t>BLKB</t>
  </si>
  <si>
    <t>DHX</t>
  </si>
  <si>
    <t>CVV</t>
  </si>
  <si>
    <t>RSI</t>
  </si>
  <si>
    <t>PURE</t>
  </si>
  <si>
    <t>VGZ</t>
  </si>
  <si>
    <t>WWR</t>
  </si>
  <si>
    <t>VCEL</t>
  </si>
  <si>
    <t>VERI</t>
  </si>
  <si>
    <t>WEWA</t>
  </si>
  <si>
    <t>BKTI</t>
  </si>
  <si>
    <t>USAU</t>
  </si>
  <si>
    <t>NTIP</t>
  </si>
  <si>
    <t>WNDW</t>
  </si>
  <si>
    <t>MLP</t>
  </si>
  <si>
    <t>KNDI</t>
  </si>
  <si>
    <t>ARAY</t>
  </si>
  <si>
    <t>LBUY</t>
  </si>
  <si>
    <t>GLG</t>
  </si>
  <si>
    <t>FTEK</t>
  </si>
  <si>
    <t>FEIM</t>
  </si>
  <si>
    <t>CLSD</t>
  </si>
  <si>
    <t>SMTI</t>
  </si>
  <si>
    <t>VRML</t>
  </si>
  <si>
    <t>EOSS</t>
  </si>
  <si>
    <t>LPTH</t>
  </si>
  <si>
    <t>BCOV</t>
  </si>
  <si>
    <t>EZOO</t>
  </si>
  <si>
    <t>URGN</t>
  </si>
  <si>
    <t>JVA</t>
  </si>
  <si>
    <t>TGLO</t>
  </si>
  <si>
    <t>LGYV</t>
  </si>
  <si>
    <t>KRUS</t>
  </si>
  <si>
    <t>LINK</t>
  </si>
  <si>
    <t>GLXZ</t>
  </si>
  <si>
    <t>BOOM</t>
  </si>
  <si>
    <t>STIM</t>
  </si>
  <si>
    <t>TRVI</t>
  </si>
  <si>
    <t>MBOT</t>
  </si>
  <si>
    <t>INVE</t>
  </si>
  <si>
    <t>IVFH</t>
  </si>
  <si>
    <t>DYNT</t>
  </si>
  <si>
    <t>VRDR</t>
  </si>
  <si>
    <t>XPL</t>
  </si>
  <si>
    <t>NGVT</t>
  </si>
  <si>
    <t>TRMB</t>
  </si>
  <si>
    <t>RCII</t>
  </si>
  <si>
    <t>NUS</t>
  </si>
  <si>
    <t>OTEX</t>
  </si>
  <si>
    <t>POWI</t>
  </si>
  <si>
    <t>SCS</t>
  </si>
  <si>
    <t>ZUMZ</t>
  </si>
  <si>
    <t>SUPN</t>
  </si>
  <si>
    <t>MASI</t>
  </si>
  <si>
    <t>UEIC</t>
  </si>
  <si>
    <t>SNBR</t>
  </si>
  <si>
    <t>SBH</t>
  </si>
  <si>
    <t>MMS</t>
  </si>
  <si>
    <t>TFX</t>
  </si>
  <si>
    <t>FDP</t>
  </si>
  <si>
    <t>ACRE</t>
  </si>
  <si>
    <t>MRCY</t>
  </si>
  <si>
    <t>CPSI</t>
  </si>
  <si>
    <t>VEC</t>
  </si>
  <si>
    <t>TLYS</t>
  </si>
  <si>
    <t>BV</t>
  </si>
  <si>
    <t>FSTR</t>
  </si>
  <si>
    <t>RDWR</t>
  </si>
  <si>
    <t>UFI</t>
  </si>
  <si>
    <t>CMP</t>
  </si>
  <si>
    <t>PCH</t>
  </si>
  <si>
    <t>ALGN</t>
  </si>
  <si>
    <t>DG</t>
  </si>
  <si>
    <t>DGX</t>
  </si>
  <si>
    <t>VYGR</t>
  </si>
  <si>
    <t>ZI</t>
  </si>
  <si>
    <t>TTI</t>
  </si>
  <si>
    <t>BRBR</t>
  </si>
  <si>
    <t>TWI</t>
  </si>
  <si>
    <t>CCRN</t>
  </si>
  <si>
    <t>AMK</t>
  </si>
  <si>
    <t>GVA</t>
  </si>
  <si>
    <t>EXTR</t>
  </si>
  <si>
    <t>NAT</t>
  </si>
  <si>
    <t>REPX</t>
  </si>
  <si>
    <t>DHT</t>
  </si>
  <si>
    <t>LEU</t>
  </si>
  <si>
    <t>ACTG</t>
  </si>
  <si>
    <t>HDSN</t>
  </si>
  <si>
    <t>DRQ</t>
  </si>
  <si>
    <t>SCHL</t>
  </si>
  <si>
    <t>AZEK</t>
  </si>
  <si>
    <t>KWR</t>
  </si>
  <si>
    <t>GES</t>
  </si>
  <si>
    <t>GTBIF</t>
  </si>
  <si>
    <t>DFIN</t>
  </si>
  <si>
    <t>CVLG</t>
  </si>
  <si>
    <t>VECO</t>
  </si>
  <si>
    <t>CALX</t>
  </si>
  <si>
    <t>METC</t>
  </si>
  <si>
    <t>EGY</t>
  </si>
  <si>
    <t>AZZ</t>
  </si>
  <si>
    <t>SPXC</t>
  </si>
  <si>
    <t>PLAY</t>
  </si>
  <si>
    <t>CNMD</t>
  </si>
  <si>
    <t>DXLG</t>
  </si>
  <si>
    <t>MSGS</t>
  </si>
  <si>
    <t>EZPW</t>
  </si>
  <si>
    <t>TSQ</t>
  </si>
  <si>
    <t>SWBI</t>
  </si>
  <si>
    <t>SLM</t>
  </si>
  <si>
    <t>MAS</t>
  </si>
  <si>
    <t>CTRE</t>
  </si>
  <si>
    <t>STRT</t>
  </si>
  <si>
    <t>LSEA</t>
  </si>
  <si>
    <t>CRD-A</t>
  </si>
  <si>
    <t>TCMD</t>
  </si>
  <si>
    <t>ENZ</t>
  </si>
  <si>
    <t>PSIX</t>
  </si>
  <si>
    <t>HQY</t>
  </si>
  <si>
    <t>ASTE</t>
  </si>
  <si>
    <t>IDXG</t>
  </si>
  <si>
    <t>HURN</t>
  </si>
  <si>
    <t>CTS</t>
  </si>
  <si>
    <t>EPM</t>
  </si>
  <si>
    <t>MATX</t>
  </si>
  <si>
    <t>ROST</t>
  </si>
  <si>
    <t>NI</t>
  </si>
  <si>
    <t>SPG</t>
  </si>
  <si>
    <t>SPGI</t>
  </si>
  <si>
    <t>THO</t>
  </si>
  <si>
    <t>PVH</t>
  </si>
  <si>
    <t>TPR</t>
  </si>
  <si>
    <t>ULTA</t>
  </si>
  <si>
    <t>TMHC</t>
  </si>
  <si>
    <t>PR</t>
  </si>
  <si>
    <t>ZM</t>
  </si>
  <si>
    <t>SBUX</t>
  </si>
  <si>
    <t>WCC</t>
  </si>
  <si>
    <t>WSM</t>
  </si>
  <si>
    <t>PAG</t>
  </si>
  <si>
    <t>PH</t>
  </si>
  <si>
    <t>ODFL</t>
  </si>
  <si>
    <t>TT</t>
  </si>
  <si>
    <t>TGT</t>
  </si>
  <si>
    <t>TOL</t>
  </si>
  <si>
    <t>THC</t>
  </si>
  <si>
    <t>SYK</t>
  </si>
  <si>
    <t>NTES</t>
  </si>
  <si>
    <t>SCCO</t>
  </si>
  <si>
    <t>WY</t>
  </si>
  <si>
    <t>ORLY</t>
  </si>
  <si>
    <t>PM</t>
  </si>
  <si>
    <t>MSI</t>
  </si>
  <si>
    <t>SRE</t>
  </si>
  <si>
    <t>SHW</t>
  </si>
  <si>
    <t>PEG</t>
  </si>
  <si>
    <t>OC</t>
  </si>
  <si>
    <t>RS</t>
  </si>
  <si>
    <t>SIG</t>
  </si>
  <si>
    <t>UNP</t>
  </si>
  <si>
    <t>ZTS</t>
  </si>
  <si>
    <t>WM</t>
  </si>
  <si>
    <t>NVR</t>
  </si>
  <si>
    <t>RSTRF</t>
  </si>
  <si>
    <t>UTHR</t>
  </si>
  <si>
    <t>NOW</t>
  </si>
  <si>
    <t>VVV</t>
  </si>
  <si>
    <t>SPB</t>
  </si>
  <si>
    <t>TJX</t>
  </si>
  <si>
    <t>MDLZ</t>
  </si>
  <si>
    <t>URI</t>
  </si>
  <si>
    <t>PEP</t>
  </si>
  <si>
    <t>NKE</t>
  </si>
  <si>
    <t>OVV</t>
  </si>
  <si>
    <t>PYPL</t>
  </si>
  <si>
    <t>ON</t>
  </si>
  <si>
    <t>TMO</t>
  </si>
  <si>
    <t>VICI</t>
  </si>
  <si>
    <t>PCAR</t>
  </si>
  <si>
    <t>STLD</t>
  </si>
  <si>
    <t>REGN</t>
  </si>
  <si>
    <t>TXN</t>
  </si>
  <si>
    <t>PHM</t>
  </si>
  <si>
    <t>PLD</t>
  </si>
  <si>
    <t>STLA</t>
  </si>
  <si>
    <t>META</t>
  </si>
  <si>
    <t>MSFT</t>
  </si>
  <si>
    <t>NVDA</t>
  </si>
  <si>
    <t>XOM</t>
  </si>
  <si>
    <t>TSLA</t>
  </si>
  <si>
    <t>VLO</t>
  </si>
  <si>
    <t>UNH</t>
  </si>
  <si>
    <t>PG</t>
  </si>
  <si>
    <t>TMUS</t>
  </si>
  <si>
    <t>V</t>
  </si>
  <si>
    <t>PSX</t>
  </si>
  <si>
    <t>PXD</t>
  </si>
  <si>
    <t>NFLX</t>
  </si>
  <si>
    <t>NEE</t>
  </si>
  <si>
    <t>NUE</t>
  </si>
  <si>
    <t>QCOM</t>
  </si>
  <si>
    <t>VRTX</t>
  </si>
  <si>
    <t>NXPI</t>
  </si>
  <si>
    <t>MCD</t>
  </si>
  <si>
    <t>WMB</t>
  </si>
  <si>
    <t>UPS</t>
  </si>
  <si>
    <t>TILE</t>
  </si>
  <si>
    <t>SSSS</t>
  </si>
  <si>
    <t>PIPR</t>
  </si>
  <si>
    <t>PLOW</t>
  </si>
  <si>
    <t>MORN</t>
  </si>
  <si>
    <t>NPO</t>
  </si>
  <si>
    <t>ESRT</t>
  </si>
  <si>
    <t>BH</t>
  </si>
  <si>
    <t>SOHO</t>
  </si>
  <si>
    <t>AC</t>
  </si>
  <si>
    <t>NHC</t>
  </si>
  <si>
    <t>BLBD</t>
  </si>
  <si>
    <t>TWIN</t>
  </si>
  <si>
    <t>PRLB</t>
  </si>
  <si>
    <t>MTN</t>
  </si>
  <si>
    <t>SPWH</t>
  </si>
  <si>
    <t>TRS</t>
  </si>
  <si>
    <t>WTI</t>
  </si>
  <si>
    <t>TTMI</t>
  </si>
  <si>
    <t>MSA</t>
  </si>
  <si>
    <t>TTEC</t>
  </si>
  <si>
    <t>WERN</t>
  </si>
  <si>
    <t>GD</t>
  </si>
  <si>
    <t>IRM</t>
  </si>
  <si>
    <t>DVA</t>
  </si>
  <si>
    <t>BWA</t>
  </si>
  <si>
    <t>KNX</t>
  </si>
  <si>
    <t>GHC</t>
  </si>
  <si>
    <t>EQR</t>
  </si>
  <si>
    <t>AMCX</t>
  </si>
  <si>
    <t>JCOM</t>
  </si>
  <si>
    <t>LEA</t>
  </si>
  <si>
    <t>HLF</t>
  </si>
  <si>
    <t>HXL</t>
  </si>
  <si>
    <t>LXP</t>
  </si>
  <si>
    <t>J</t>
  </si>
  <si>
    <t>JLL</t>
  </si>
  <si>
    <t>ARE</t>
  </si>
  <si>
    <t>CHRW</t>
  </si>
  <si>
    <t>HSIC</t>
  </si>
  <si>
    <t>KMX</t>
  </si>
  <si>
    <t>CACC</t>
  </si>
  <si>
    <t>BXP</t>
  </si>
  <si>
    <t>CLX</t>
  </si>
  <si>
    <t>GTES</t>
  </si>
  <si>
    <t>KMB</t>
  </si>
  <si>
    <t>AVNT</t>
  </si>
  <si>
    <t>VNDA</t>
  </si>
  <si>
    <t>NEOG</t>
  </si>
  <si>
    <t>OMCL</t>
  </si>
  <si>
    <t>UNF</t>
  </si>
  <si>
    <t>LGL</t>
  </si>
  <si>
    <t>CSBR</t>
  </si>
  <si>
    <t>LAWS</t>
  </si>
  <si>
    <t>AXTI</t>
  </si>
  <si>
    <t>SRDX</t>
  </si>
  <si>
    <t>HURC</t>
  </si>
  <si>
    <t>SSNT</t>
  </si>
  <si>
    <t>ARKR</t>
  </si>
  <si>
    <t>HOFT</t>
  </si>
  <si>
    <t>BGSF</t>
  </si>
  <si>
    <t>MHH</t>
  </si>
  <si>
    <t>CTHR</t>
  </si>
  <si>
    <t>GORO</t>
  </si>
  <si>
    <t>SCI</t>
  </si>
  <si>
    <t>REZI</t>
  </si>
  <si>
    <t>SFY</t>
  </si>
  <si>
    <t>MTD</t>
  </si>
  <si>
    <t>WCN</t>
  </si>
  <si>
    <t>TPX</t>
  </si>
  <si>
    <t>SON</t>
  </si>
  <si>
    <t>WEC</t>
  </si>
  <si>
    <t>WNC</t>
  </si>
  <si>
    <t>SEAS</t>
  </si>
  <si>
    <t>VNOM</t>
  </si>
  <si>
    <t>SSNC</t>
  </si>
  <si>
    <t>VRSK</t>
  </si>
  <si>
    <t>TGNA</t>
  </si>
  <si>
    <t>PII</t>
  </si>
  <si>
    <t>SKX</t>
  </si>
  <si>
    <t>MDC</t>
  </si>
  <si>
    <t>USAC</t>
  </si>
  <si>
    <t>YNDX</t>
  </si>
  <si>
    <t>SCSC</t>
  </si>
  <si>
    <t>RYI</t>
  </si>
  <si>
    <t>REI</t>
  </si>
  <si>
    <t>SHO</t>
  </si>
  <si>
    <t>SUN</t>
  </si>
  <si>
    <t>NTAP</t>
  </si>
  <si>
    <t>SNDR</t>
  </si>
  <si>
    <t>USFD</t>
  </si>
  <si>
    <t>SWKS</t>
  </si>
  <si>
    <t>OMC</t>
  </si>
  <si>
    <t>PKG</t>
  </si>
  <si>
    <t>TXT</t>
  </si>
  <si>
    <t>MCO</t>
  </si>
  <si>
    <t>WOR</t>
  </si>
  <si>
    <t>WGO</t>
  </si>
  <si>
    <t>TRTN</t>
  </si>
  <si>
    <t>URBN</t>
  </si>
  <si>
    <t>YUMC</t>
  </si>
  <si>
    <t>PRG</t>
  </si>
  <si>
    <t>TPH</t>
  </si>
  <si>
    <t>PDCO</t>
  </si>
  <si>
    <t>AGX</t>
  </si>
  <si>
    <t>ARKO</t>
  </si>
  <si>
    <t>BELFB</t>
  </si>
  <si>
    <t>GLRE</t>
  </si>
  <si>
    <t>HLIT</t>
  </si>
  <si>
    <t>ACEL</t>
  </si>
  <si>
    <t>FLXS</t>
  </si>
  <si>
    <t>MCFT</t>
  </si>
  <si>
    <t>PEN</t>
  </si>
  <si>
    <t>FPH</t>
  </si>
  <si>
    <t>HBB</t>
  </si>
  <si>
    <t>LOVE</t>
  </si>
  <si>
    <t>LQDT</t>
  </si>
  <si>
    <t>MRMD</t>
  </si>
  <si>
    <t>ATEN</t>
  </si>
  <si>
    <t>HAYN</t>
  </si>
  <si>
    <t>DXPE</t>
  </si>
  <si>
    <t>CVGI</t>
  </si>
  <si>
    <t>PLNT</t>
  </si>
  <si>
    <t>RGEN</t>
  </si>
  <si>
    <t>SR</t>
  </si>
  <si>
    <t>RGR</t>
  </si>
  <si>
    <t>ORC</t>
  </si>
  <si>
    <t>SKT</t>
  </si>
  <si>
    <t>TKR</t>
  </si>
  <si>
    <t>VMI</t>
  </si>
  <si>
    <t>FBHS</t>
  </si>
  <si>
    <t>CIEN</t>
  </si>
  <si>
    <t>MOG-A</t>
  </si>
  <si>
    <t>LCII</t>
  </si>
  <si>
    <t>GNRC</t>
  </si>
  <si>
    <t>CODI</t>
  </si>
  <si>
    <t>EVR</t>
  </si>
  <si>
    <t>GTX</t>
  </si>
  <si>
    <t>JHG</t>
  </si>
  <si>
    <t>USNA</t>
  </si>
  <si>
    <t>MGRC</t>
  </si>
  <si>
    <t>MTX</t>
  </si>
  <si>
    <t>PNW</t>
  </si>
  <si>
    <t>SCL</t>
  </si>
  <si>
    <t>VNT</t>
  </si>
  <si>
    <t>CGNX</t>
  </si>
  <si>
    <t>HRL</t>
  </si>
  <si>
    <t>EXEL</t>
  </si>
  <si>
    <t>BFAM</t>
  </si>
  <si>
    <t>B</t>
  </si>
  <si>
    <t>INT</t>
  </si>
  <si>
    <t>FRT</t>
  </si>
  <si>
    <t>CRMZ</t>
  </si>
  <si>
    <t>IHT</t>
  </si>
  <si>
    <t>ULBI</t>
  </si>
  <si>
    <t>ESP</t>
  </si>
  <si>
    <t>USAP</t>
  </si>
  <si>
    <t>SRTS</t>
  </si>
  <si>
    <t>RAVE</t>
  </si>
  <si>
    <t>LIVE</t>
  </si>
  <si>
    <t>HSON</t>
  </si>
  <si>
    <t>TSRI</t>
  </si>
  <si>
    <t>KANP</t>
  </si>
  <si>
    <t>INTT</t>
  </si>
  <si>
    <t>HQI</t>
  </si>
  <si>
    <t>DAKT</t>
  </si>
  <si>
    <t>TLF</t>
  </si>
  <si>
    <t>WLDN</t>
  </si>
  <si>
    <t>PSTL</t>
  </si>
  <si>
    <t>TACT</t>
  </si>
  <si>
    <t>WHG</t>
  </si>
  <si>
    <t>MMMB</t>
  </si>
  <si>
    <t>GENC</t>
  </si>
  <si>
    <t>SSTI</t>
  </si>
  <si>
    <t>FPAY</t>
  </si>
  <si>
    <t>PAYS</t>
  </si>
  <si>
    <t>ZDGE</t>
  </si>
  <si>
    <t>EGAN</t>
  </si>
  <si>
    <t>SCKT</t>
  </si>
  <si>
    <t>VNJA</t>
  </si>
  <si>
    <t>ELSE</t>
  </si>
  <si>
    <t>TSSI</t>
  </si>
  <si>
    <t>MEI</t>
  </si>
  <si>
    <t>STKS</t>
  </si>
  <si>
    <t>THRM</t>
  </si>
  <si>
    <t>STRA</t>
  </si>
  <si>
    <t>VRA</t>
  </si>
  <si>
    <t>RVLV</t>
  </si>
  <si>
    <t>RM</t>
  </si>
  <si>
    <t>WWD</t>
  </si>
  <si>
    <t>MKC</t>
  </si>
  <si>
    <t>WLFC</t>
  </si>
  <si>
    <t>SMP</t>
  </si>
  <si>
    <t>NATR</t>
  </si>
  <si>
    <t>MITK</t>
  </si>
  <si>
    <t>CWGL</t>
  </si>
  <si>
    <t>MNTK</t>
  </si>
  <si>
    <t>PFIE</t>
  </si>
  <si>
    <t>GMRE</t>
  </si>
  <si>
    <t>FC</t>
  </si>
  <si>
    <t>GCMG</t>
  </si>
  <si>
    <t>FORR</t>
  </si>
  <si>
    <t>RDVT</t>
  </si>
  <si>
    <t>CHUY</t>
  </si>
  <si>
    <t>FTCO</t>
  </si>
  <si>
    <t>KMI</t>
  </si>
  <si>
    <t>JOB</t>
  </si>
  <si>
    <t>FTV</t>
  </si>
  <si>
    <t>EXPD</t>
  </si>
  <si>
    <t>RPM</t>
  </si>
  <si>
    <t>NBIX</t>
  </si>
  <si>
    <t>XYL</t>
  </si>
  <si>
    <t>VIRT</t>
  </si>
  <si>
    <t>RUSHA</t>
  </si>
  <si>
    <t>MTCH</t>
  </si>
  <si>
    <t>YUM</t>
  </si>
  <si>
    <t>MOH</t>
  </si>
  <si>
    <t>MAIN</t>
  </si>
  <si>
    <t>PNR</t>
  </si>
  <si>
    <t>PEAK</t>
  </si>
  <si>
    <t>PTC</t>
  </si>
  <si>
    <t>UDR</t>
  </si>
  <si>
    <t>SAIA</t>
  </si>
  <si>
    <t>XEL</t>
  </si>
  <si>
    <t>POOL</t>
  </si>
  <si>
    <t>PFGC</t>
  </si>
  <si>
    <t>NDAQ</t>
  </si>
  <si>
    <t>VC</t>
  </si>
  <si>
    <t>OTIS</t>
  </si>
  <si>
    <t>SBAC</t>
  </si>
  <si>
    <t>VMC</t>
  </si>
  <si>
    <t>WPC</t>
  </si>
  <si>
    <t>NVT</t>
  </si>
  <si>
    <t>WES</t>
  </si>
  <si>
    <t>WIRE</t>
  </si>
  <si>
    <t>SNA</t>
  </si>
  <si>
    <t>MHO</t>
  </si>
  <si>
    <t>WST</t>
  </si>
  <si>
    <t>UFPI</t>
  </si>
  <si>
    <t>PWR</t>
  </si>
  <si>
    <t>MUSA</t>
  </si>
  <si>
    <t>TDG</t>
  </si>
  <si>
    <t>SNPS</t>
  </si>
  <si>
    <t>TDY</t>
  </si>
  <si>
    <t>PAYX</t>
  </si>
  <si>
    <t>SMCI</t>
  </si>
  <si>
    <t>ROK</t>
  </si>
  <si>
    <t>MSCI</t>
  </si>
  <si>
    <t>RSG</t>
  </si>
  <si>
    <t>TEX</t>
  </si>
  <si>
    <t>MNST</t>
  </si>
  <si>
    <t>MTH</t>
  </si>
  <si>
    <t>WAB</t>
  </si>
  <si>
    <t>TSCO</t>
  </si>
  <si>
    <t>QSR</t>
  </si>
  <si>
    <t>MLM</t>
  </si>
  <si>
    <t>PKI</t>
  </si>
  <si>
    <t>RMD</t>
  </si>
  <si>
    <t>PODD</t>
  </si>
  <si>
    <t>VEEV</t>
  </si>
  <si>
    <t>MEDP</t>
  </si>
  <si>
    <t>SANM</t>
  </si>
  <si>
    <t>TNET</t>
  </si>
  <si>
    <t>TECH</t>
  </si>
  <si>
    <t>SNEX</t>
  </si>
  <si>
    <t>SPLP-PA</t>
  </si>
  <si>
    <t>NSA</t>
  </si>
  <si>
    <t>SMPL</t>
  </si>
  <si>
    <t>PAYC</t>
  </si>
  <si>
    <t>TGLS</t>
  </si>
  <si>
    <t>REXR</t>
  </si>
  <si>
    <t>TXRH</t>
  </si>
  <si>
    <t>WTS</t>
  </si>
  <si>
    <t>STAG</t>
  </si>
  <si>
    <t>NEU</t>
  </si>
  <si>
    <t>SNX</t>
  </si>
  <si>
    <t>VRTS</t>
  </si>
  <si>
    <t>SCVL</t>
  </si>
  <si>
    <t>SHOO</t>
  </si>
  <si>
    <t>MIDD</t>
  </si>
  <si>
    <t>MSM</t>
  </si>
  <si>
    <t>ALSN</t>
  </si>
  <si>
    <t>KRC</t>
  </si>
  <si>
    <t>PCRX</t>
  </si>
  <si>
    <t>ULH</t>
  </si>
  <si>
    <t>REYN</t>
  </si>
  <si>
    <t>TTC</t>
  </si>
  <si>
    <t>SB</t>
  </si>
  <si>
    <t>PATK</t>
  </si>
  <si>
    <t>PINC</t>
  </si>
  <si>
    <t>WAT</t>
  </si>
  <si>
    <t>ORGO</t>
  </si>
  <si>
    <t>ZEUS</t>
  </si>
  <si>
    <t>NYT</t>
  </si>
  <si>
    <t>NNN</t>
  </si>
  <si>
    <t>SITE</t>
  </si>
  <si>
    <t>WHD</t>
  </si>
  <si>
    <t>TRNO</t>
  </si>
  <si>
    <t>UI</t>
  </si>
  <si>
    <t>WR</t>
  </si>
  <si>
    <t>TTD</t>
  </si>
  <si>
    <t>NX</t>
  </si>
  <si>
    <t>NDSN</t>
  </si>
  <si>
    <t>NJR</t>
  </si>
  <si>
    <t>NSIT</t>
  </si>
  <si>
    <t>RYN</t>
  </si>
  <si>
    <t>VCTR</t>
  </si>
  <si>
    <t>SFM</t>
  </si>
  <si>
    <t>YETI</t>
  </si>
  <si>
    <t>NANO</t>
  </si>
  <si>
    <t>TTEK</t>
  </si>
  <si>
    <t>PERI</t>
  </si>
  <si>
    <t>SYNA</t>
  </si>
  <si>
    <t>PLAB</t>
  </si>
  <si>
    <t>LYTS</t>
  </si>
  <si>
    <t>MLR</t>
  </si>
  <si>
    <t>RGP</t>
  </si>
  <si>
    <t>VIAV</t>
  </si>
  <si>
    <t>MED</t>
  </si>
  <si>
    <t>PNRG</t>
  </si>
  <si>
    <t>SYX</t>
  </si>
  <si>
    <t>TPB</t>
  </si>
  <si>
    <t>CMT</t>
  </si>
  <si>
    <t>RELL</t>
  </si>
  <si>
    <t>PANL</t>
  </si>
  <si>
    <t>SGU</t>
  </si>
  <si>
    <t>SHYF</t>
  </si>
  <si>
    <t>SCX</t>
  </si>
  <si>
    <t>WEYS</t>
  </si>
  <si>
    <t>MRTN</t>
  </si>
  <si>
    <t>TYL</t>
  </si>
  <si>
    <t>ROG</t>
  </si>
  <si>
    <t>RICK</t>
  </si>
  <si>
    <t>ITW</t>
  </si>
  <si>
    <t>KIM</t>
  </si>
  <si>
    <t>GILD</t>
  </si>
  <si>
    <t>ICE</t>
  </si>
  <si>
    <t>DLR</t>
  </si>
  <si>
    <t>CTSH</t>
  </si>
  <si>
    <t>KR</t>
  </si>
  <si>
    <t>BCC</t>
  </si>
  <si>
    <t>FE</t>
  </si>
  <si>
    <t>BDX</t>
  </si>
  <si>
    <t>CSX</t>
  </si>
  <si>
    <t>LBRDA</t>
  </si>
  <si>
    <t>JBL</t>
  </si>
  <si>
    <t>GPN</t>
  </si>
  <si>
    <t>AMD</t>
  </si>
  <si>
    <t>AN</t>
  </si>
  <si>
    <t>AMP</t>
  </si>
  <si>
    <t>LW</t>
  </si>
  <si>
    <t>AMG</t>
  </si>
  <si>
    <t>CMC</t>
  </si>
  <si>
    <t>CPB</t>
  </si>
  <si>
    <t>ADSK</t>
  </si>
  <si>
    <t>LAD</t>
  </si>
  <si>
    <t>LMT</t>
  </si>
  <si>
    <t>DKS</t>
  </si>
  <si>
    <t>CIVI</t>
  </si>
  <si>
    <t>KDP</t>
  </si>
  <si>
    <t>FMC</t>
  </si>
  <si>
    <t>CME</t>
  </si>
  <si>
    <t>ADP</t>
  </si>
  <si>
    <t>CF</t>
  </si>
  <si>
    <t>INTU</t>
  </si>
  <si>
    <t>GWW</t>
  </si>
  <si>
    <t>ALB</t>
  </si>
  <si>
    <t>CTRA</t>
  </si>
  <si>
    <t>APH</t>
  </si>
  <si>
    <t>EPD</t>
  </si>
  <si>
    <t>FTNT</t>
  </si>
  <si>
    <t>GIS</t>
  </si>
  <si>
    <t>LULU</t>
  </si>
  <si>
    <t>CMG</t>
  </si>
  <si>
    <t>ACI</t>
  </si>
  <si>
    <t>KHC</t>
  </si>
  <si>
    <t>KO</t>
  </si>
  <si>
    <t>COST</t>
  </si>
  <si>
    <t>ADBE</t>
  </si>
  <si>
    <t>CMCSA</t>
  </si>
  <si>
    <t>CQP</t>
  </si>
  <si>
    <t>MA</t>
  </si>
  <si>
    <t>CHTR</t>
  </si>
  <si>
    <t>DHI</t>
  </si>
  <si>
    <t>HD</t>
  </si>
  <si>
    <t>LOW</t>
  </si>
  <si>
    <t>GM</t>
  </si>
  <si>
    <t>FDX</t>
  </si>
  <si>
    <t>LIN</t>
  </si>
  <si>
    <t>CRM</t>
  </si>
  <si>
    <t>AMAT</t>
  </si>
  <si>
    <t>CAT</t>
  </si>
  <si>
    <t>EMR</t>
  </si>
  <si>
    <t>DE</t>
  </si>
  <si>
    <t>AVGO</t>
  </si>
  <si>
    <t>AAPL</t>
  </si>
  <si>
    <t>GOOG</t>
  </si>
  <si>
    <t>JNJ</t>
  </si>
  <si>
    <t>APTV</t>
  </si>
  <si>
    <t>DHR</t>
  </si>
  <si>
    <t>ACN</t>
  </si>
  <si>
    <t>FI</t>
  </si>
  <si>
    <t>LRCX</t>
  </si>
  <si>
    <t>KLAC</t>
  </si>
  <si>
    <t>ABT</t>
  </si>
  <si>
    <t>CVS</t>
  </si>
  <si>
    <t>ADI</t>
  </si>
  <si>
    <t>ANET</t>
  </si>
  <si>
    <t>CNC</t>
  </si>
  <si>
    <t>BLDR</t>
  </si>
  <si>
    <t>CCOI</t>
  </si>
  <si>
    <t>BLK</t>
  </si>
  <si>
    <t>IQV</t>
  </si>
  <si>
    <t>CE</t>
  </si>
  <si>
    <t>ETN</t>
  </si>
  <si>
    <t>AZO</t>
  </si>
  <si>
    <t>CSCO</t>
  </si>
  <si>
    <t>AON</t>
  </si>
  <si>
    <t>AGCO</t>
  </si>
  <si>
    <t>EVTC</t>
  </si>
  <si>
    <t>JNPR</t>
  </si>
  <si>
    <t>GNTX</t>
  </si>
  <si>
    <t>BF-A</t>
  </si>
  <si>
    <t>CRI</t>
  </si>
  <si>
    <t>ESS</t>
  </si>
  <si>
    <t>CNS</t>
  </si>
  <si>
    <t>FFIV</t>
  </si>
  <si>
    <t>DCO</t>
  </si>
  <si>
    <t>SGC</t>
  </si>
  <si>
    <t>VSEC</t>
  </si>
  <si>
    <t>STGW</t>
  </si>
  <si>
    <t>SXT</t>
  </si>
  <si>
    <t>PUBM</t>
  </si>
  <si>
    <t>UONE</t>
  </si>
  <si>
    <t>COLM</t>
  </si>
  <si>
    <t>CUZ</t>
  </si>
  <si>
    <t>FLS</t>
  </si>
  <si>
    <t>ENTG</t>
  </si>
  <si>
    <t>EAT</t>
  </si>
  <si>
    <t>DLB</t>
  </si>
  <si>
    <t>GDOT</t>
  </si>
  <si>
    <t>SWKH</t>
  </si>
  <si>
    <t>ROIC</t>
  </si>
  <si>
    <t>TTGT</t>
  </si>
  <si>
    <t>RDNT</t>
  </si>
  <si>
    <t>RCKY</t>
  </si>
  <si>
    <t>TRC</t>
  </si>
  <si>
    <t>PAHC</t>
  </si>
  <si>
    <t>TW</t>
  </si>
  <si>
    <t>VRSN</t>
  </si>
  <si>
    <t>SUM</t>
  </si>
  <si>
    <t>SSD</t>
  </si>
  <si>
    <t>SXC</t>
  </si>
  <si>
    <t>OTTR</t>
  </si>
  <si>
    <t>ROL</t>
  </si>
  <si>
    <t>AVY</t>
  </si>
  <si>
    <t>CMS</t>
  </si>
  <si>
    <t>AOS</t>
  </si>
  <si>
    <t>GEF</t>
  </si>
  <si>
    <t>AIT</t>
  </si>
  <si>
    <t>ENVA</t>
  </si>
  <si>
    <t>CHD</t>
  </si>
  <si>
    <t>BALL</t>
  </si>
  <si>
    <t>CCS</t>
  </si>
  <si>
    <t>CAG</t>
  </si>
  <si>
    <t>CDNS</t>
  </si>
  <si>
    <t>KLIC</t>
  </si>
  <si>
    <t>K</t>
  </si>
  <si>
    <t>HUBG</t>
  </si>
  <si>
    <t>GLP</t>
  </si>
  <si>
    <t>AMN</t>
  </si>
  <si>
    <t>AVB</t>
  </si>
  <si>
    <t>EMN</t>
  </si>
  <si>
    <t>ITT</t>
  </si>
  <si>
    <t>SSTK</t>
  </si>
  <si>
    <t>PCTY</t>
  </si>
  <si>
    <t>MANH</t>
  </si>
  <si>
    <t>PGNY</t>
  </si>
  <si>
    <t>PRDO</t>
  </si>
  <si>
    <t>TITN</t>
  </si>
  <si>
    <t>OSG</t>
  </si>
  <si>
    <t>WEN</t>
  </si>
  <si>
    <t>MGPI</t>
  </si>
  <si>
    <t>SPH</t>
  </si>
  <si>
    <t>YELP</t>
  </si>
  <si>
    <t>PGTI</t>
  </si>
  <si>
    <t>PRFT</t>
  </si>
  <si>
    <t>TNC</t>
  </si>
  <si>
    <t>SJW</t>
  </si>
  <si>
    <t>QLYS</t>
  </si>
  <si>
    <t>TREX</t>
  </si>
  <si>
    <t>SXI</t>
  </si>
  <si>
    <t>MYRG</t>
  </si>
  <si>
    <t>USLM</t>
  </si>
  <si>
    <t>PJT</t>
  </si>
  <si>
    <t>MCRI</t>
  </si>
  <si>
    <t>PRGS</t>
  </si>
  <si>
    <t>WING</t>
  </si>
  <si>
    <t>POWL</t>
  </si>
  <si>
    <t>PSN</t>
  </si>
  <si>
    <t>PRIM</t>
  </si>
  <si>
    <t>VICR</t>
  </si>
  <si>
    <t>MTRN</t>
  </si>
  <si>
    <t>VRRM</t>
  </si>
  <si>
    <t>MGEE</t>
  </si>
  <si>
    <t>PLXS</t>
  </si>
  <si>
    <t>PLPC</t>
  </si>
  <si>
    <t>MBUU</t>
  </si>
  <si>
    <t>VREX</t>
  </si>
  <si>
    <t>ORA</t>
  </si>
  <si>
    <t>OSIS</t>
  </si>
  <si>
    <t>UFPT</t>
  </si>
  <si>
    <t>DOX</t>
  </si>
  <si>
    <t>LESL</t>
  </si>
  <si>
    <t>LGIH</t>
  </si>
  <si>
    <t>IART</t>
  </si>
  <si>
    <t>LSTR</t>
  </si>
  <si>
    <t>AXTA</t>
  </si>
  <si>
    <t>ASIX</t>
  </si>
  <si>
    <t>HELE</t>
  </si>
  <si>
    <t>AYI</t>
  </si>
  <si>
    <t>JELD</t>
  </si>
  <si>
    <t>WSTG</t>
  </si>
  <si>
    <t>RLGT</t>
  </si>
  <si>
    <t>VPG</t>
  </si>
  <si>
    <t>ROAD</t>
  </si>
  <si>
    <t>TAYD</t>
  </si>
  <si>
    <t>SMLR</t>
  </si>
  <si>
    <t>PPIH</t>
  </si>
  <si>
    <t>SPKE</t>
  </si>
  <si>
    <t>NTST</t>
  </si>
  <si>
    <t>STAA</t>
  </si>
  <si>
    <t>VALU</t>
  </si>
  <si>
    <t>NHTC</t>
  </si>
  <si>
    <t>TBTC</t>
  </si>
  <si>
    <t>UTMD</t>
  </si>
  <si>
    <t>SLP</t>
  </si>
  <si>
    <t>PCYG</t>
  </si>
  <si>
    <t>OFLX</t>
  </si>
  <si>
    <t>PDEX</t>
  </si>
  <si>
    <t>PINE</t>
  </si>
  <si>
    <t>TRT</t>
  </si>
  <si>
    <t>SAMG</t>
  </si>
  <si>
    <t>ZYXI</t>
  </si>
  <si>
    <t>SOTK</t>
  </si>
  <si>
    <t>NTIC</t>
  </si>
  <si>
    <t>UG</t>
  </si>
  <si>
    <t>PKE</t>
  </si>
  <si>
    <t>NWPX</t>
  </si>
  <si>
    <t>SGA</t>
  </si>
  <si>
    <t>NRC</t>
  </si>
  <si>
    <t>WLKP</t>
  </si>
  <si>
    <t>WSR</t>
  </si>
  <si>
    <t>CRMT</t>
  </si>
  <si>
    <t>HCSG</t>
  </si>
  <si>
    <t>HLIO</t>
  </si>
  <si>
    <t>AVA</t>
  </si>
  <si>
    <t>LANC</t>
  </si>
  <si>
    <t>GMED</t>
  </si>
  <si>
    <t>DOC</t>
  </si>
  <si>
    <t>JOUT</t>
  </si>
  <si>
    <t>GBX</t>
  </si>
  <si>
    <t>CWT</t>
  </si>
  <si>
    <t>BGCP</t>
  </si>
  <si>
    <t>AHH</t>
  </si>
  <si>
    <t>GEO</t>
  </si>
  <si>
    <t>FF</t>
  </si>
  <si>
    <t>KFRC</t>
  </si>
  <si>
    <t>LOPE</t>
  </si>
  <si>
    <t>HTLD</t>
  </si>
  <si>
    <t>MPX</t>
  </si>
  <si>
    <t>TTSH</t>
  </si>
  <si>
    <t>NGVC</t>
  </si>
  <si>
    <t>NSSC</t>
  </si>
  <si>
    <t>MWA</t>
  </si>
  <si>
    <t>THPTF</t>
  </si>
  <si>
    <t>VTSI</t>
  </si>
  <si>
    <t>WINA</t>
  </si>
  <si>
    <t>SVT</t>
  </si>
  <si>
    <t>TZOO</t>
  </si>
  <si>
    <t>WDFC</t>
  </si>
  <si>
    <t>VRNT</t>
  </si>
  <si>
    <t>UTI</t>
  </si>
  <si>
    <t>WHF</t>
  </si>
  <si>
    <t>NVEE</t>
  </si>
  <si>
    <t>RNGR</t>
  </si>
  <si>
    <t>MYE</t>
  </si>
  <si>
    <t>VLGEA</t>
  </si>
  <si>
    <t>BSM</t>
  </si>
  <si>
    <t>INGR</t>
  </si>
  <si>
    <t>ICLR</t>
  </si>
  <si>
    <t>JBHT</t>
  </si>
  <si>
    <t>CNXC</t>
  </si>
  <si>
    <t>DTE</t>
  </si>
  <si>
    <t>AMKR</t>
  </si>
  <si>
    <t>A</t>
  </si>
  <si>
    <t>LECO</t>
  </si>
  <si>
    <t>CLH</t>
  </si>
  <si>
    <t>GMS</t>
  </si>
  <si>
    <t>HWM</t>
  </si>
  <si>
    <t>ENPH</t>
  </si>
  <si>
    <t>AEP</t>
  </si>
  <si>
    <t>AVTR</t>
  </si>
  <si>
    <t>DFH</t>
  </si>
  <si>
    <t>AMH</t>
  </si>
  <si>
    <t>HOG</t>
  </si>
  <si>
    <t>EME</t>
  </si>
  <si>
    <t>EW</t>
  </si>
  <si>
    <t>COKE</t>
  </si>
  <si>
    <t>IDXX</t>
  </si>
  <si>
    <t>ASO</t>
  </si>
  <si>
    <t>FAST</t>
  </si>
  <si>
    <t>INVH</t>
  </si>
  <si>
    <t>AME</t>
  </si>
  <si>
    <t>EQIX</t>
  </si>
  <si>
    <t>GPI</t>
  </si>
  <si>
    <t>LKQ</t>
  </si>
  <si>
    <t>BRO</t>
  </si>
  <si>
    <t>BLD</t>
  </si>
  <si>
    <t>EXR</t>
  </si>
  <si>
    <t>DXCM</t>
  </si>
  <si>
    <t>CBOE</t>
  </si>
  <si>
    <t>CSL</t>
  </si>
  <si>
    <t>GLPI</t>
  </si>
  <si>
    <t>DOV</t>
  </si>
  <si>
    <t>DAR</t>
  </si>
  <si>
    <t>HRI</t>
  </si>
  <si>
    <t>AEE</t>
  </si>
  <si>
    <t>AJG</t>
  </si>
  <si>
    <t>KBH</t>
  </si>
  <si>
    <t>ISRG</t>
  </si>
  <si>
    <t>GRMN</t>
  </si>
  <si>
    <t>CDW</t>
  </si>
  <si>
    <t>ATO</t>
  </si>
  <si>
    <t>CCI</t>
  </si>
  <si>
    <t>AMCR</t>
  </si>
  <si>
    <t>CROX</t>
  </si>
  <si>
    <t>GPK</t>
  </si>
  <si>
    <t>IT</t>
  </si>
  <si>
    <t>CPRT</t>
  </si>
  <si>
    <t>KEYS</t>
  </si>
  <si>
    <t>HUBB</t>
  </si>
  <si>
    <t>IPG</t>
  </si>
  <si>
    <t>CP</t>
  </si>
  <si>
    <t>CTAS</t>
  </si>
  <si>
    <t>IDCC</t>
  </si>
  <si>
    <t>FIX</t>
  </si>
  <si>
    <t>ARCB</t>
  </si>
  <si>
    <t>IEX</t>
  </si>
  <si>
    <t>AMRK</t>
  </si>
  <si>
    <t>IBP</t>
  </si>
  <si>
    <t>DY</t>
  </si>
  <si>
    <t>HII</t>
  </si>
  <si>
    <t>GGG</t>
  </si>
  <si>
    <t>LII</t>
  </si>
  <si>
    <t>KTB</t>
  </si>
  <si>
    <t>INMD</t>
  </si>
  <si>
    <t>EPAM</t>
  </si>
  <si>
    <t>CACI</t>
  </si>
  <si>
    <t>FOR</t>
  </si>
  <si>
    <t>FIVE</t>
  </si>
  <si>
    <t>ALLE</t>
  </si>
  <si>
    <t>EPRT</t>
  </si>
  <si>
    <t>AGR</t>
  </si>
  <si>
    <t>LNT</t>
  </si>
  <si>
    <t>IIPR</t>
  </si>
  <si>
    <t>IIIN</t>
  </si>
  <si>
    <t>BCSF</t>
  </si>
  <si>
    <t>BRX</t>
  </si>
  <si>
    <t>IPGP</t>
  </si>
  <si>
    <t>ASGN</t>
  </si>
  <si>
    <t>BERY</t>
  </si>
  <si>
    <t>FOXF</t>
  </si>
  <si>
    <t>FR</t>
  </si>
  <si>
    <t>CABO</t>
  </si>
  <si>
    <t>CHH</t>
  </si>
  <si>
    <t>FCFS</t>
  </si>
  <si>
    <t>FLT</t>
  </si>
  <si>
    <t>ACA</t>
  </si>
  <si>
    <t>HZO</t>
  </si>
  <si>
    <t>CW</t>
  </si>
  <si>
    <t>HIBB</t>
  </si>
  <si>
    <t>EVRG</t>
  </si>
  <si>
    <t>BCO</t>
  </si>
  <si>
    <t>CSGP</t>
  </si>
  <si>
    <t>FND</t>
  </si>
  <si>
    <t>AKAM</t>
  </si>
  <si>
    <t>LFUS</t>
  </si>
  <si>
    <t>LAMR</t>
  </si>
  <si>
    <t>ENSG</t>
  </si>
  <si>
    <t>FN</t>
  </si>
  <si>
    <t>BR</t>
  </si>
  <si>
    <t>ABM</t>
  </si>
  <si>
    <t>AAON</t>
  </si>
  <si>
    <t>BKE</t>
  </si>
  <si>
    <t>KFY</t>
  </si>
  <si>
    <t>DPZ</t>
  </si>
  <si>
    <t>DIOD</t>
  </si>
  <si>
    <t>ANDE</t>
  </si>
  <si>
    <t>ATLC</t>
  </si>
  <si>
    <t>FWRD</t>
  </si>
  <si>
    <t>DOOR</t>
  </si>
  <si>
    <t>APAM</t>
  </si>
  <si>
    <t>DCI</t>
  </si>
  <si>
    <t>IPAR</t>
  </si>
  <si>
    <t>SPSC</t>
  </si>
  <si>
    <t>XPEL</t>
  </si>
  <si>
    <t>NOVT</t>
  </si>
  <si>
    <t>TR</t>
  </si>
  <si>
    <t>INVA</t>
  </si>
  <si>
    <t>IOSP</t>
  </si>
  <si>
    <t>ATAX</t>
  </si>
  <si>
    <t>KE</t>
  </si>
  <si>
    <t>KOP</t>
  </si>
  <si>
    <t>FHI</t>
  </si>
  <si>
    <t>LTC</t>
  </si>
  <si>
    <t>ESE</t>
  </si>
  <si>
    <t>AMRC</t>
  </si>
  <si>
    <t>FUL</t>
  </si>
  <si>
    <t>AVNW</t>
  </si>
  <si>
    <t>FIZZ</t>
  </si>
  <si>
    <t>BWXT</t>
  </si>
  <si>
    <t>LFVN</t>
  </si>
  <si>
    <t>AVD</t>
  </si>
  <si>
    <t>HNNA</t>
  </si>
  <si>
    <t>CSGS</t>
  </si>
  <si>
    <t>FRPH</t>
  </si>
  <si>
    <t>AAT</t>
  </si>
  <si>
    <t>DHIL</t>
  </si>
  <si>
    <t>AE</t>
  </si>
  <si>
    <t>CCRD</t>
  </si>
  <si>
    <t>ALCO</t>
  </si>
  <si>
    <t>LSCC</t>
  </si>
  <si>
    <t>ABR</t>
  </si>
  <si>
    <t>CASY</t>
  </si>
  <si>
    <t>ACLS</t>
  </si>
  <si>
    <t>CUBE</t>
  </si>
  <si>
    <t>CRL</t>
  </si>
  <si>
    <t>BSY</t>
  </si>
  <si>
    <t>GRBK</t>
  </si>
  <si>
    <t>BRKR</t>
  </si>
  <si>
    <t>FICO</t>
  </si>
  <si>
    <t>CLFD</t>
  </si>
  <si>
    <t>CHKP</t>
  </si>
  <si>
    <t>FDUS</t>
  </si>
  <si>
    <t>CENT</t>
  </si>
  <si>
    <t>JACK</t>
  </si>
  <si>
    <t>APOG</t>
  </si>
  <si>
    <t>IMXI</t>
  </si>
  <si>
    <t>HVT</t>
  </si>
  <si>
    <t>LRN</t>
  </si>
  <si>
    <t>AGM</t>
  </si>
  <si>
    <t>HEI</t>
  </si>
  <si>
    <t>JKHY</t>
  </si>
  <si>
    <t>FELE</t>
  </si>
  <si>
    <t>ETD</t>
  </si>
  <si>
    <t>FCN</t>
  </si>
  <si>
    <t>EGP</t>
  </si>
  <si>
    <t>AIR</t>
  </si>
  <si>
    <t>LZB</t>
  </si>
  <si>
    <t>IESC</t>
  </si>
  <si>
    <t>FDS</t>
  </si>
  <si>
    <t>ELS</t>
  </si>
  <si>
    <t>CR</t>
  </si>
  <si>
    <t>JOE</t>
  </si>
  <si>
    <t>ANSS</t>
  </si>
  <si>
    <t>ACMR</t>
  </si>
  <si>
    <t>CHE</t>
  </si>
  <si>
    <t>ALE</t>
  </si>
  <si>
    <t>ALG</t>
  </si>
  <si>
    <t>LNN</t>
  </si>
  <si>
    <t>HASI</t>
  </si>
  <si>
    <t>GO</t>
  </si>
  <si>
    <t>KAI</t>
  </si>
  <si>
    <t>DMLP</t>
  </si>
  <si>
    <t>DORM</t>
  </si>
  <si>
    <t>CBZ</t>
  </si>
  <si>
    <t>ACIW</t>
  </si>
  <si>
    <t>BMI</t>
  </si>
  <si>
    <t>FORM</t>
  </si>
  <si>
    <t>ATR</t>
  </si>
  <si>
    <t>BRC</t>
  </si>
  <si>
    <t>FSS</t>
  </si>
  <si>
    <t>CPSS</t>
  </si>
  <si>
    <t>CPRX</t>
  </si>
  <si>
    <t>BHE</t>
  </si>
  <si>
    <t>ALX</t>
  </si>
  <si>
    <t>IDT</t>
  </si>
  <si>
    <t>BCPC</t>
  </si>
  <si>
    <t>CSV</t>
  </si>
  <si>
    <t>JBSS</t>
  </si>
  <si>
    <t>FCPT</t>
  </si>
  <si>
    <t>ALRM</t>
  </si>
  <si>
    <t>CPK</t>
  </si>
  <si>
    <t>LEGH</t>
  </si>
  <si>
    <t>DGII</t>
  </si>
  <si>
    <t>GTY</t>
  </si>
  <si>
    <t>LMAT</t>
  </si>
  <si>
    <t>ACU</t>
  </si>
  <si>
    <t>EACO</t>
  </si>
  <si>
    <t>CORT</t>
  </si>
  <si>
    <t>CRAI</t>
  </si>
  <si>
    <t>LAND</t>
  </si>
  <si>
    <t>LMB</t>
  </si>
  <si>
    <t>FPI</t>
  </si>
  <si>
    <t>DEA</t>
  </si>
  <si>
    <t>LWAY</t>
  </si>
  <si>
    <t>GSHD</t>
  </si>
  <si>
    <t>ICFI</t>
  </si>
  <si>
    <t>HCKT</t>
  </si>
  <si>
    <t>HGBL</t>
  </si>
  <si>
    <t>ERII</t>
  </si>
  <si>
    <t>DIT</t>
  </si>
  <si>
    <t>CPHC</t>
  </si>
  <si>
    <t>AMOT</t>
  </si>
  <si>
    <t>CECE</t>
  </si>
  <si>
    <t>ITGR</t>
  </si>
  <si>
    <t>DLHC</t>
  </si>
  <si>
    <t>GRC</t>
  </si>
  <si>
    <t>BFS</t>
  </si>
  <si>
    <t>ISDR</t>
  </si>
  <si>
    <t>HSTM</t>
  </si>
  <si>
    <t>BBSI</t>
  </si>
  <si>
    <t>INFU</t>
  </si>
  <si>
    <t>LEAT</t>
  </si>
  <si>
    <t>CCF</t>
  </si>
  <si>
    <t>CIX</t>
  </si>
  <si>
    <t>GLGI</t>
  </si>
  <si>
    <t>ISSC</t>
  </si>
  <si>
    <t>ELA</t>
  </si>
  <si>
    <t>EBF</t>
  </si>
  <si>
    <t>EVI</t>
  </si>
  <si>
    <t>ARC</t>
  </si>
  <si>
    <t>CHCI</t>
  </si>
  <si>
    <t>IRMD</t>
  </si>
  <si>
    <t>ELMD</t>
  </si>
  <si>
    <t>LOCO</t>
  </si>
  <si>
    <t>CNXN</t>
  </si>
  <si>
    <t>ARTNA</t>
  </si>
  <si>
    <t>AMSWA</t>
  </si>
  <si>
    <t>ALOT</t>
  </si>
  <si>
    <t>ESCA</t>
  </si>
  <si>
    <t>III</t>
  </si>
  <si>
    <t>FTLF</t>
  </si>
  <si>
    <t>ADUS</t>
  </si>
  <si>
    <t>profitability_flag</t>
  </si>
  <si>
    <t>volatility_flag</t>
  </si>
  <si>
    <t>earnings_quality_flag</t>
  </si>
  <si>
    <t>growth_authenticity</t>
  </si>
  <si>
    <t>stability_flag</t>
  </si>
  <si>
    <t>long_term_growth_flag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</si>
</sst>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1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9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09C084-4F42-4BB1-B5D9-09C95192FD06}" name="Table1" displayName="Table1" ref="A1:K2388" totalsRowShown="0">
  <autoFilter ref="A1:K2388" xr:uid="{1409C084-4F42-4BB1-B5D9-09C95192FD06}"/>
  <tableColumns count="11">
    <tableColumn id="1" xr3:uid="{017C3821-1245-4D23-ACF6-35204CFD5FF2}" name="ticker"/>
    <tableColumn id="2" xr3:uid="{3DD87849-0CF6-4B9D-B910-2579AACA339D}" name="total_years"/>
    <tableColumn id="3" xr3:uid="{38D60E87-3929-4043-87AA-1A4C797379AA}" name="avg_net_income"/>
    <tableColumn id="4" xr3:uid="{6F63B27A-3F69-45F4-BBBB-0C476F591450}" name="profit_consistency_ratio"/>
    <tableColumn id="5" xr3:uid="{CCF5DB2A-9DED-4009-88A2-9AAE23653DFC}" name="net_income_volatility"/>
    <tableColumn id="6" xr3:uid="{27A1C7B9-8B0F-4559-A741-89B924BF482F}" name="income_growth"/>
    <tableColumn id="7" xr3:uid="{1B10B444-ECFD-468C-B20C-B79F8AE81579}" name="quality_score"/>
    <tableColumn id="8" xr3:uid="{6F48CDEB-8EB2-4B92-9E3F-95ABA4F50B5E}" name="stability_score"/>
    <tableColumn id="9" xr3:uid="{9E030C67-1E4B-4FD2-B9C2-9FF7FA6A5772}" name="growth_score"/>
    <tableColumn id="10" xr3:uid="{A40DBDAC-4217-4E25-8263-745DAC6688AF}" name="allocation_score"/>
    <tableColumn id="11" xr3:uid="{CA6699BE-B7A8-4291-BB14-C33576E3586D}" name="portfolio_decisio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B358B1E-6894-4505-890F-4EAECC661E7F}" name="Table13" displayName="Table13" ref="A1:Q2388" totalsRowShown="0" headerRowDxfId="18" dataDxfId="17">
  <autoFilter ref="A1:Q2388" xr:uid="{3B358B1E-6894-4505-890F-4EAECC661E7F}"/>
  <tableColumns count="17">
    <tableColumn id="1" xr3:uid="{F3F8FAEC-6C93-439C-A6D0-8A3118A5C15B}" name="ticker" dataDxfId="16"/>
    <tableColumn id="2" xr3:uid="{65CD63A5-E3E4-41D0-8BDE-4DB279516991}" name="total_years" dataDxfId="15"/>
    <tableColumn id="3" xr3:uid="{56220816-9661-485B-94B4-76A4BB23B552}" name="avg_net_income" dataDxfId="14"/>
    <tableColumn id="4" xr3:uid="{F594D4FE-5EF2-4CE5-A49B-7EDE989BC71D}" name="profit_consistency_ratio" dataDxfId="13"/>
    <tableColumn id="5" xr3:uid="{D6F7B6A7-D072-4ADF-90FC-C68CE41B1967}" name="net_income_volatility" dataDxfId="12"/>
    <tableColumn id="6" xr3:uid="{5D56EB66-A166-4085-883E-93C887BDF400}" name="income_growth" dataDxfId="11"/>
    <tableColumn id="7" xr3:uid="{4D6E4CCF-285D-4941-8027-EFCCF63C1623}" name="quality_score" dataDxfId="10"/>
    <tableColumn id="8" xr3:uid="{1605E2E4-C806-4514-A74A-2F8B3320B62F}" name="stability_score" dataDxfId="9"/>
    <tableColumn id="9" xr3:uid="{97BA0DC0-BEBE-4DD3-84F3-F139B988790E}" name="growth_score" dataDxfId="8"/>
    <tableColumn id="10" xr3:uid="{C67B3484-E330-45BA-9653-E32D6589350B}" name="allocation_score" dataDxfId="7"/>
    <tableColumn id="11" xr3:uid="{093C9CFD-306B-481D-A613-A2D7B8C2982C}" name="portfolio_decision" dataDxfId="6"/>
    <tableColumn id="12" xr3:uid="{7F2CD9A7-CB8F-4E68-8604-43C3051F91FE}" name="profitability_flag" dataDxfId="5">
      <calculatedColumnFormula>IF(C2&gt;0,"Profitable","Loss Making")</calculatedColumnFormula>
    </tableColumn>
    <tableColumn id="13" xr3:uid="{D51320FA-067E-4A58-93CF-A26BF25D3DE3}" name="volatility_flag" dataDxfId="4">
      <calculatedColumnFormula>IF(C2&gt;500000000,"High Volatility","Stable Earnings")</calculatedColumnFormula>
    </tableColumn>
    <tableColumn id="14" xr3:uid="{9B3ADDF4-3B42-4752-A646-5925A00D35C9}" name="earnings_quality_flag" dataDxfId="3">
      <calculatedColumnFormula>IF(G2&gt;=7,"High Quality",IF(G2&gt;=4,"Moderate","Low Quality"))</calculatedColumnFormula>
    </tableColumn>
    <tableColumn id="15" xr3:uid="{C5E48A97-626A-421A-AC9A-38F04056A922}" name="growth_authenticity" dataDxfId="2">
      <calculatedColumnFormula>IF(AND(F2&gt;0,D2&gt;0.6),"Operational Growth","Accounting Risk")</calculatedColumnFormula>
    </tableColumn>
    <tableColumn id="16" xr3:uid="{85B07973-F170-4D95-94DE-C5C98578B32C}" name="stability_flag" dataDxfId="0">
      <calculatedColumnFormula>IF(G2&gt;=7,"High Quality", IF(G2&gt;=4,"Moderate","Low Quality"))</calculatedColumnFormula>
    </tableColumn>
    <tableColumn id="17" xr3:uid="{AF2B811C-A820-4321-B38C-2CDA8467967F}" name="long_term_growth_flag" dataDxfId="1">
      <calculatedColumnFormula>IF(I2&gt;=4,"Strong Long-Term Growth",IF(I2&gt;=2,"Moderate Growth","Weak Growth"))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7C551D-FB4B-4A1D-B641-F5FC7D110550}">
  <dimension ref="A1:K2388"/>
  <sheetViews>
    <sheetView workbookViewId="0">
      <selection sqref="A1:XFD1048576"/>
    </sheetView>
  </sheetViews>
  <sheetFormatPr defaultRowHeight="14.5" x14ac:dyDescent="0.35"/>
  <cols>
    <col min="2" max="2" width="12.26953125" customWidth="1"/>
    <col min="3" max="3" width="16.54296875" customWidth="1"/>
    <col min="4" max="4" width="23.1796875" customWidth="1"/>
    <col min="5" max="5" width="20.90625" customWidth="1"/>
    <col min="6" max="6" width="15.90625" customWidth="1"/>
    <col min="7" max="7" width="14" customWidth="1"/>
    <col min="8" max="8" width="14.90625" customWidth="1"/>
    <col min="9" max="9" width="14.26953125" customWidth="1"/>
    <col min="10" max="10" width="16.453125" customWidth="1"/>
    <col min="11" max="11" width="18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35">
      <c r="A2" t="s">
        <v>11</v>
      </c>
      <c r="B2">
        <v>5</v>
      </c>
      <c r="C2">
        <v>-558131886.79999995</v>
      </c>
      <c r="D2">
        <v>0</v>
      </c>
      <c r="E2">
        <v>532565227.80000001</v>
      </c>
      <c r="F2">
        <v>-255644805.09999999</v>
      </c>
      <c r="G2">
        <v>5</v>
      </c>
      <c r="H2">
        <v>5</v>
      </c>
      <c r="I2">
        <v>5</v>
      </c>
      <c r="J2">
        <v>5</v>
      </c>
      <c r="K2" t="s">
        <v>12</v>
      </c>
    </row>
    <row r="3" spans="1:11" x14ac:dyDescent="0.35">
      <c r="A3" t="s">
        <v>13</v>
      </c>
      <c r="B3">
        <v>5</v>
      </c>
      <c r="C3">
        <v>-513733836.60000002</v>
      </c>
      <c r="D3">
        <v>0</v>
      </c>
      <c r="E3">
        <v>653276814.5</v>
      </c>
      <c r="F3">
        <v>-378802004.39999998</v>
      </c>
      <c r="G3">
        <v>5</v>
      </c>
      <c r="H3">
        <v>5</v>
      </c>
      <c r="I3">
        <v>5</v>
      </c>
      <c r="J3">
        <v>5</v>
      </c>
      <c r="K3" t="s">
        <v>12</v>
      </c>
    </row>
    <row r="4" spans="1:11" x14ac:dyDescent="0.35">
      <c r="A4" t="s">
        <v>14</v>
      </c>
      <c r="B4">
        <v>5</v>
      </c>
      <c r="C4">
        <v>-686998093.29999995</v>
      </c>
      <c r="D4">
        <v>0</v>
      </c>
      <c r="E4">
        <v>609032678.20000005</v>
      </c>
      <c r="F4">
        <v>-403672756.19999999</v>
      </c>
      <c r="G4">
        <v>5</v>
      </c>
      <c r="H4">
        <v>5</v>
      </c>
      <c r="I4">
        <v>5</v>
      </c>
      <c r="J4">
        <v>5</v>
      </c>
      <c r="K4" t="s">
        <v>12</v>
      </c>
    </row>
    <row r="5" spans="1:11" x14ac:dyDescent="0.35">
      <c r="A5" t="s">
        <v>15</v>
      </c>
      <c r="B5">
        <v>5</v>
      </c>
      <c r="C5">
        <v>-1148847201</v>
      </c>
      <c r="D5">
        <v>0</v>
      </c>
      <c r="E5">
        <v>1573015665</v>
      </c>
      <c r="F5">
        <v>-695946804.20000005</v>
      </c>
      <c r="G5">
        <v>5</v>
      </c>
      <c r="H5">
        <v>5</v>
      </c>
      <c r="I5">
        <v>5</v>
      </c>
      <c r="J5">
        <v>5</v>
      </c>
      <c r="K5" t="s">
        <v>12</v>
      </c>
    </row>
    <row r="6" spans="1:11" x14ac:dyDescent="0.35">
      <c r="A6" t="s">
        <v>16</v>
      </c>
      <c r="B6">
        <v>5</v>
      </c>
      <c r="C6">
        <v>-392230695.30000001</v>
      </c>
      <c r="D6">
        <v>0</v>
      </c>
      <c r="E6">
        <v>466350852.89999998</v>
      </c>
      <c r="F6">
        <v>-781667441.89999998</v>
      </c>
      <c r="G6">
        <v>5</v>
      </c>
      <c r="H6">
        <v>5</v>
      </c>
      <c r="I6">
        <v>5</v>
      </c>
      <c r="J6">
        <v>5</v>
      </c>
      <c r="K6" t="s">
        <v>12</v>
      </c>
    </row>
    <row r="7" spans="1:11" x14ac:dyDescent="0.35">
      <c r="A7" t="s">
        <v>17</v>
      </c>
      <c r="B7">
        <v>5</v>
      </c>
      <c r="C7">
        <v>-423429318</v>
      </c>
      <c r="D7">
        <v>0</v>
      </c>
      <c r="E7">
        <v>359416037.10000002</v>
      </c>
      <c r="F7">
        <v>-898199718.60000002</v>
      </c>
      <c r="G7">
        <v>5</v>
      </c>
      <c r="H7">
        <v>5</v>
      </c>
      <c r="I7">
        <v>5</v>
      </c>
      <c r="J7">
        <v>5</v>
      </c>
      <c r="K7" t="s">
        <v>12</v>
      </c>
    </row>
    <row r="8" spans="1:11" x14ac:dyDescent="0.35">
      <c r="A8" t="s">
        <v>18</v>
      </c>
      <c r="B8">
        <v>5</v>
      </c>
      <c r="C8">
        <v>-927083736.60000002</v>
      </c>
      <c r="D8">
        <v>0</v>
      </c>
      <c r="E8">
        <v>1202655418</v>
      </c>
      <c r="F8">
        <v>-1096588825</v>
      </c>
      <c r="G8">
        <v>5</v>
      </c>
      <c r="H8">
        <v>5</v>
      </c>
      <c r="I8">
        <v>5</v>
      </c>
      <c r="J8">
        <v>5</v>
      </c>
      <c r="K8" t="s">
        <v>12</v>
      </c>
    </row>
    <row r="9" spans="1:11" x14ac:dyDescent="0.35">
      <c r="A9" t="s">
        <v>19</v>
      </c>
      <c r="B9">
        <v>5</v>
      </c>
      <c r="C9">
        <v>-645391033.79999995</v>
      </c>
      <c r="D9">
        <v>0</v>
      </c>
      <c r="E9">
        <v>448963660.5</v>
      </c>
      <c r="F9">
        <v>-1235686486</v>
      </c>
      <c r="G9">
        <v>5</v>
      </c>
      <c r="H9">
        <v>5</v>
      </c>
      <c r="I9">
        <v>5</v>
      </c>
      <c r="J9">
        <v>5</v>
      </c>
      <c r="K9" t="s">
        <v>12</v>
      </c>
    </row>
    <row r="10" spans="1:11" x14ac:dyDescent="0.35">
      <c r="A10" t="s">
        <v>20</v>
      </c>
      <c r="B10">
        <v>5</v>
      </c>
      <c r="C10">
        <v>-2484944567</v>
      </c>
      <c r="D10">
        <v>0</v>
      </c>
      <c r="E10">
        <v>1704229745</v>
      </c>
      <c r="F10">
        <v>-1457234896</v>
      </c>
      <c r="G10">
        <v>5</v>
      </c>
      <c r="H10">
        <v>5</v>
      </c>
      <c r="I10">
        <v>5</v>
      </c>
      <c r="J10">
        <v>5</v>
      </c>
      <c r="K10" t="s">
        <v>12</v>
      </c>
    </row>
    <row r="11" spans="1:11" x14ac:dyDescent="0.35">
      <c r="A11" t="s">
        <v>21</v>
      </c>
      <c r="B11">
        <v>5</v>
      </c>
      <c r="C11">
        <v>-4626603152</v>
      </c>
      <c r="D11">
        <v>0</v>
      </c>
      <c r="E11">
        <v>4100787220</v>
      </c>
      <c r="F11">
        <v>-1633374858</v>
      </c>
      <c r="G11">
        <v>5</v>
      </c>
      <c r="H11">
        <v>5</v>
      </c>
      <c r="I11">
        <v>5</v>
      </c>
      <c r="J11">
        <v>5</v>
      </c>
      <c r="K11" t="s">
        <v>12</v>
      </c>
    </row>
    <row r="12" spans="1:11" x14ac:dyDescent="0.35">
      <c r="A12" t="s">
        <v>22</v>
      </c>
      <c r="B12">
        <v>5</v>
      </c>
      <c r="C12">
        <v>-277323609.19999999</v>
      </c>
      <c r="D12">
        <v>0</v>
      </c>
      <c r="E12">
        <v>177039059.30000001</v>
      </c>
      <c r="F12">
        <v>-413559040.60000002</v>
      </c>
      <c r="G12">
        <v>5</v>
      </c>
      <c r="H12">
        <v>4</v>
      </c>
      <c r="I12">
        <v>5</v>
      </c>
      <c r="J12">
        <v>4.7</v>
      </c>
      <c r="K12" t="s">
        <v>12</v>
      </c>
    </row>
    <row r="13" spans="1:11" x14ac:dyDescent="0.35">
      <c r="A13" t="s">
        <v>23</v>
      </c>
      <c r="B13">
        <v>5</v>
      </c>
      <c r="C13">
        <v>-374363160.5</v>
      </c>
      <c r="D13">
        <v>0</v>
      </c>
      <c r="E13">
        <v>218641711.09999999</v>
      </c>
      <c r="F13">
        <v>-415759193.19999999</v>
      </c>
      <c r="G13">
        <v>5</v>
      </c>
      <c r="H13">
        <v>4</v>
      </c>
      <c r="I13">
        <v>5</v>
      </c>
      <c r="J13">
        <v>4.7</v>
      </c>
      <c r="K13" t="s">
        <v>12</v>
      </c>
    </row>
    <row r="14" spans="1:11" x14ac:dyDescent="0.35">
      <c r="A14" t="s">
        <v>24</v>
      </c>
      <c r="B14">
        <v>5</v>
      </c>
      <c r="C14">
        <v>-342110085.89999998</v>
      </c>
      <c r="D14">
        <v>0</v>
      </c>
      <c r="E14">
        <v>172032835.40000001</v>
      </c>
      <c r="F14">
        <v>-433678450.60000002</v>
      </c>
      <c r="G14">
        <v>5</v>
      </c>
      <c r="H14">
        <v>4</v>
      </c>
      <c r="I14">
        <v>5</v>
      </c>
      <c r="J14">
        <v>4.7</v>
      </c>
      <c r="K14" t="s">
        <v>12</v>
      </c>
    </row>
    <row r="15" spans="1:11" x14ac:dyDescent="0.35">
      <c r="A15" t="s">
        <v>25</v>
      </c>
      <c r="B15">
        <v>5</v>
      </c>
      <c r="C15">
        <v>-197358377.19999999</v>
      </c>
      <c r="D15">
        <v>0</v>
      </c>
      <c r="E15">
        <v>170482245.80000001</v>
      </c>
      <c r="F15">
        <v>-409071846.60000002</v>
      </c>
      <c r="G15">
        <v>5</v>
      </c>
      <c r="H15">
        <v>4</v>
      </c>
      <c r="I15">
        <v>5</v>
      </c>
      <c r="J15">
        <v>4.7</v>
      </c>
      <c r="K15" t="s">
        <v>12</v>
      </c>
    </row>
    <row r="16" spans="1:11" x14ac:dyDescent="0.35">
      <c r="A16" t="s">
        <v>26</v>
      </c>
      <c r="B16">
        <v>5</v>
      </c>
      <c r="C16">
        <v>-444801121.80000001</v>
      </c>
      <c r="D16">
        <v>0</v>
      </c>
      <c r="E16">
        <v>187857758.19999999</v>
      </c>
      <c r="F16">
        <v>-469262589.10000002</v>
      </c>
      <c r="G16">
        <v>5</v>
      </c>
      <c r="H16">
        <v>4</v>
      </c>
      <c r="I16">
        <v>5</v>
      </c>
      <c r="J16">
        <v>4.7</v>
      </c>
      <c r="K16" t="s">
        <v>12</v>
      </c>
    </row>
    <row r="17" spans="1:11" x14ac:dyDescent="0.35">
      <c r="A17" t="s">
        <v>27</v>
      </c>
      <c r="B17">
        <v>5</v>
      </c>
      <c r="C17">
        <v>-162669901.80000001</v>
      </c>
      <c r="D17">
        <v>0</v>
      </c>
      <c r="E17">
        <v>242356540</v>
      </c>
      <c r="F17">
        <v>-562760947.10000002</v>
      </c>
      <c r="G17">
        <v>5</v>
      </c>
      <c r="H17">
        <v>4</v>
      </c>
      <c r="I17">
        <v>5</v>
      </c>
      <c r="J17">
        <v>4.7</v>
      </c>
      <c r="K17" t="s">
        <v>12</v>
      </c>
    </row>
    <row r="18" spans="1:11" x14ac:dyDescent="0.35">
      <c r="A18" t="s">
        <v>28</v>
      </c>
      <c r="B18">
        <v>5</v>
      </c>
      <c r="C18">
        <v>-291015557.89999998</v>
      </c>
      <c r="D18">
        <v>0</v>
      </c>
      <c r="E18">
        <v>223743184.09999999</v>
      </c>
      <c r="F18">
        <v>-581161648</v>
      </c>
      <c r="G18">
        <v>5</v>
      </c>
      <c r="H18">
        <v>4</v>
      </c>
      <c r="I18">
        <v>5</v>
      </c>
      <c r="J18">
        <v>4.7</v>
      </c>
      <c r="K18" t="s">
        <v>12</v>
      </c>
    </row>
    <row r="19" spans="1:11" x14ac:dyDescent="0.35">
      <c r="A19" t="s">
        <v>29</v>
      </c>
      <c r="B19">
        <v>5</v>
      </c>
      <c r="C19">
        <v>-490051368.60000002</v>
      </c>
      <c r="D19">
        <v>0</v>
      </c>
      <c r="E19">
        <v>266718352.90000001</v>
      </c>
      <c r="F19">
        <v>-593051187.29999995</v>
      </c>
      <c r="G19">
        <v>5</v>
      </c>
      <c r="H19">
        <v>4</v>
      </c>
      <c r="I19">
        <v>5</v>
      </c>
      <c r="J19">
        <v>4.7</v>
      </c>
      <c r="K19" t="s">
        <v>12</v>
      </c>
    </row>
    <row r="20" spans="1:11" x14ac:dyDescent="0.35">
      <c r="A20" t="s">
        <v>30</v>
      </c>
      <c r="B20">
        <v>5</v>
      </c>
      <c r="C20">
        <v>-477573542.89999998</v>
      </c>
      <c r="D20">
        <v>0</v>
      </c>
      <c r="E20">
        <v>149425859</v>
      </c>
      <c r="F20">
        <v>-395504941.89999998</v>
      </c>
      <c r="G20">
        <v>5</v>
      </c>
      <c r="H20">
        <v>4</v>
      </c>
      <c r="I20">
        <v>5</v>
      </c>
      <c r="J20">
        <v>4.7</v>
      </c>
      <c r="K20" t="s">
        <v>12</v>
      </c>
    </row>
    <row r="21" spans="1:11" x14ac:dyDescent="0.35">
      <c r="A21" t="s">
        <v>31</v>
      </c>
      <c r="B21">
        <v>5</v>
      </c>
      <c r="C21">
        <v>-204725891.09999999</v>
      </c>
      <c r="D21">
        <v>0</v>
      </c>
      <c r="E21">
        <v>150683190.59999999</v>
      </c>
      <c r="F21">
        <v>-387438892.30000001</v>
      </c>
      <c r="G21">
        <v>5</v>
      </c>
      <c r="H21">
        <v>4</v>
      </c>
      <c r="I21">
        <v>5</v>
      </c>
      <c r="J21">
        <v>4.7</v>
      </c>
      <c r="K21" t="s">
        <v>12</v>
      </c>
    </row>
    <row r="22" spans="1:11" x14ac:dyDescent="0.35">
      <c r="A22" t="s">
        <v>32</v>
      </c>
      <c r="B22">
        <v>5</v>
      </c>
      <c r="C22">
        <v>-286661063.60000002</v>
      </c>
      <c r="D22">
        <v>0</v>
      </c>
      <c r="E22">
        <v>174310545</v>
      </c>
      <c r="F22">
        <v>-374392571.19999999</v>
      </c>
      <c r="G22">
        <v>5</v>
      </c>
      <c r="H22">
        <v>4</v>
      </c>
      <c r="I22">
        <v>5</v>
      </c>
      <c r="J22">
        <v>4.7</v>
      </c>
      <c r="K22" t="s">
        <v>12</v>
      </c>
    </row>
    <row r="23" spans="1:11" x14ac:dyDescent="0.35">
      <c r="A23" t="s">
        <v>33</v>
      </c>
      <c r="B23">
        <v>5</v>
      </c>
      <c r="C23">
        <v>-191445892.80000001</v>
      </c>
      <c r="D23">
        <v>0</v>
      </c>
      <c r="E23">
        <v>161745680.59999999</v>
      </c>
      <c r="F23">
        <v>-326884236.60000002</v>
      </c>
      <c r="G23">
        <v>5</v>
      </c>
      <c r="H23">
        <v>4</v>
      </c>
      <c r="I23">
        <v>5</v>
      </c>
      <c r="J23">
        <v>4.7</v>
      </c>
      <c r="K23" t="s">
        <v>12</v>
      </c>
    </row>
    <row r="24" spans="1:11" x14ac:dyDescent="0.35">
      <c r="A24" t="s">
        <v>34</v>
      </c>
      <c r="B24">
        <v>5</v>
      </c>
      <c r="C24">
        <v>-471077745</v>
      </c>
      <c r="D24">
        <v>0</v>
      </c>
      <c r="E24">
        <v>143282853.09999999</v>
      </c>
      <c r="F24">
        <v>-355839490.10000002</v>
      </c>
      <c r="G24">
        <v>5</v>
      </c>
      <c r="H24">
        <v>4</v>
      </c>
      <c r="I24">
        <v>5</v>
      </c>
      <c r="J24">
        <v>4.7</v>
      </c>
      <c r="K24" t="s">
        <v>12</v>
      </c>
    </row>
    <row r="25" spans="1:11" x14ac:dyDescent="0.35">
      <c r="A25" t="s">
        <v>35</v>
      </c>
      <c r="B25">
        <v>5</v>
      </c>
      <c r="C25">
        <v>-228339799.80000001</v>
      </c>
      <c r="D25">
        <v>0</v>
      </c>
      <c r="E25">
        <v>154293816</v>
      </c>
      <c r="F25">
        <v>-282281669.39999998</v>
      </c>
      <c r="G25">
        <v>5</v>
      </c>
      <c r="H25">
        <v>4</v>
      </c>
      <c r="I25">
        <v>5</v>
      </c>
      <c r="J25">
        <v>4.7</v>
      </c>
      <c r="K25" t="s">
        <v>12</v>
      </c>
    </row>
    <row r="26" spans="1:11" x14ac:dyDescent="0.35">
      <c r="A26" t="s">
        <v>36</v>
      </c>
      <c r="B26">
        <v>5</v>
      </c>
      <c r="C26">
        <v>-255678686.5</v>
      </c>
      <c r="D26">
        <v>0</v>
      </c>
      <c r="E26">
        <v>123221523.40000001</v>
      </c>
      <c r="F26">
        <v>-287691386</v>
      </c>
      <c r="G26">
        <v>5</v>
      </c>
      <c r="H26">
        <v>4</v>
      </c>
      <c r="I26">
        <v>5</v>
      </c>
      <c r="J26">
        <v>4.7</v>
      </c>
      <c r="K26" t="s">
        <v>12</v>
      </c>
    </row>
    <row r="27" spans="1:11" x14ac:dyDescent="0.35">
      <c r="A27" t="s">
        <v>37</v>
      </c>
      <c r="B27">
        <v>5</v>
      </c>
      <c r="C27">
        <v>-206205473.69999999</v>
      </c>
      <c r="D27">
        <v>0</v>
      </c>
      <c r="E27">
        <v>120489469.09999999</v>
      </c>
      <c r="F27">
        <v>-295102705.19999999</v>
      </c>
      <c r="G27">
        <v>5</v>
      </c>
      <c r="H27">
        <v>4</v>
      </c>
      <c r="I27">
        <v>5</v>
      </c>
      <c r="J27">
        <v>4.7</v>
      </c>
      <c r="K27" t="s">
        <v>12</v>
      </c>
    </row>
    <row r="28" spans="1:11" x14ac:dyDescent="0.35">
      <c r="A28" t="s">
        <v>38</v>
      </c>
      <c r="B28">
        <v>5</v>
      </c>
      <c r="C28">
        <v>-230512520.09999999</v>
      </c>
      <c r="D28">
        <v>0</v>
      </c>
      <c r="E28">
        <v>159050010.5</v>
      </c>
      <c r="F28">
        <v>-321675186.60000002</v>
      </c>
      <c r="G28">
        <v>5</v>
      </c>
      <c r="H28">
        <v>4</v>
      </c>
      <c r="I28">
        <v>5</v>
      </c>
      <c r="J28">
        <v>4.7</v>
      </c>
      <c r="K28" t="s">
        <v>12</v>
      </c>
    </row>
    <row r="29" spans="1:11" x14ac:dyDescent="0.35">
      <c r="A29" t="s">
        <v>39</v>
      </c>
      <c r="B29">
        <v>5</v>
      </c>
      <c r="C29">
        <v>-509974708.30000001</v>
      </c>
      <c r="D29">
        <v>0</v>
      </c>
      <c r="E29">
        <v>325497046.10000002</v>
      </c>
      <c r="F29">
        <v>-140158928.40000001</v>
      </c>
      <c r="G29">
        <v>5</v>
      </c>
      <c r="H29">
        <v>4</v>
      </c>
      <c r="I29">
        <v>5</v>
      </c>
      <c r="J29">
        <v>4.7</v>
      </c>
      <c r="K29" t="s">
        <v>12</v>
      </c>
    </row>
    <row r="30" spans="1:11" x14ac:dyDescent="0.35">
      <c r="A30" t="s">
        <v>40</v>
      </c>
      <c r="B30">
        <v>5</v>
      </c>
      <c r="C30">
        <v>-419180175.5</v>
      </c>
      <c r="D30">
        <v>0</v>
      </c>
      <c r="E30">
        <v>227266696.19999999</v>
      </c>
      <c r="F30">
        <v>-153618641.80000001</v>
      </c>
      <c r="G30">
        <v>5</v>
      </c>
      <c r="H30">
        <v>4</v>
      </c>
      <c r="I30">
        <v>5</v>
      </c>
      <c r="J30">
        <v>4.7</v>
      </c>
      <c r="K30" t="s">
        <v>12</v>
      </c>
    </row>
    <row r="31" spans="1:11" x14ac:dyDescent="0.35">
      <c r="A31" t="s">
        <v>41</v>
      </c>
      <c r="B31">
        <v>5</v>
      </c>
      <c r="C31">
        <v>-195749790.59999999</v>
      </c>
      <c r="D31">
        <v>0</v>
      </c>
      <c r="E31">
        <v>134604172.90000001</v>
      </c>
      <c r="F31">
        <v>-173162426.80000001</v>
      </c>
      <c r="G31">
        <v>5</v>
      </c>
      <c r="H31">
        <v>4</v>
      </c>
      <c r="I31">
        <v>5</v>
      </c>
      <c r="J31">
        <v>4.7</v>
      </c>
      <c r="K31" t="s">
        <v>12</v>
      </c>
    </row>
    <row r="32" spans="1:11" x14ac:dyDescent="0.35">
      <c r="A32" t="s">
        <v>42</v>
      </c>
      <c r="B32">
        <v>5</v>
      </c>
      <c r="C32">
        <v>-468423770.69999999</v>
      </c>
      <c r="D32">
        <v>0</v>
      </c>
      <c r="E32">
        <v>198064049.19999999</v>
      </c>
      <c r="F32">
        <v>-184187130.59999999</v>
      </c>
      <c r="G32">
        <v>5</v>
      </c>
      <c r="H32">
        <v>4</v>
      </c>
      <c r="I32">
        <v>5</v>
      </c>
      <c r="J32">
        <v>4.7</v>
      </c>
      <c r="K32" t="s">
        <v>12</v>
      </c>
    </row>
    <row r="33" spans="1:11" x14ac:dyDescent="0.35">
      <c r="A33" t="s">
        <v>43</v>
      </c>
      <c r="B33">
        <v>5</v>
      </c>
      <c r="C33">
        <v>-287341135.69999999</v>
      </c>
      <c r="D33">
        <v>0</v>
      </c>
      <c r="E33">
        <v>269529630.89999998</v>
      </c>
      <c r="F33">
        <v>-210762026.69999999</v>
      </c>
      <c r="G33">
        <v>5</v>
      </c>
      <c r="H33">
        <v>4</v>
      </c>
      <c r="I33">
        <v>5</v>
      </c>
      <c r="J33">
        <v>4.7</v>
      </c>
      <c r="K33" t="s">
        <v>12</v>
      </c>
    </row>
    <row r="34" spans="1:11" x14ac:dyDescent="0.35">
      <c r="A34" t="s">
        <v>44</v>
      </c>
      <c r="B34">
        <v>5</v>
      </c>
      <c r="C34">
        <v>-206142963.69999999</v>
      </c>
      <c r="D34">
        <v>0</v>
      </c>
      <c r="E34">
        <v>113929235.3</v>
      </c>
      <c r="F34">
        <v>-216073443.09999999</v>
      </c>
      <c r="G34">
        <v>5</v>
      </c>
      <c r="H34">
        <v>4</v>
      </c>
      <c r="I34">
        <v>5</v>
      </c>
      <c r="J34">
        <v>4.7</v>
      </c>
      <c r="K34" t="s">
        <v>12</v>
      </c>
    </row>
    <row r="35" spans="1:11" x14ac:dyDescent="0.35">
      <c r="A35" t="s">
        <v>45</v>
      </c>
      <c r="B35">
        <v>5</v>
      </c>
      <c r="C35">
        <v>-134554472</v>
      </c>
      <c r="D35">
        <v>0</v>
      </c>
      <c r="E35">
        <v>130472236.2</v>
      </c>
      <c r="F35">
        <v>-218541692.69999999</v>
      </c>
      <c r="G35">
        <v>5</v>
      </c>
      <c r="H35">
        <v>4</v>
      </c>
      <c r="I35">
        <v>5</v>
      </c>
      <c r="J35">
        <v>4.7</v>
      </c>
      <c r="K35" t="s">
        <v>12</v>
      </c>
    </row>
    <row r="36" spans="1:11" x14ac:dyDescent="0.35">
      <c r="A36" t="s">
        <v>46</v>
      </c>
      <c r="B36">
        <v>5</v>
      </c>
      <c r="C36">
        <v>-515959037.39999998</v>
      </c>
      <c r="D36">
        <v>0</v>
      </c>
      <c r="E36">
        <v>182836209.80000001</v>
      </c>
      <c r="F36">
        <v>-246222573.90000001</v>
      </c>
      <c r="G36">
        <v>5</v>
      </c>
      <c r="H36">
        <v>4</v>
      </c>
      <c r="I36">
        <v>5</v>
      </c>
      <c r="J36">
        <v>4.7</v>
      </c>
      <c r="K36" t="s">
        <v>12</v>
      </c>
    </row>
    <row r="37" spans="1:11" x14ac:dyDescent="0.35">
      <c r="A37" t="s">
        <v>47</v>
      </c>
      <c r="B37">
        <v>5</v>
      </c>
      <c r="C37">
        <v>-208644486.80000001</v>
      </c>
      <c r="D37">
        <v>0</v>
      </c>
      <c r="E37">
        <v>187831568.80000001</v>
      </c>
      <c r="F37">
        <v>-120166995.2</v>
      </c>
      <c r="G37">
        <v>5</v>
      </c>
      <c r="H37">
        <v>4</v>
      </c>
      <c r="I37">
        <v>5</v>
      </c>
      <c r="J37">
        <v>4.7</v>
      </c>
      <c r="K37" t="s">
        <v>12</v>
      </c>
    </row>
    <row r="38" spans="1:11" x14ac:dyDescent="0.35">
      <c r="A38" t="s">
        <v>48</v>
      </c>
      <c r="B38">
        <v>5</v>
      </c>
      <c r="C38">
        <v>-165012641.40000001</v>
      </c>
      <c r="D38">
        <v>0</v>
      </c>
      <c r="E38">
        <v>181384619.30000001</v>
      </c>
      <c r="F38">
        <v>-122700389.2</v>
      </c>
      <c r="G38">
        <v>5</v>
      </c>
      <c r="H38">
        <v>4</v>
      </c>
      <c r="I38">
        <v>5</v>
      </c>
      <c r="J38">
        <v>4.7</v>
      </c>
      <c r="K38" t="s">
        <v>12</v>
      </c>
    </row>
    <row r="39" spans="1:11" x14ac:dyDescent="0.35">
      <c r="A39" t="s">
        <v>49</v>
      </c>
      <c r="B39">
        <v>5</v>
      </c>
      <c r="C39">
        <v>-158391916.90000001</v>
      </c>
      <c r="D39">
        <v>0</v>
      </c>
      <c r="E39">
        <v>170986830.09999999</v>
      </c>
      <c r="F39">
        <v>-51033637.5</v>
      </c>
      <c r="G39">
        <v>5</v>
      </c>
      <c r="H39">
        <v>4</v>
      </c>
      <c r="I39">
        <v>4</v>
      </c>
      <c r="J39">
        <v>4.5</v>
      </c>
      <c r="K39" t="s">
        <v>12</v>
      </c>
    </row>
    <row r="40" spans="1:11" x14ac:dyDescent="0.35">
      <c r="A40" t="s">
        <v>50</v>
      </c>
      <c r="B40">
        <v>5</v>
      </c>
      <c r="C40">
        <v>-217593539.19999999</v>
      </c>
      <c r="D40">
        <v>0</v>
      </c>
      <c r="E40">
        <v>121649135.8</v>
      </c>
      <c r="F40">
        <v>-58909459.600000001</v>
      </c>
      <c r="G40">
        <v>5</v>
      </c>
      <c r="H40">
        <v>4</v>
      </c>
      <c r="I40">
        <v>4</v>
      </c>
      <c r="J40">
        <v>4.5</v>
      </c>
      <c r="K40" t="s">
        <v>12</v>
      </c>
    </row>
    <row r="41" spans="1:11" x14ac:dyDescent="0.35">
      <c r="A41" t="s">
        <v>51</v>
      </c>
      <c r="B41">
        <v>5</v>
      </c>
      <c r="C41">
        <v>-1036173042</v>
      </c>
      <c r="D41">
        <v>0</v>
      </c>
      <c r="E41">
        <v>372288594.30000001</v>
      </c>
      <c r="F41">
        <v>-222811869</v>
      </c>
      <c r="G41">
        <v>4</v>
      </c>
      <c r="H41">
        <v>5</v>
      </c>
      <c r="I41">
        <v>5</v>
      </c>
      <c r="J41">
        <v>4.5</v>
      </c>
      <c r="K41" t="s">
        <v>12</v>
      </c>
    </row>
    <row r="42" spans="1:11" x14ac:dyDescent="0.35">
      <c r="A42" t="s">
        <v>52</v>
      </c>
      <c r="B42">
        <v>5</v>
      </c>
      <c r="C42">
        <v>-343351126.19999999</v>
      </c>
      <c r="D42">
        <v>0.2</v>
      </c>
      <c r="E42">
        <v>387118277.19999999</v>
      </c>
      <c r="F42">
        <v>-170194962.69999999</v>
      </c>
      <c r="G42">
        <v>4</v>
      </c>
      <c r="H42">
        <v>5</v>
      </c>
      <c r="I42">
        <v>5</v>
      </c>
      <c r="J42">
        <v>4.5</v>
      </c>
      <c r="K42" t="s">
        <v>12</v>
      </c>
    </row>
    <row r="43" spans="1:11" x14ac:dyDescent="0.35">
      <c r="A43" t="s">
        <v>53</v>
      </c>
      <c r="B43">
        <v>5</v>
      </c>
      <c r="C43">
        <v>-154620702.30000001</v>
      </c>
      <c r="D43">
        <v>0.4</v>
      </c>
      <c r="E43">
        <v>389934026.10000002</v>
      </c>
      <c r="F43">
        <v>-159133230.30000001</v>
      </c>
      <c r="G43">
        <v>4</v>
      </c>
      <c r="H43">
        <v>5</v>
      </c>
      <c r="I43">
        <v>5</v>
      </c>
      <c r="J43">
        <v>4.5</v>
      </c>
      <c r="K43" t="s">
        <v>12</v>
      </c>
    </row>
    <row r="44" spans="1:11" x14ac:dyDescent="0.35">
      <c r="A44" t="s">
        <v>54</v>
      </c>
      <c r="B44">
        <v>5</v>
      </c>
      <c r="C44">
        <v>-2935262280</v>
      </c>
      <c r="D44">
        <v>0</v>
      </c>
      <c r="E44">
        <v>5875097576</v>
      </c>
      <c r="F44">
        <v>-123347593.8</v>
      </c>
      <c r="G44">
        <v>4</v>
      </c>
      <c r="H44">
        <v>5</v>
      </c>
      <c r="I44">
        <v>5</v>
      </c>
      <c r="J44">
        <v>4.5</v>
      </c>
      <c r="K44" t="s">
        <v>12</v>
      </c>
    </row>
    <row r="45" spans="1:11" x14ac:dyDescent="0.35">
      <c r="A45" t="s">
        <v>55</v>
      </c>
      <c r="B45">
        <v>5</v>
      </c>
      <c r="C45">
        <v>-1952082794</v>
      </c>
      <c r="D45">
        <v>0.4</v>
      </c>
      <c r="E45">
        <v>3695998989</v>
      </c>
      <c r="F45">
        <v>-139062011</v>
      </c>
      <c r="G45">
        <v>4</v>
      </c>
      <c r="H45">
        <v>5</v>
      </c>
      <c r="I45">
        <v>5</v>
      </c>
      <c r="J45">
        <v>4.5</v>
      </c>
      <c r="K45" t="s">
        <v>12</v>
      </c>
    </row>
    <row r="46" spans="1:11" x14ac:dyDescent="0.35">
      <c r="A46" t="s">
        <v>56</v>
      </c>
      <c r="B46">
        <v>5</v>
      </c>
      <c r="C46">
        <v>-98315633.620000005</v>
      </c>
      <c r="D46">
        <v>0.4</v>
      </c>
      <c r="E46">
        <v>1807975644</v>
      </c>
      <c r="F46">
        <v>-339517911.39999998</v>
      </c>
      <c r="G46">
        <v>4</v>
      </c>
      <c r="H46">
        <v>5</v>
      </c>
      <c r="I46">
        <v>5</v>
      </c>
      <c r="J46">
        <v>4.5</v>
      </c>
      <c r="K46" t="s">
        <v>12</v>
      </c>
    </row>
    <row r="47" spans="1:11" x14ac:dyDescent="0.35">
      <c r="A47" t="s">
        <v>57</v>
      </c>
      <c r="B47">
        <v>5</v>
      </c>
      <c r="C47">
        <v>-380571457.10000002</v>
      </c>
      <c r="D47">
        <v>0.2</v>
      </c>
      <c r="E47">
        <v>806354122.89999998</v>
      </c>
      <c r="F47">
        <v>-371322414.89999998</v>
      </c>
      <c r="G47">
        <v>4</v>
      </c>
      <c r="H47">
        <v>5</v>
      </c>
      <c r="I47">
        <v>5</v>
      </c>
      <c r="J47">
        <v>4.5</v>
      </c>
      <c r="K47" t="s">
        <v>12</v>
      </c>
    </row>
    <row r="48" spans="1:11" x14ac:dyDescent="0.35">
      <c r="A48" t="s">
        <v>58</v>
      </c>
      <c r="B48">
        <v>5</v>
      </c>
      <c r="C48">
        <v>-47112545.280000001</v>
      </c>
      <c r="D48">
        <v>0.2</v>
      </c>
      <c r="E48">
        <v>492181518.69999999</v>
      </c>
      <c r="F48">
        <v>-407861565.5</v>
      </c>
      <c r="G48">
        <v>4</v>
      </c>
      <c r="H48">
        <v>5</v>
      </c>
      <c r="I48">
        <v>5</v>
      </c>
      <c r="J48">
        <v>4.5</v>
      </c>
      <c r="K48" t="s">
        <v>12</v>
      </c>
    </row>
    <row r="49" spans="1:11" x14ac:dyDescent="0.35">
      <c r="A49" t="s">
        <v>59</v>
      </c>
      <c r="B49">
        <v>5</v>
      </c>
      <c r="C49">
        <v>170246584.59999999</v>
      </c>
      <c r="D49">
        <v>0.4</v>
      </c>
      <c r="E49">
        <v>933648553.89999998</v>
      </c>
      <c r="F49">
        <v>-399422082.5</v>
      </c>
      <c r="G49">
        <v>4</v>
      </c>
      <c r="H49">
        <v>5</v>
      </c>
      <c r="I49">
        <v>5</v>
      </c>
      <c r="J49">
        <v>4.5</v>
      </c>
      <c r="K49" t="s">
        <v>12</v>
      </c>
    </row>
    <row r="50" spans="1:11" x14ac:dyDescent="0.35">
      <c r="A50" t="s">
        <v>60</v>
      </c>
      <c r="B50">
        <v>5</v>
      </c>
      <c r="C50">
        <v>-264558550</v>
      </c>
      <c r="D50">
        <v>0.4</v>
      </c>
      <c r="E50">
        <v>774469104.10000002</v>
      </c>
      <c r="F50">
        <v>-416506408.60000002</v>
      </c>
      <c r="G50">
        <v>4</v>
      </c>
      <c r="H50">
        <v>5</v>
      </c>
      <c r="I50">
        <v>5</v>
      </c>
      <c r="J50">
        <v>4.5</v>
      </c>
      <c r="K50" t="s">
        <v>12</v>
      </c>
    </row>
    <row r="51" spans="1:11" x14ac:dyDescent="0.35">
      <c r="A51" t="s">
        <v>61</v>
      </c>
      <c r="B51">
        <v>5</v>
      </c>
      <c r="C51">
        <v>-796873393.70000005</v>
      </c>
      <c r="D51">
        <v>0</v>
      </c>
      <c r="E51">
        <v>382108447.89999998</v>
      </c>
      <c r="F51">
        <v>-763164400.79999995</v>
      </c>
      <c r="G51">
        <v>4</v>
      </c>
      <c r="H51">
        <v>5</v>
      </c>
      <c r="I51">
        <v>5</v>
      </c>
      <c r="J51">
        <v>4.5</v>
      </c>
      <c r="K51" t="s">
        <v>12</v>
      </c>
    </row>
    <row r="52" spans="1:11" x14ac:dyDescent="0.35">
      <c r="A52" t="s">
        <v>62</v>
      </c>
      <c r="B52">
        <v>5</v>
      </c>
      <c r="C52">
        <v>-343093841</v>
      </c>
      <c r="D52">
        <v>0.2</v>
      </c>
      <c r="E52">
        <v>703510087.60000002</v>
      </c>
      <c r="F52">
        <v>-857686159.5</v>
      </c>
      <c r="G52">
        <v>4</v>
      </c>
      <c r="H52">
        <v>5</v>
      </c>
      <c r="I52">
        <v>5</v>
      </c>
      <c r="J52">
        <v>4.5</v>
      </c>
      <c r="K52" t="s">
        <v>12</v>
      </c>
    </row>
    <row r="53" spans="1:11" x14ac:dyDescent="0.35">
      <c r="A53" t="s">
        <v>63</v>
      </c>
      <c r="B53">
        <v>5</v>
      </c>
      <c r="C53">
        <v>-320422202.19999999</v>
      </c>
      <c r="D53">
        <v>0.2</v>
      </c>
      <c r="E53">
        <v>376102412.39999998</v>
      </c>
      <c r="F53">
        <v>-812657260.5</v>
      </c>
      <c r="G53">
        <v>4</v>
      </c>
      <c r="H53">
        <v>5</v>
      </c>
      <c r="I53">
        <v>5</v>
      </c>
      <c r="J53">
        <v>4.5</v>
      </c>
      <c r="K53" t="s">
        <v>12</v>
      </c>
    </row>
    <row r="54" spans="1:11" x14ac:dyDescent="0.35">
      <c r="A54" t="s">
        <v>64</v>
      </c>
      <c r="B54">
        <v>5</v>
      </c>
      <c r="C54">
        <v>-1920606470</v>
      </c>
      <c r="D54">
        <v>0.4</v>
      </c>
      <c r="E54">
        <v>2401113086</v>
      </c>
      <c r="F54">
        <v>-754658384.20000005</v>
      </c>
      <c r="G54">
        <v>4</v>
      </c>
      <c r="H54">
        <v>5</v>
      </c>
      <c r="I54">
        <v>5</v>
      </c>
      <c r="J54">
        <v>4.5</v>
      </c>
      <c r="K54" t="s">
        <v>12</v>
      </c>
    </row>
    <row r="55" spans="1:11" x14ac:dyDescent="0.35">
      <c r="A55" t="s">
        <v>65</v>
      </c>
      <c r="B55">
        <v>5</v>
      </c>
      <c r="C55">
        <v>-601473653.60000002</v>
      </c>
      <c r="D55">
        <v>0.2</v>
      </c>
      <c r="E55">
        <v>548359115.10000002</v>
      </c>
      <c r="F55">
        <v>-678654740.29999995</v>
      </c>
      <c r="G55">
        <v>4</v>
      </c>
      <c r="H55">
        <v>5</v>
      </c>
      <c r="I55">
        <v>5</v>
      </c>
      <c r="J55">
        <v>4.5</v>
      </c>
      <c r="K55" t="s">
        <v>12</v>
      </c>
    </row>
    <row r="56" spans="1:11" x14ac:dyDescent="0.35">
      <c r="A56" t="s">
        <v>66</v>
      </c>
      <c r="B56">
        <v>5</v>
      </c>
      <c r="C56">
        <v>-209656530.19999999</v>
      </c>
      <c r="D56">
        <v>0.2</v>
      </c>
      <c r="E56">
        <v>387146354</v>
      </c>
      <c r="F56">
        <v>-646239773.89999998</v>
      </c>
      <c r="G56">
        <v>4</v>
      </c>
      <c r="H56">
        <v>5</v>
      </c>
      <c r="I56">
        <v>5</v>
      </c>
      <c r="J56">
        <v>4.5</v>
      </c>
      <c r="K56" t="s">
        <v>12</v>
      </c>
    </row>
    <row r="57" spans="1:11" x14ac:dyDescent="0.35">
      <c r="A57" t="s">
        <v>67</v>
      </c>
      <c r="B57">
        <v>5</v>
      </c>
      <c r="C57">
        <v>-333374555</v>
      </c>
      <c r="D57">
        <v>0.4</v>
      </c>
      <c r="E57">
        <v>727306157.20000005</v>
      </c>
      <c r="F57">
        <v>-1640133686</v>
      </c>
      <c r="G57">
        <v>4</v>
      </c>
      <c r="H57">
        <v>5</v>
      </c>
      <c r="I57">
        <v>5</v>
      </c>
      <c r="J57">
        <v>4.5</v>
      </c>
      <c r="K57" t="s">
        <v>12</v>
      </c>
    </row>
    <row r="58" spans="1:11" x14ac:dyDescent="0.35">
      <c r="A58" t="s">
        <v>68</v>
      </c>
      <c r="B58">
        <v>5</v>
      </c>
      <c r="C58">
        <v>-1257502870</v>
      </c>
      <c r="D58">
        <v>0.2</v>
      </c>
      <c r="E58">
        <v>1383245232</v>
      </c>
      <c r="F58">
        <v>-1987481015</v>
      </c>
      <c r="G58">
        <v>4</v>
      </c>
      <c r="H58">
        <v>5</v>
      </c>
      <c r="I58">
        <v>5</v>
      </c>
      <c r="J58">
        <v>4.5</v>
      </c>
      <c r="K58" t="s">
        <v>12</v>
      </c>
    </row>
    <row r="59" spans="1:11" x14ac:dyDescent="0.35">
      <c r="A59" t="s">
        <v>69</v>
      </c>
      <c r="B59">
        <v>5</v>
      </c>
      <c r="C59">
        <v>-687703007.39999998</v>
      </c>
      <c r="D59">
        <v>0.2</v>
      </c>
      <c r="E59">
        <v>860872417.79999995</v>
      </c>
      <c r="F59">
        <v>-1237790709</v>
      </c>
      <c r="G59">
        <v>4</v>
      </c>
      <c r="H59">
        <v>5</v>
      </c>
      <c r="I59">
        <v>5</v>
      </c>
      <c r="J59">
        <v>4.5</v>
      </c>
      <c r="K59" t="s">
        <v>12</v>
      </c>
    </row>
    <row r="60" spans="1:11" x14ac:dyDescent="0.35">
      <c r="A60" t="s">
        <v>70</v>
      </c>
      <c r="B60">
        <v>5</v>
      </c>
      <c r="C60">
        <v>-410095984.89999998</v>
      </c>
      <c r="D60">
        <v>0.2</v>
      </c>
      <c r="E60">
        <v>535812538.89999998</v>
      </c>
      <c r="F60">
        <v>-1122796210</v>
      </c>
      <c r="G60">
        <v>4</v>
      </c>
      <c r="H60">
        <v>5</v>
      </c>
      <c r="I60">
        <v>5</v>
      </c>
      <c r="J60">
        <v>4.5</v>
      </c>
      <c r="K60" t="s">
        <v>12</v>
      </c>
    </row>
    <row r="61" spans="1:11" x14ac:dyDescent="0.35">
      <c r="A61" t="s">
        <v>71</v>
      </c>
      <c r="B61">
        <v>5</v>
      </c>
      <c r="C61">
        <v>-460372121.89999998</v>
      </c>
      <c r="D61">
        <v>0.2</v>
      </c>
      <c r="E61">
        <v>507940003.89999998</v>
      </c>
      <c r="F61">
        <v>-1298740312</v>
      </c>
      <c r="G61">
        <v>4</v>
      </c>
      <c r="H61">
        <v>5</v>
      </c>
      <c r="I61">
        <v>5</v>
      </c>
      <c r="J61">
        <v>4.5</v>
      </c>
      <c r="K61" t="s">
        <v>12</v>
      </c>
    </row>
    <row r="62" spans="1:11" x14ac:dyDescent="0.35">
      <c r="A62" t="s">
        <v>72</v>
      </c>
      <c r="B62">
        <v>5</v>
      </c>
      <c r="C62">
        <v>-483006303.10000002</v>
      </c>
      <c r="D62">
        <v>0</v>
      </c>
      <c r="E62">
        <v>563775175.20000005</v>
      </c>
      <c r="F62">
        <v>-1407843006</v>
      </c>
      <c r="G62">
        <v>4</v>
      </c>
      <c r="H62">
        <v>5</v>
      </c>
      <c r="I62">
        <v>5</v>
      </c>
      <c r="J62">
        <v>4.5</v>
      </c>
      <c r="K62" t="s">
        <v>12</v>
      </c>
    </row>
    <row r="63" spans="1:11" x14ac:dyDescent="0.35">
      <c r="A63" t="s">
        <v>73</v>
      </c>
      <c r="B63">
        <v>5</v>
      </c>
      <c r="C63">
        <v>-4423074726</v>
      </c>
      <c r="D63">
        <v>0.2</v>
      </c>
      <c r="E63">
        <v>5713692638</v>
      </c>
      <c r="F63">
        <v>-3114220645</v>
      </c>
      <c r="G63">
        <v>4</v>
      </c>
      <c r="H63">
        <v>5</v>
      </c>
      <c r="I63">
        <v>5</v>
      </c>
      <c r="J63">
        <v>4.5</v>
      </c>
      <c r="K63" t="s">
        <v>12</v>
      </c>
    </row>
    <row r="64" spans="1:11" x14ac:dyDescent="0.35">
      <c r="A64" t="s">
        <v>74</v>
      </c>
      <c r="B64">
        <v>5</v>
      </c>
      <c r="C64">
        <v>2989239549</v>
      </c>
      <c r="D64">
        <v>0.4</v>
      </c>
      <c r="E64">
        <v>7176481491</v>
      </c>
      <c r="F64">
        <v>-4163321072</v>
      </c>
      <c r="G64">
        <v>4</v>
      </c>
      <c r="H64">
        <v>5</v>
      </c>
      <c r="I64">
        <v>5</v>
      </c>
      <c r="J64">
        <v>4.5</v>
      </c>
      <c r="K64" t="s">
        <v>12</v>
      </c>
    </row>
    <row r="65" spans="1:11" x14ac:dyDescent="0.35">
      <c r="A65" t="s">
        <v>75</v>
      </c>
      <c r="B65">
        <v>5</v>
      </c>
      <c r="C65">
        <v>-3314354242</v>
      </c>
      <c r="D65">
        <v>0.2</v>
      </c>
      <c r="E65">
        <v>4771317597</v>
      </c>
      <c r="F65">
        <v>-5082331154</v>
      </c>
      <c r="G65">
        <v>4</v>
      </c>
      <c r="H65">
        <v>5</v>
      </c>
      <c r="I65">
        <v>5</v>
      </c>
      <c r="J65">
        <v>4.5</v>
      </c>
      <c r="K65" t="s">
        <v>12</v>
      </c>
    </row>
    <row r="66" spans="1:11" x14ac:dyDescent="0.35">
      <c r="A66" t="s">
        <v>76</v>
      </c>
      <c r="B66">
        <v>5</v>
      </c>
      <c r="C66">
        <v>-310964248.30000001</v>
      </c>
      <c r="D66">
        <v>0.4</v>
      </c>
      <c r="E66">
        <v>779863611.89999998</v>
      </c>
      <c r="F66">
        <v>-1629796715</v>
      </c>
      <c r="G66">
        <v>4</v>
      </c>
      <c r="H66">
        <v>5</v>
      </c>
      <c r="I66">
        <v>5</v>
      </c>
      <c r="J66">
        <v>4.5</v>
      </c>
      <c r="K66" t="s">
        <v>12</v>
      </c>
    </row>
    <row r="67" spans="1:11" x14ac:dyDescent="0.35">
      <c r="A67" t="s">
        <v>77</v>
      </c>
      <c r="B67">
        <v>5</v>
      </c>
      <c r="C67" s="1">
        <v>-387176000000</v>
      </c>
      <c r="D67">
        <v>0.2</v>
      </c>
      <c r="E67" s="1">
        <v>624310000000</v>
      </c>
      <c r="F67" s="1">
        <v>-534916000000</v>
      </c>
      <c r="G67">
        <v>4</v>
      </c>
      <c r="H67">
        <v>5</v>
      </c>
      <c r="I67">
        <v>5</v>
      </c>
      <c r="J67">
        <v>4.5</v>
      </c>
      <c r="K67" t="s">
        <v>12</v>
      </c>
    </row>
    <row r="68" spans="1:11" x14ac:dyDescent="0.35">
      <c r="A68" t="s">
        <v>78</v>
      </c>
      <c r="B68">
        <v>5</v>
      </c>
      <c r="C68">
        <v>-237832558.59999999</v>
      </c>
      <c r="D68">
        <v>0</v>
      </c>
      <c r="E68">
        <v>105566395.7</v>
      </c>
      <c r="F68">
        <v>-275028435.39999998</v>
      </c>
      <c r="G68">
        <v>5</v>
      </c>
      <c r="H68">
        <v>3</v>
      </c>
      <c r="I68">
        <v>5</v>
      </c>
      <c r="J68">
        <v>4.4000000000000004</v>
      </c>
      <c r="K68" t="s">
        <v>12</v>
      </c>
    </row>
    <row r="69" spans="1:11" x14ac:dyDescent="0.35">
      <c r="A69" t="s">
        <v>79</v>
      </c>
      <c r="B69">
        <v>5</v>
      </c>
      <c r="C69">
        <v>-254189613.5</v>
      </c>
      <c r="D69">
        <v>0</v>
      </c>
      <c r="E69">
        <v>100535259.3</v>
      </c>
      <c r="F69">
        <v>-131170578</v>
      </c>
      <c r="G69">
        <v>5</v>
      </c>
      <c r="H69">
        <v>3</v>
      </c>
      <c r="I69">
        <v>5</v>
      </c>
      <c r="J69">
        <v>4.4000000000000004</v>
      </c>
      <c r="K69" t="s">
        <v>12</v>
      </c>
    </row>
    <row r="70" spans="1:11" x14ac:dyDescent="0.35">
      <c r="A70" t="s">
        <v>80</v>
      </c>
      <c r="B70">
        <v>5</v>
      </c>
      <c r="C70">
        <v>-197961387.80000001</v>
      </c>
      <c r="D70">
        <v>0</v>
      </c>
      <c r="E70">
        <v>62987089.079999998</v>
      </c>
      <c r="F70">
        <v>-131228822.90000001</v>
      </c>
      <c r="G70">
        <v>5</v>
      </c>
      <c r="H70">
        <v>3</v>
      </c>
      <c r="I70">
        <v>5</v>
      </c>
      <c r="J70">
        <v>4.4000000000000004</v>
      </c>
      <c r="K70" t="s">
        <v>12</v>
      </c>
    </row>
    <row r="71" spans="1:11" x14ac:dyDescent="0.35">
      <c r="A71" t="s">
        <v>81</v>
      </c>
      <c r="B71">
        <v>5</v>
      </c>
      <c r="C71">
        <v>-87531506.620000005</v>
      </c>
      <c r="D71">
        <v>0</v>
      </c>
      <c r="E71">
        <v>62873141.770000003</v>
      </c>
      <c r="F71">
        <v>-133607376.8</v>
      </c>
      <c r="G71">
        <v>5</v>
      </c>
      <c r="H71">
        <v>3</v>
      </c>
      <c r="I71">
        <v>5</v>
      </c>
      <c r="J71">
        <v>4.4000000000000004</v>
      </c>
      <c r="K71" t="s">
        <v>12</v>
      </c>
    </row>
    <row r="72" spans="1:11" x14ac:dyDescent="0.35">
      <c r="A72" t="s">
        <v>82</v>
      </c>
      <c r="B72">
        <v>5</v>
      </c>
      <c r="C72">
        <v>-93027222.319999993</v>
      </c>
      <c r="D72">
        <v>0</v>
      </c>
      <c r="E72">
        <v>64269743.850000001</v>
      </c>
      <c r="F72">
        <v>-123745258.40000001</v>
      </c>
      <c r="G72">
        <v>5</v>
      </c>
      <c r="H72">
        <v>3</v>
      </c>
      <c r="I72">
        <v>5</v>
      </c>
      <c r="J72">
        <v>4.4000000000000004</v>
      </c>
      <c r="K72" t="s">
        <v>12</v>
      </c>
    </row>
    <row r="73" spans="1:11" x14ac:dyDescent="0.35">
      <c r="A73" t="s">
        <v>83</v>
      </c>
      <c r="B73">
        <v>5</v>
      </c>
      <c r="C73">
        <v>-163677147.69999999</v>
      </c>
      <c r="D73">
        <v>0</v>
      </c>
      <c r="E73">
        <v>50863220.18</v>
      </c>
      <c r="F73">
        <v>-124098120.5</v>
      </c>
      <c r="G73">
        <v>5</v>
      </c>
      <c r="H73">
        <v>3</v>
      </c>
      <c r="I73">
        <v>5</v>
      </c>
      <c r="J73">
        <v>4.4000000000000004</v>
      </c>
      <c r="K73" t="s">
        <v>12</v>
      </c>
    </row>
    <row r="74" spans="1:11" x14ac:dyDescent="0.35">
      <c r="A74" t="s">
        <v>84</v>
      </c>
      <c r="B74">
        <v>5</v>
      </c>
      <c r="C74">
        <v>-124240825</v>
      </c>
      <c r="D74">
        <v>0</v>
      </c>
      <c r="E74">
        <v>54082769.729999997</v>
      </c>
      <c r="F74">
        <v>-124440764.40000001</v>
      </c>
      <c r="G74">
        <v>5</v>
      </c>
      <c r="H74">
        <v>3</v>
      </c>
      <c r="I74">
        <v>5</v>
      </c>
      <c r="J74">
        <v>4.4000000000000004</v>
      </c>
      <c r="K74" t="s">
        <v>12</v>
      </c>
    </row>
    <row r="75" spans="1:11" x14ac:dyDescent="0.35">
      <c r="A75" t="s">
        <v>85</v>
      </c>
      <c r="B75">
        <v>5</v>
      </c>
      <c r="C75">
        <v>-101548816.09999999</v>
      </c>
      <c r="D75">
        <v>0</v>
      </c>
      <c r="E75">
        <v>64956723.07</v>
      </c>
      <c r="F75">
        <v>-124683008.2</v>
      </c>
      <c r="G75">
        <v>5</v>
      </c>
      <c r="H75">
        <v>3</v>
      </c>
      <c r="I75">
        <v>5</v>
      </c>
      <c r="J75">
        <v>4.4000000000000004</v>
      </c>
      <c r="K75" t="s">
        <v>12</v>
      </c>
    </row>
    <row r="76" spans="1:11" x14ac:dyDescent="0.35">
      <c r="A76" t="s">
        <v>86</v>
      </c>
      <c r="B76">
        <v>5</v>
      </c>
      <c r="C76">
        <v>-194353549.69999999</v>
      </c>
      <c r="D76">
        <v>0</v>
      </c>
      <c r="E76">
        <v>89405554.659999996</v>
      </c>
      <c r="F76">
        <v>-125752745.90000001</v>
      </c>
      <c r="G76">
        <v>5</v>
      </c>
      <c r="H76">
        <v>3</v>
      </c>
      <c r="I76">
        <v>5</v>
      </c>
      <c r="J76">
        <v>4.4000000000000004</v>
      </c>
      <c r="K76" t="s">
        <v>12</v>
      </c>
    </row>
    <row r="77" spans="1:11" x14ac:dyDescent="0.35">
      <c r="A77" t="s">
        <v>87</v>
      </c>
      <c r="B77">
        <v>5</v>
      </c>
      <c r="C77">
        <v>-193977008.59999999</v>
      </c>
      <c r="D77">
        <v>0</v>
      </c>
      <c r="E77">
        <v>57088451.780000001</v>
      </c>
      <c r="F77">
        <v>-123086782.40000001</v>
      </c>
      <c r="G77">
        <v>5</v>
      </c>
      <c r="H77">
        <v>3</v>
      </c>
      <c r="I77">
        <v>5</v>
      </c>
      <c r="J77">
        <v>4.4000000000000004</v>
      </c>
      <c r="K77" t="s">
        <v>12</v>
      </c>
    </row>
    <row r="78" spans="1:11" x14ac:dyDescent="0.35">
      <c r="A78" t="s">
        <v>88</v>
      </c>
      <c r="B78">
        <v>5</v>
      </c>
      <c r="C78">
        <v>-52064976.100000001</v>
      </c>
      <c r="D78">
        <v>0</v>
      </c>
      <c r="E78">
        <v>54428871.25</v>
      </c>
      <c r="F78">
        <v>-128686778.59999999</v>
      </c>
      <c r="G78">
        <v>5</v>
      </c>
      <c r="H78">
        <v>3</v>
      </c>
      <c r="I78">
        <v>5</v>
      </c>
      <c r="J78">
        <v>4.4000000000000004</v>
      </c>
      <c r="K78" t="s">
        <v>12</v>
      </c>
    </row>
    <row r="79" spans="1:11" x14ac:dyDescent="0.35">
      <c r="A79" t="s">
        <v>89</v>
      </c>
      <c r="B79">
        <v>5</v>
      </c>
      <c r="C79">
        <v>-66008477.68</v>
      </c>
      <c r="D79">
        <v>0</v>
      </c>
      <c r="E79">
        <v>68395286.219999999</v>
      </c>
      <c r="F79">
        <v>-158760980.09999999</v>
      </c>
      <c r="G79">
        <v>5</v>
      </c>
      <c r="H79">
        <v>3</v>
      </c>
      <c r="I79">
        <v>5</v>
      </c>
      <c r="J79">
        <v>4.4000000000000004</v>
      </c>
      <c r="K79" t="s">
        <v>12</v>
      </c>
    </row>
    <row r="80" spans="1:11" x14ac:dyDescent="0.35">
      <c r="A80" t="s">
        <v>90</v>
      </c>
      <c r="B80">
        <v>5</v>
      </c>
      <c r="C80">
        <v>-122336105.2</v>
      </c>
      <c r="D80">
        <v>0</v>
      </c>
      <c r="E80">
        <v>66503680.859999999</v>
      </c>
      <c r="F80">
        <v>-158810848.09999999</v>
      </c>
      <c r="G80">
        <v>5</v>
      </c>
      <c r="H80">
        <v>3</v>
      </c>
      <c r="I80">
        <v>5</v>
      </c>
      <c r="J80">
        <v>4.4000000000000004</v>
      </c>
      <c r="K80" t="s">
        <v>12</v>
      </c>
    </row>
    <row r="81" spans="1:11" x14ac:dyDescent="0.35">
      <c r="A81" t="s">
        <v>91</v>
      </c>
      <c r="B81">
        <v>5</v>
      </c>
      <c r="C81">
        <v>-275626361.30000001</v>
      </c>
      <c r="D81">
        <v>0</v>
      </c>
      <c r="E81">
        <v>79041205.260000005</v>
      </c>
      <c r="F81">
        <v>-163084733.09999999</v>
      </c>
      <c r="G81">
        <v>5</v>
      </c>
      <c r="H81">
        <v>3</v>
      </c>
      <c r="I81">
        <v>5</v>
      </c>
      <c r="J81">
        <v>4.4000000000000004</v>
      </c>
      <c r="K81" t="s">
        <v>12</v>
      </c>
    </row>
    <row r="82" spans="1:11" x14ac:dyDescent="0.35">
      <c r="A82" t="s">
        <v>92</v>
      </c>
      <c r="B82">
        <v>5</v>
      </c>
      <c r="C82">
        <v>-270069383.19999999</v>
      </c>
      <c r="D82">
        <v>0</v>
      </c>
      <c r="E82">
        <v>81208895.709999993</v>
      </c>
      <c r="F82">
        <v>-155299939.59999999</v>
      </c>
      <c r="G82">
        <v>5</v>
      </c>
      <c r="H82">
        <v>3</v>
      </c>
      <c r="I82">
        <v>5</v>
      </c>
      <c r="J82">
        <v>4.4000000000000004</v>
      </c>
      <c r="K82" t="s">
        <v>12</v>
      </c>
    </row>
    <row r="83" spans="1:11" x14ac:dyDescent="0.35">
      <c r="A83" t="s">
        <v>93</v>
      </c>
      <c r="B83">
        <v>5</v>
      </c>
      <c r="C83">
        <v>-168331150.30000001</v>
      </c>
      <c r="D83">
        <v>0</v>
      </c>
      <c r="E83">
        <v>61258758.520000003</v>
      </c>
      <c r="F83">
        <v>-155428005</v>
      </c>
      <c r="G83">
        <v>5</v>
      </c>
      <c r="H83">
        <v>3</v>
      </c>
      <c r="I83">
        <v>5</v>
      </c>
      <c r="J83">
        <v>4.4000000000000004</v>
      </c>
      <c r="K83" t="s">
        <v>12</v>
      </c>
    </row>
    <row r="84" spans="1:11" x14ac:dyDescent="0.35">
      <c r="A84" t="s">
        <v>94</v>
      </c>
      <c r="B84">
        <v>5</v>
      </c>
      <c r="C84">
        <v>-90141848.379999995</v>
      </c>
      <c r="D84">
        <v>0</v>
      </c>
      <c r="E84">
        <v>62728839.369999997</v>
      </c>
      <c r="F84">
        <v>-155844341.30000001</v>
      </c>
      <c r="G84">
        <v>5</v>
      </c>
      <c r="H84">
        <v>3</v>
      </c>
      <c r="I84">
        <v>5</v>
      </c>
      <c r="J84">
        <v>4.4000000000000004</v>
      </c>
      <c r="K84" t="s">
        <v>12</v>
      </c>
    </row>
    <row r="85" spans="1:11" x14ac:dyDescent="0.35">
      <c r="A85" t="s">
        <v>95</v>
      </c>
      <c r="B85">
        <v>5</v>
      </c>
      <c r="C85">
        <v>-102007312.5</v>
      </c>
      <c r="D85">
        <v>0</v>
      </c>
      <c r="E85">
        <v>60443000.229999997</v>
      </c>
      <c r="F85">
        <v>-150922175.90000001</v>
      </c>
      <c r="G85">
        <v>5</v>
      </c>
      <c r="H85">
        <v>3</v>
      </c>
      <c r="I85">
        <v>5</v>
      </c>
      <c r="J85">
        <v>4.4000000000000004</v>
      </c>
      <c r="K85" t="s">
        <v>12</v>
      </c>
    </row>
    <row r="86" spans="1:11" x14ac:dyDescent="0.35">
      <c r="A86" t="s">
        <v>96</v>
      </c>
      <c r="B86">
        <v>5</v>
      </c>
      <c r="C86">
        <v>-88688279.519999996</v>
      </c>
      <c r="D86">
        <v>0</v>
      </c>
      <c r="E86">
        <v>58067709.420000002</v>
      </c>
      <c r="F86">
        <v>-141794566.59999999</v>
      </c>
      <c r="G86">
        <v>5</v>
      </c>
      <c r="H86">
        <v>3</v>
      </c>
      <c r="I86">
        <v>5</v>
      </c>
      <c r="J86">
        <v>4.4000000000000004</v>
      </c>
      <c r="K86" t="s">
        <v>12</v>
      </c>
    </row>
    <row r="87" spans="1:11" x14ac:dyDescent="0.35">
      <c r="A87" t="s">
        <v>97</v>
      </c>
      <c r="B87">
        <v>5</v>
      </c>
      <c r="C87">
        <v>-73975753.659999996</v>
      </c>
      <c r="D87">
        <v>0</v>
      </c>
      <c r="E87">
        <v>55008822.109999999</v>
      </c>
      <c r="F87">
        <v>-138795910.90000001</v>
      </c>
      <c r="G87">
        <v>5</v>
      </c>
      <c r="H87">
        <v>3</v>
      </c>
      <c r="I87">
        <v>5</v>
      </c>
      <c r="J87">
        <v>4.4000000000000004</v>
      </c>
      <c r="K87" t="s">
        <v>12</v>
      </c>
    </row>
    <row r="88" spans="1:11" x14ac:dyDescent="0.35">
      <c r="A88" t="s">
        <v>98</v>
      </c>
      <c r="B88">
        <v>5</v>
      </c>
      <c r="C88">
        <v>-115214860.09999999</v>
      </c>
      <c r="D88">
        <v>0</v>
      </c>
      <c r="E88">
        <v>60922652.799999997</v>
      </c>
      <c r="F88">
        <v>-142173678.69999999</v>
      </c>
      <c r="G88">
        <v>5</v>
      </c>
      <c r="H88">
        <v>3</v>
      </c>
      <c r="I88">
        <v>5</v>
      </c>
      <c r="J88">
        <v>4.4000000000000004</v>
      </c>
      <c r="K88" t="s">
        <v>12</v>
      </c>
    </row>
    <row r="89" spans="1:11" x14ac:dyDescent="0.35">
      <c r="A89" t="s">
        <v>99</v>
      </c>
      <c r="B89">
        <v>5</v>
      </c>
      <c r="C89">
        <v>-155652455</v>
      </c>
      <c r="D89">
        <v>0</v>
      </c>
      <c r="E89">
        <v>91240588.790000007</v>
      </c>
      <c r="F89">
        <v>-143644334.30000001</v>
      </c>
      <c r="G89">
        <v>5</v>
      </c>
      <c r="H89">
        <v>3</v>
      </c>
      <c r="I89">
        <v>5</v>
      </c>
      <c r="J89">
        <v>4.4000000000000004</v>
      </c>
      <c r="K89" t="s">
        <v>12</v>
      </c>
    </row>
    <row r="90" spans="1:11" x14ac:dyDescent="0.35">
      <c r="A90" t="s">
        <v>100</v>
      </c>
      <c r="B90">
        <v>5</v>
      </c>
      <c r="C90">
        <v>-128555064.59999999</v>
      </c>
      <c r="D90">
        <v>0</v>
      </c>
      <c r="E90">
        <v>70312994.609999999</v>
      </c>
      <c r="F90">
        <v>-143920469.59999999</v>
      </c>
      <c r="G90">
        <v>5</v>
      </c>
      <c r="H90">
        <v>3</v>
      </c>
      <c r="I90">
        <v>5</v>
      </c>
      <c r="J90">
        <v>4.4000000000000004</v>
      </c>
      <c r="K90" t="s">
        <v>12</v>
      </c>
    </row>
    <row r="91" spans="1:11" x14ac:dyDescent="0.35">
      <c r="A91" t="s">
        <v>101</v>
      </c>
      <c r="B91">
        <v>5</v>
      </c>
      <c r="C91">
        <v>-171167969.19999999</v>
      </c>
      <c r="D91">
        <v>0</v>
      </c>
      <c r="E91">
        <v>70344725.120000005</v>
      </c>
      <c r="F91">
        <v>-176988835.30000001</v>
      </c>
      <c r="G91">
        <v>5</v>
      </c>
      <c r="H91">
        <v>3</v>
      </c>
      <c r="I91">
        <v>5</v>
      </c>
      <c r="J91">
        <v>4.4000000000000004</v>
      </c>
      <c r="K91" t="s">
        <v>12</v>
      </c>
    </row>
    <row r="92" spans="1:11" x14ac:dyDescent="0.35">
      <c r="A92" t="s">
        <v>102</v>
      </c>
      <c r="B92">
        <v>5</v>
      </c>
      <c r="C92">
        <v>-145879459.19999999</v>
      </c>
      <c r="D92">
        <v>0</v>
      </c>
      <c r="E92">
        <v>71793736.370000005</v>
      </c>
      <c r="F92">
        <v>-180222268.40000001</v>
      </c>
      <c r="G92">
        <v>5</v>
      </c>
      <c r="H92">
        <v>3</v>
      </c>
      <c r="I92">
        <v>5</v>
      </c>
      <c r="J92">
        <v>4.4000000000000004</v>
      </c>
      <c r="K92" t="s">
        <v>12</v>
      </c>
    </row>
    <row r="93" spans="1:11" x14ac:dyDescent="0.35">
      <c r="A93" t="s">
        <v>103</v>
      </c>
      <c r="B93">
        <v>5</v>
      </c>
      <c r="C93">
        <v>-125509703.40000001</v>
      </c>
      <c r="D93">
        <v>0</v>
      </c>
      <c r="E93">
        <v>75216795.299999997</v>
      </c>
      <c r="F93">
        <v>-173323622</v>
      </c>
      <c r="G93">
        <v>5</v>
      </c>
      <c r="H93">
        <v>3</v>
      </c>
      <c r="I93">
        <v>5</v>
      </c>
      <c r="J93">
        <v>4.4000000000000004</v>
      </c>
      <c r="K93" t="s">
        <v>12</v>
      </c>
    </row>
    <row r="94" spans="1:11" x14ac:dyDescent="0.35">
      <c r="A94" t="s">
        <v>104</v>
      </c>
      <c r="B94">
        <v>5</v>
      </c>
      <c r="C94">
        <v>-170106251.80000001</v>
      </c>
      <c r="D94">
        <v>0</v>
      </c>
      <c r="E94">
        <v>64254049.600000001</v>
      </c>
      <c r="F94">
        <v>-166175165.59999999</v>
      </c>
      <c r="G94">
        <v>5</v>
      </c>
      <c r="H94">
        <v>3</v>
      </c>
      <c r="I94">
        <v>5</v>
      </c>
      <c r="J94">
        <v>4.4000000000000004</v>
      </c>
      <c r="K94" t="s">
        <v>12</v>
      </c>
    </row>
    <row r="95" spans="1:11" x14ac:dyDescent="0.35">
      <c r="A95" t="s">
        <v>105</v>
      </c>
      <c r="B95">
        <v>5</v>
      </c>
      <c r="C95">
        <v>-86911068.379999995</v>
      </c>
      <c r="D95">
        <v>0</v>
      </c>
      <c r="E95">
        <v>65987177.18</v>
      </c>
      <c r="F95">
        <v>-166272911.59999999</v>
      </c>
      <c r="G95">
        <v>5</v>
      </c>
      <c r="H95">
        <v>3</v>
      </c>
      <c r="I95">
        <v>5</v>
      </c>
      <c r="J95">
        <v>4.4000000000000004</v>
      </c>
      <c r="K95" t="s">
        <v>12</v>
      </c>
    </row>
    <row r="96" spans="1:11" x14ac:dyDescent="0.35">
      <c r="A96" t="s">
        <v>106</v>
      </c>
      <c r="B96">
        <v>5</v>
      </c>
      <c r="C96">
        <v>-71333156.680000007</v>
      </c>
      <c r="D96">
        <v>0</v>
      </c>
      <c r="E96">
        <v>87053001.420000002</v>
      </c>
      <c r="F96">
        <v>-186542765.69999999</v>
      </c>
      <c r="G96">
        <v>5</v>
      </c>
      <c r="H96">
        <v>3</v>
      </c>
      <c r="I96">
        <v>5</v>
      </c>
      <c r="J96">
        <v>4.4000000000000004</v>
      </c>
      <c r="K96" t="s">
        <v>12</v>
      </c>
    </row>
    <row r="97" spans="1:11" x14ac:dyDescent="0.35">
      <c r="A97" t="s">
        <v>107</v>
      </c>
      <c r="B97">
        <v>5</v>
      </c>
      <c r="C97">
        <v>-49136928.039999999</v>
      </c>
      <c r="D97">
        <v>0</v>
      </c>
      <c r="E97">
        <v>78194386.060000002</v>
      </c>
      <c r="F97">
        <v>-187292244.69999999</v>
      </c>
      <c r="G97">
        <v>5</v>
      </c>
      <c r="H97">
        <v>3</v>
      </c>
      <c r="I97">
        <v>5</v>
      </c>
      <c r="J97">
        <v>4.4000000000000004</v>
      </c>
      <c r="K97" t="s">
        <v>12</v>
      </c>
    </row>
    <row r="98" spans="1:11" x14ac:dyDescent="0.35">
      <c r="A98" t="s">
        <v>108</v>
      </c>
      <c r="B98">
        <v>5</v>
      </c>
      <c r="C98">
        <v>-102050942.40000001</v>
      </c>
      <c r="D98">
        <v>0</v>
      </c>
      <c r="E98">
        <v>80140676.370000005</v>
      </c>
      <c r="F98">
        <v>-193860617</v>
      </c>
      <c r="G98">
        <v>5</v>
      </c>
      <c r="H98">
        <v>3</v>
      </c>
      <c r="I98">
        <v>5</v>
      </c>
      <c r="J98">
        <v>4.4000000000000004</v>
      </c>
      <c r="K98" t="s">
        <v>12</v>
      </c>
    </row>
    <row r="99" spans="1:11" x14ac:dyDescent="0.35">
      <c r="A99" t="s">
        <v>109</v>
      </c>
      <c r="B99">
        <v>5</v>
      </c>
      <c r="C99">
        <v>-114557375.2</v>
      </c>
      <c r="D99">
        <v>0</v>
      </c>
      <c r="E99">
        <v>82504045.510000005</v>
      </c>
      <c r="F99">
        <v>-195919272.09999999</v>
      </c>
      <c r="G99">
        <v>5</v>
      </c>
      <c r="H99">
        <v>3</v>
      </c>
      <c r="I99">
        <v>5</v>
      </c>
      <c r="J99">
        <v>4.4000000000000004</v>
      </c>
      <c r="K99" t="s">
        <v>12</v>
      </c>
    </row>
    <row r="100" spans="1:11" x14ac:dyDescent="0.35">
      <c r="A100" t="s">
        <v>110</v>
      </c>
      <c r="B100">
        <v>5</v>
      </c>
      <c r="C100">
        <v>-75539180.099999994</v>
      </c>
      <c r="D100">
        <v>0</v>
      </c>
      <c r="E100">
        <v>80478878.870000005</v>
      </c>
      <c r="F100">
        <v>-198121512.40000001</v>
      </c>
      <c r="G100">
        <v>5</v>
      </c>
      <c r="H100">
        <v>3</v>
      </c>
      <c r="I100">
        <v>5</v>
      </c>
      <c r="J100">
        <v>4.4000000000000004</v>
      </c>
      <c r="K100" t="s">
        <v>12</v>
      </c>
    </row>
    <row r="101" spans="1:11" x14ac:dyDescent="0.35">
      <c r="A101" t="s">
        <v>111</v>
      </c>
      <c r="B101">
        <v>5</v>
      </c>
      <c r="C101">
        <v>-75440589.439999998</v>
      </c>
      <c r="D101">
        <v>0</v>
      </c>
      <c r="E101">
        <v>101350260.2</v>
      </c>
      <c r="F101">
        <v>-219525135.80000001</v>
      </c>
      <c r="G101">
        <v>5</v>
      </c>
      <c r="H101">
        <v>3</v>
      </c>
      <c r="I101">
        <v>5</v>
      </c>
      <c r="J101">
        <v>4.4000000000000004</v>
      </c>
      <c r="K101" t="s">
        <v>12</v>
      </c>
    </row>
    <row r="102" spans="1:11" x14ac:dyDescent="0.35">
      <c r="A102" t="s">
        <v>112</v>
      </c>
      <c r="B102">
        <v>5</v>
      </c>
      <c r="C102">
        <v>-124006770.5</v>
      </c>
      <c r="D102">
        <v>0</v>
      </c>
      <c r="E102">
        <v>85524746.810000002</v>
      </c>
      <c r="F102">
        <v>-210799783.69999999</v>
      </c>
      <c r="G102">
        <v>5</v>
      </c>
      <c r="H102">
        <v>3</v>
      </c>
      <c r="I102">
        <v>5</v>
      </c>
      <c r="J102">
        <v>4.4000000000000004</v>
      </c>
      <c r="K102" t="s">
        <v>12</v>
      </c>
    </row>
    <row r="103" spans="1:11" x14ac:dyDescent="0.35">
      <c r="A103" t="s">
        <v>113</v>
      </c>
      <c r="B103">
        <v>5</v>
      </c>
      <c r="C103">
        <v>-227736660.09999999</v>
      </c>
      <c r="D103">
        <v>0</v>
      </c>
      <c r="E103">
        <v>97578582.700000003</v>
      </c>
      <c r="F103">
        <v>-207819494.5</v>
      </c>
      <c r="G103">
        <v>5</v>
      </c>
      <c r="H103">
        <v>3</v>
      </c>
      <c r="I103">
        <v>5</v>
      </c>
      <c r="J103">
        <v>4.4000000000000004</v>
      </c>
      <c r="K103" t="s">
        <v>12</v>
      </c>
    </row>
    <row r="104" spans="1:11" x14ac:dyDescent="0.35">
      <c r="A104" t="s">
        <v>114</v>
      </c>
      <c r="B104">
        <v>5</v>
      </c>
      <c r="C104">
        <v>-117550497.5</v>
      </c>
      <c r="D104">
        <v>0</v>
      </c>
      <c r="E104">
        <v>74133609.700000003</v>
      </c>
      <c r="F104">
        <v>-183445675.40000001</v>
      </c>
      <c r="G104">
        <v>5</v>
      </c>
      <c r="H104">
        <v>3</v>
      </c>
      <c r="I104">
        <v>5</v>
      </c>
      <c r="J104">
        <v>4.4000000000000004</v>
      </c>
      <c r="K104" t="s">
        <v>12</v>
      </c>
    </row>
    <row r="105" spans="1:11" x14ac:dyDescent="0.35">
      <c r="A105" t="s">
        <v>115</v>
      </c>
      <c r="B105">
        <v>5</v>
      </c>
      <c r="C105">
        <v>-333135652.80000001</v>
      </c>
      <c r="D105">
        <v>0</v>
      </c>
      <c r="E105">
        <v>102725395.5</v>
      </c>
      <c r="F105">
        <v>-252244979.19999999</v>
      </c>
      <c r="G105">
        <v>5</v>
      </c>
      <c r="H105">
        <v>3</v>
      </c>
      <c r="I105">
        <v>5</v>
      </c>
      <c r="J105">
        <v>4.4000000000000004</v>
      </c>
      <c r="K105" t="s">
        <v>12</v>
      </c>
    </row>
    <row r="106" spans="1:11" x14ac:dyDescent="0.35">
      <c r="A106" t="s">
        <v>116</v>
      </c>
      <c r="B106">
        <v>5</v>
      </c>
      <c r="C106">
        <v>-172074823.40000001</v>
      </c>
      <c r="D106">
        <v>0</v>
      </c>
      <c r="E106">
        <v>100674877.09999999</v>
      </c>
      <c r="F106">
        <v>-252487442.30000001</v>
      </c>
      <c r="G106">
        <v>5</v>
      </c>
      <c r="H106">
        <v>3</v>
      </c>
      <c r="I106">
        <v>5</v>
      </c>
      <c r="J106">
        <v>4.4000000000000004</v>
      </c>
      <c r="K106" t="s">
        <v>12</v>
      </c>
    </row>
    <row r="107" spans="1:11" x14ac:dyDescent="0.35">
      <c r="A107" t="s">
        <v>117</v>
      </c>
      <c r="B107">
        <v>5</v>
      </c>
      <c r="C107">
        <v>-192863780.5</v>
      </c>
      <c r="D107">
        <v>0</v>
      </c>
      <c r="E107">
        <v>109980476.09999999</v>
      </c>
      <c r="F107">
        <v>-232421368.69999999</v>
      </c>
      <c r="G107">
        <v>5</v>
      </c>
      <c r="H107">
        <v>3</v>
      </c>
      <c r="I107">
        <v>5</v>
      </c>
      <c r="J107">
        <v>4.4000000000000004</v>
      </c>
      <c r="K107" t="s">
        <v>12</v>
      </c>
    </row>
    <row r="108" spans="1:11" x14ac:dyDescent="0.35">
      <c r="A108" t="s">
        <v>118</v>
      </c>
      <c r="B108">
        <v>5</v>
      </c>
      <c r="C108">
        <v>-71823102.920000002</v>
      </c>
      <c r="D108">
        <v>0</v>
      </c>
      <c r="E108">
        <v>53201567.149999999</v>
      </c>
      <c r="F108">
        <v>-120230498.2</v>
      </c>
      <c r="G108">
        <v>5</v>
      </c>
      <c r="H108">
        <v>3</v>
      </c>
      <c r="I108">
        <v>5</v>
      </c>
      <c r="J108">
        <v>4.4000000000000004</v>
      </c>
      <c r="K108" t="s">
        <v>12</v>
      </c>
    </row>
    <row r="109" spans="1:11" x14ac:dyDescent="0.35">
      <c r="A109" t="s">
        <v>119</v>
      </c>
      <c r="B109">
        <v>5</v>
      </c>
      <c r="C109">
        <v>-49347917.979999997</v>
      </c>
      <c r="D109">
        <v>0</v>
      </c>
      <c r="E109">
        <v>48737586.299999997</v>
      </c>
      <c r="F109">
        <v>-120829267.2</v>
      </c>
      <c r="G109">
        <v>5</v>
      </c>
      <c r="H109">
        <v>3</v>
      </c>
      <c r="I109">
        <v>5</v>
      </c>
      <c r="J109">
        <v>4.4000000000000004</v>
      </c>
      <c r="K109" t="s">
        <v>12</v>
      </c>
    </row>
    <row r="110" spans="1:11" x14ac:dyDescent="0.35">
      <c r="A110" t="s">
        <v>120</v>
      </c>
      <c r="B110">
        <v>5</v>
      </c>
      <c r="C110">
        <v>-79832605.879999995</v>
      </c>
      <c r="D110">
        <v>0</v>
      </c>
      <c r="E110">
        <v>46573350.390000001</v>
      </c>
      <c r="F110">
        <v>-110519956.7</v>
      </c>
      <c r="G110">
        <v>5</v>
      </c>
      <c r="H110">
        <v>3</v>
      </c>
      <c r="I110">
        <v>5</v>
      </c>
      <c r="J110">
        <v>4.4000000000000004</v>
      </c>
      <c r="K110" t="s">
        <v>12</v>
      </c>
    </row>
    <row r="111" spans="1:11" x14ac:dyDescent="0.35">
      <c r="A111" t="s">
        <v>121</v>
      </c>
      <c r="B111">
        <v>5</v>
      </c>
      <c r="C111">
        <v>-59140912.280000001</v>
      </c>
      <c r="D111">
        <v>0</v>
      </c>
      <c r="E111">
        <v>48327270.020000003</v>
      </c>
      <c r="F111">
        <v>-111458264.7</v>
      </c>
      <c r="G111">
        <v>5</v>
      </c>
      <c r="H111">
        <v>3</v>
      </c>
      <c r="I111">
        <v>5</v>
      </c>
      <c r="J111">
        <v>4.4000000000000004</v>
      </c>
      <c r="K111" t="s">
        <v>12</v>
      </c>
    </row>
    <row r="112" spans="1:11" x14ac:dyDescent="0.35">
      <c r="A112" t="s">
        <v>122</v>
      </c>
      <c r="B112">
        <v>5</v>
      </c>
      <c r="C112">
        <v>-97143924.200000003</v>
      </c>
      <c r="D112">
        <v>0</v>
      </c>
      <c r="E112">
        <v>54091675.890000001</v>
      </c>
      <c r="F112">
        <v>-111465999.8</v>
      </c>
      <c r="G112">
        <v>5</v>
      </c>
      <c r="H112">
        <v>3</v>
      </c>
      <c r="I112">
        <v>5</v>
      </c>
      <c r="J112">
        <v>4.4000000000000004</v>
      </c>
      <c r="K112" t="s">
        <v>12</v>
      </c>
    </row>
    <row r="113" spans="1:11" x14ac:dyDescent="0.35">
      <c r="A113" t="s">
        <v>123</v>
      </c>
      <c r="B113">
        <v>5</v>
      </c>
      <c r="C113">
        <v>-96117240.459999993</v>
      </c>
      <c r="D113">
        <v>0</v>
      </c>
      <c r="E113">
        <v>71077588.290000007</v>
      </c>
      <c r="F113">
        <v>-114944268.5</v>
      </c>
      <c r="G113">
        <v>5</v>
      </c>
      <c r="H113">
        <v>3</v>
      </c>
      <c r="I113">
        <v>5</v>
      </c>
      <c r="J113">
        <v>4.4000000000000004</v>
      </c>
      <c r="K113" t="s">
        <v>12</v>
      </c>
    </row>
    <row r="114" spans="1:11" x14ac:dyDescent="0.35">
      <c r="A114" t="s">
        <v>124</v>
      </c>
      <c r="B114">
        <v>5</v>
      </c>
      <c r="C114">
        <v>-60474737.439999998</v>
      </c>
      <c r="D114">
        <v>0</v>
      </c>
      <c r="E114">
        <v>45589351.07</v>
      </c>
      <c r="F114">
        <v>-94377255.799999997</v>
      </c>
      <c r="G114">
        <v>5</v>
      </c>
      <c r="H114">
        <v>3</v>
      </c>
      <c r="I114">
        <v>5</v>
      </c>
      <c r="J114">
        <v>4.4000000000000004</v>
      </c>
      <c r="K114" t="s">
        <v>12</v>
      </c>
    </row>
    <row r="115" spans="1:11" x14ac:dyDescent="0.35">
      <c r="A115" t="s">
        <v>125</v>
      </c>
      <c r="B115">
        <v>5</v>
      </c>
      <c r="C115">
        <v>-73456736.560000002</v>
      </c>
      <c r="D115">
        <v>0</v>
      </c>
      <c r="E115">
        <v>47086896.149999999</v>
      </c>
      <c r="F115">
        <v>-95675421.299999997</v>
      </c>
      <c r="G115">
        <v>5</v>
      </c>
      <c r="H115">
        <v>3</v>
      </c>
      <c r="I115">
        <v>5</v>
      </c>
      <c r="J115">
        <v>4.4000000000000004</v>
      </c>
      <c r="K115" t="s">
        <v>12</v>
      </c>
    </row>
    <row r="116" spans="1:11" x14ac:dyDescent="0.35">
      <c r="A116" t="s">
        <v>126</v>
      </c>
      <c r="B116">
        <v>5</v>
      </c>
      <c r="C116">
        <v>-100911466.09999999</v>
      </c>
      <c r="D116">
        <v>0</v>
      </c>
      <c r="E116">
        <v>54344139.920000002</v>
      </c>
      <c r="F116">
        <v>-97201395.400000006</v>
      </c>
      <c r="G116">
        <v>5</v>
      </c>
      <c r="H116">
        <v>3</v>
      </c>
      <c r="I116">
        <v>5</v>
      </c>
      <c r="J116">
        <v>4.4000000000000004</v>
      </c>
      <c r="K116" t="s">
        <v>12</v>
      </c>
    </row>
    <row r="117" spans="1:11" x14ac:dyDescent="0.35">
      <c r="A117" t="s">
        <v>127</v>
      </c>
      <c r="B117">
        <v>5</v>
      </c>
      <c r="C117">
        <v>-101531278.8</v>
      </c>
      <c r="D117">
        <v>0</v>
      </c>
      <c r="E117">
        <v>49284652.950000003</v>
      </c>
      <c r="F117">
        <v>-101808937.7</v>
      </c>
      <c r="G117">
        <v>5</v>
      </c>
      <c r="H117">
        <v>3</v>
      </c>
      <c r="I117">
        <v>5</v>
      </c>
      <c r="J117">
        <v>4.4000000000000004</v>
      </c>
      <c r="K117" t="s">
        <v>12</v>
      </c>
    </row>
    <row r="118" spans="1:11" x14ac:dyDescent="0.35">
      <c r="A118" t="s">
        <v>128</v>
      </c>
      <c r="B118">
        <v>5</v>
      </c>
      <c r="C118">
        <v>-189384003.69999999</v>
      </c>
      <c r="D118">
        <v>0</v>
      </c>
      <c r="E118">
        <v>69081567.060000002</v>
      </c>
      <c r="F118">
        <v>-105656888.7</v>
      </c>
      <c r="G118">
        <v>5</v>
      </c>
      <c r="H118">
        <v>3</v>
      </c>
      <c r="I118">
        <v>5</v>
      </c>
      <c r="J118">
        <v>4.4000000000000004</v>
      </c>
      <c r="K118" t="s">
        <v>12</v>
      </c>
    </row>
    <row r="119" spans="1:11" x14ac:dyDescent="0.35">
      <c r="A119" t="s">
        <v>129</v>
      </c>
      <c r="B119">
        <v>5</v>
      </c>
      <c r="C119">
        <v>-75166475.379999995</v>
      </c>
      <c r="D119">
        <v>0</v>
      </c>
      <c r="E119">
        <v>48418411.399999999</v>
      </c>
      <c r="F119">
        <v>-79502972.599999994</v>
      </c>
      <c r="G119">
        <v>5</v>
      </c>
      <c r="H119">
        <v>3</v>
      </c>
      <c r="I119">
        <v>5</v>
      </c>
      <c r="J119">
        <v>4.4000000000000004</v>
      </c>
      <c r="K119" t="s">
        <v>12</v>
      </c>
    </row>
    <row r="120" spans="1:11" x14ac:dyDescent="0.35">
      <c r="A120" t="s">
        <v>130</v>
      </c>
      <c r="B120">
        <v>5</v>
      </c>
      <c r="C120">
        <v>-135631559.80000001</v>
      </c>
      <c r="D120">
        <v>0</v>
      </c>
      <c r="E120">
        <v>66527698.689999998</v>
      </c>
      <c r="F120">
        <v>-81780872</v>
      </c>
      <c r="G120">
        <v>5</v>
      </c>
      <c r="H120">
        <v>3</v>
      </c>
      <c r="I120">
        <v>5</v>
      </c>
      <c r="J120">
        <v>4.4000000000000004</v>
      </c>
      <c r="K120" t="s">
        <v>12</v>
      </c>
    </row>
    <row r="121" spans="1:11" x14ac:dyDescent="0.35">
      <c r="A121" t="s">
        <v>131</v>
      </c>
      <c r="B121">
        <v>5</v>
      </c>
      <c r="C121">
        <v>-175525172</v>
      </c>
      <c r="D121">
        <v>0</v>
      </c>
      <c r="E121">
        <v>59031699.310000002</v>
      </c>
      <c r="F121">
        <v>-82800097.400000006</v>
      </c>
      <c r="G121">
        <v>5</v>
      </c>
      <c r="H121">
        <v>3</v>
      </c>
      <c r="I121">
        <v>5</v>
      </c>
      <c r="J121">
        <v>4.4000000000000004</v>
      </c>
      <c r="K121" t="s">
        <v>12</v>
      </c>
    </row>
    <row r="122" spans="1:11" x14ac:dyDescent="0.35">
      <c r="A122" t="s">
        <v>132</v>
      </c>
      <c r="B122">
        <v>5</v>
      </c>
      <c r="C122">
        <v>-120560436.5</v>
      </c>
      <c r="D122">
        <v>0</v>
      </c>
      <c r="E122">
        <v>74255928.579999998</v>
      </c>
      <c r="F122">
        <v>-88575296.599999994</v>
      </c>
      <c r="G122">
        <v>5</v>
      </c>
      <c r="H122">
        <v>3</v>
      </c>
      <c r="I122">
        <v>5</v>
      </c>
      <c r="J122">
        <v>4.4000000000000004</v>
      </c>
      <c r="K122" t="s">
        <v>12</v>
      </c>
    </row>
    <row r="123" spans="1:11" x14ac:dyDescent="0.35">
      <c r="A123" t="s">
        <v>133</v>
      </c>
      <c r="B123">
        <v>5</v>
      </c>
      <c r="C123">
        <v>-197929765.40000001</v>
      </c>
      <c r="D123">
        <v>0</v>
      </c>
      <c r="E123">
        <v>88292422.200000003</v>
      </c>
      <c r="F123">
        <v>-94563847.799999997</v>
      </c>
      <c r="G123">
        <v>5</v>
      </c>
      <c r="H123">
        <v>3</v>
      </c>
      <c r="I123">
        <v>5</v>
      </c>
      <c r="J123">
        <v>4.4000000000000004</v>
      </c>
      <c r="K123" t="s">
        <v>12</v>
      </c>
    </row>
    <row r="124" spans="1:11" x14ac:dyDescent="0.35">
      <c r="A124" t="s">
        <v>134</v>
      </c>
      <c r="B124">
        <v>5</v>
      </c>
      <c r="C124">
        <v>-1381520598</v>
      </c>
      <c r="D124">
        <v>0</v>
      </c>
      <c r="E124">
        <v>474137068.19999999</v>
      </c>
      <c r="F124">
        <v>120228869.09999999</v>
      </c>
      <c r="G124">
        <v>5</v>
      </c>
      <c r="H124">
        <v>5</v>
      </c>
      <c r="I124">
        <v>2</v>
      </c>
      <c r="J124">
        <v>4.4000000000000004</v>
      </c>
      <c r="K124" t="s">
        <v>12</v>
      </c>
    </row>
    <row r="125" spans="1:11" x14ac:dyDescent="0.35">
      <c r="A125" t="s">
        <v>135</v>
      </c>
      <c r="B125">
        <v>5</v>
      </c>
      <c r="C125">
        <v>-718203729</v>
      </c>
      <c r="D125">
        <v>0</v>
      </c>
      <c r="E125">
        <v>388014495.60000002</v>
      </c>
      <c r="F125">
        <v>99075179.799999997</v>
      </c>
      <c r="G125">
        <v>5</v>
      </c>
      <c r="H125">
        <v>5</v>
      </c>
      <c r="I125">
        <v>2</v>
      </c>
      <c r="J125">
        <v>4.4000000000000004</v>
      </c>
      <c r="K125" t="s">
        <v>12</v>
      </c>
    </row>
    <row r="126" spans="1:11" x14ac:dyDescent="0.35">
      <c r="A126" t="s">
        <v>136</v>
      </c>
      <c r="B126">
        <v>5</v>
      </c>
      <c r="C126">
        <v>-447206477.30000001</v>
      </c>
      <c r="D126">
        <v>0</v>
      </c>
      <c r="E126">
        <v>789937793.70000005</v>
      </c>
      <c r="F126">
        <v>96133956.799999997</v>
      </c>
      <c r="G126">
        <v>5</v>
      </c>
      <c r="H126">
        <v>5</v>
      </c>
      <c r="I126">
        <v>2</v>
      </c>
      <c r="J126">
        <v>4.4000000000000004</v>
      </c>
      <c r="K126" t="s">
        <v>12</v>
      </c>
    </row>
    <row r="127" spans="1:11" x14ac:dyDescent="0.35">
      <c r="A127" t="s">
        <v>137</v>
      </c>
      <c r="B127">
        <v>5</v>
      </c>
      <c r="C127">
        <v>-573221839.79999995</v>
      </c>
      <c r="D127">
        <v>0</v>
      </c>
      <c r="E127">
        <v>468736880.10000002</v>
      </c>
      <c r="F127">
        <v>51211350.899999999</v>
      </c>
      <c r="G127">
        <v>5</v>
      </c>
      <c r="H127">
        <v>5</v>
      </c>
      <c r="I127">
        <v>2</v>
      </c>
      <c r="J127">
        <v>4.4000000000000004</v>
      </c>
      <c r="K127" t="s">
        <v>12</v>
      </c>
    </row>
    <row r="128" spans="1:11" x14ac:dyDescent="0.35">
      <c r="A128" t="s">
        <v>138</v>
      </c>
      <c r="B128">
        <v>5</v>
      </c>
      <c r="C128">
        <v>-487554061.30000001</v>
      </c>
      <c r="D128">
        <v>0</v>
      </c>
      <c r="E128">
        <v>270684487.5</v>
      </c>
      <c r="F128">
        <v>1323691</v>
      </c>
      <c r="G128">
        <v>5</v>
      </c>
      <c r="H128">
        <v>4</v>
      </c>
      <c r="I128">
        <v>3</v>
      </c>
      <c r="J128">
        <v>4.3</v>
      </c>
      <c r="K128" t="s">
        <v>12</v>
      </c>
    </row>
    <row r="129" spans="1:11" x14ac:dyDescent="0.35">
      <c r="A129" t="s">
        <v>139</v>
      </c>
      <c r="B129">
        <v>5</v>
      </c>
      <c r="C129">
        <v>-186281242.09999999</v>
      </c>
      <c r="D129">
        <v>0.4</v>
      </c>
      <c r="E129">
        <v>363814389.30000001</v>
      </c>
      <c r="F129">
        <v>-17158246.800000001</v>
      </c>
      <c r="G129">
        <v>4</v>
      </c>
      <c r="H129">
        <v>5</v>
      </c>
      <c r="I129">
        <v>4</v>
      </c>
      <c r="J129">
        <v>4.3</v>
      </c>
      <c r="K129" t="s">
        <v>12</v>
      </c>
    </row>
    <row r="130" spans="1:11" x14ac:dyDescent="0.35">
      <c r="A130" t="s">
        <v>140</v>
      </c>
      <c r="B130">
        <v>5</v>
      </c>
      <c r="C130">
        <v>-1843335861</v>
      </c>
      <c r="D130">
        <v>0.2</v>
      </c>
      <c r="E130">
        <v>4095180420</v>
      </c>
      <c r="F130">
        <v>-31809474.399999999</v>
      </c>
      <c r="G130">
        <v>4</v>
      </c>
      <c r="H130">
        <v>5</v>
      </c>
      <c r="I130">
        <v>4</v>
      </c>
      <c r="J130">
        <v>4.3</v>
      </c>
      <c r="K130" t="s">
        <v>12</v>
      </c>
    </row>
    <row r="131" spans="1:11" x14ac:dyDescent="0.35">
      <c r="A131" t="s">
        <v>141</v>
      </c>
      <c r="B131">
        <v>5</v>
      </c>
      <c r="C131">
        <v>-120744402.90000001</v>
      </c>
      <c r="D131">
        <v>0</v>
      </c>
      <c r="E131">
        <v>57517647.259999998</v>
      </c>
      <c r="F131">
        <v>-28004272.199999999</v>
      </c>
      <c r="G131">
        <v>5</v>
      </c>
      <c r="H131">
        <v>3</v>
      </c>
      <c r="I131">
        <v>4</v>
      </c>
      <c r="J131">
        <v>4.2</v>
      </c>
      <c r="K131" t="s">
        <v>12</v>
      </c>
    </row>
    <row r="132" spans="1:11" x14ac:dyDescent="0.35">
      <c r="A132" t="s">
        <v>142</v>
      </c>
      <c r="B132">
        <v>5</v>
      </c>
      <c r="C132">
        <v>-46880885.960000001</v>
      </c>
      <c r="D132">
        <v>0</v>
      </c>
      <c r="E132">
        <v>77163910.540000007</v>
      </c>
      <c r="F132">
        <v>-19061803.899999999</v>
      </c>
      <c r="G132">
        <v>5</v>
      </c>
      <c r="H132">
        <v>3</v>
      </c>
      <c r="I132">
        <v>4</v>
      </c>
      <c r="J132">
        <v>4.2</v>
      </c>
      <c r="K132" t="s">
        <v>12</v>
      </c>
    </row>
    <row r="133" spans="1:11" x14ac:dyDescent="0.35">
      <c r="A133" t="s">
        <v>143</v>
      </c>
      <c r="B133">
        <v>5</v>
      </c>
      <c r="C133">
        <v>-40763698.359999999</v>
      </c>
      <c r="D133">
        <v>0</v>
      </c>
      <c r="E133">
        <v>49880958.979999997</v>
      </c>
      <c r="F133">
        <v>-20610279.399999999</v>
      </c>
      <c r="G133">
        <v>5</v>
      </c>
      <c r="H133">
        <v>3</v>
      </c>
      <c r="I133">
        <v>4</v>
      </c>
      <c r="J133">
        <v>4.2</v>
      </c>
      <c r="K133" t="s">
        <v>12</v>
      </c>
    </row>
    <row r="134" spans="1:11" x14ac:dyDescent="0.35">
      <c r="A134" t="s">
        <v>144</v>
      </c>
      <c r="B134">
        <v>5</v>
      </c>
      <c r="C134">
        <v>-132109491.90000001</v>
      </c>
      <c r="D134">
        <v>0</v>
      </c>
      <c r="E134">
        <v>66645903.770000003</v>
      </c>
      <c r="F134">
        <v>-22356547</v>
      </c>
      <c r="G134">
        <v>5</v>
      </c>
      <c r="H134">
        <v>3</v>
      </c>
      <c r="I134">
        <v>4</v>
      </c>
      <c r="J134">
        <v>4.2</v>
      </c>
      <c r="K134" t="s">
        <v>12</v>
      </c>
    </row>
    <row r="135" spans="1:11" x14ac:dyDescent="0.35">
      <c r="A135" t="s">
        <v>145</v>
      </c>
      <c r="B135">
        <v>5</v>
      </c>
      <c r="C135">
        <v>-121789399.3</v>
      </c>
      <c r="D135">
        <v>0</v>
      </c>
      <c r="E135">
        <v>79335278.930000007</v>
      </c>
      <c r="F135">
        <v>-14761131</v>
      </c>
      <c r="G135">
        <v>5</v>
      </c>
      <c r="H135">
        <v>3</v>
      </c>
      <c r="I135">
        <v>4</v>
      </c>
      <c r="J135">
        <v>4.2</v>
      </c>
      <c r="K135" t="s">
        <v>12</v>
      </c>
    </row>
    <row r="136" spans="1:11" x14ac:dyDescent="0.35">
      <c r="A136" t="s">
        <v>146</v>
      </c>
      <c r="B136">
        <v>5</v>
      </c>
      <c r="C136">
        <v>-86092421.719999999</v>
      </c>
      <c r="D136">
        <v>0</v>
      </c>
      <c r="E136">
        <v>107324817.90000001</v>
      </c>
      <c r="F136">
        <v>-13719087.699999999</v>
      </c>
      <c r="G136">
        <v>5</v>
      </c>
      <c r="H136">
        <v>3</v>
      </c>
      <c r="I136">
        <v>4</v>
      </c>
      <c r="J136">
        <v>4.2</v>
      </c>
      <c r="K136" t="s">
        <v>12</v>
      </c>
    </row>
    <row r="137" spans="1:11" x14ac:dyDescent="0.35">
      <c r="A137" t="s">
        <v>147</v>
      </c>
      <c r="B137">
        <v>5</v>
      </c>
      <c r="C137">
        <v>-90385445.780000001</v>
      </c>
      <c r="D137">
        <v>0</v>
      </c>
      <c r="E137">
        <v>49817970.350000001</v>
      </c>
      <c r="F137">
        <v>-14120071.699999999</v>
      </c>
      <c r="G137">
        <v>5</v>
      </c>
      <c r="H137">
        <v>3</v>
      </c>
      <c r="I137">
        <v>4</v>
      </c>
      <c r="J137">
        <v>4.2</v>
      </c>
      <c r="K137" t="s">
        <v>12</v>
      </c>
    </row>
    <row r="138" spans="1:11" x14ac:dyDescent="0.35">
      <c r="A138" t="s">
        <v>148</v>
      </c>
      <c r="B138">
        <v>5</v>
      </c>
      <c r="C138">
        <v>-90338789.519999996</v>
      </c>
      <c r="D138">
        <v>0</v>
      </c>
      <c r="E138">
        <v>60297025.549999997</v>
      </c>
      <c r="F138">
        <v>-6938596.0999999996</v>
      </c>
      <c r="G138">
        <v>5</v>
      </c>
      <c r="H138">
        <v>3</v>
      </c>
      <c r="I138">
        <v>4</v>
      </c>
      <c r="J138">
        <v>4.2</v>
      </c>
      <c r="K138" t="s">
        <v>12</v>
      </c>
    </row>
    <row r="139" spans="1:11" x14ac:dyDescent="0.35">
      <c r="A139" t="s">
        <v>149</v>
      </c>
      <c r="B139">
        <v>5</v>
      </c>
      <c r="C139">
        <v>-240178895.69999999</v>
      </c>
      <c r="D139">
        <v>0</v>
      </c>
      <c r="E139">
        <v>77413850.040000007</v>
      </c>
      <c r="F139">
        <v>-5641430.9000000004</v>
      </c>
      <c r="G139">
        <v>5</v>
      </c>
      <c r="H139">
        <v>3</v>
      </c>
      <c r="I139">
        <v>4</v>
      </c>
      <c r="J139">
        <v>4.2</v>
      </c>
      <c r="K139" t="s">
        <v>12</v>
      </c>
    </row>
    <row r="140" spans="1:11" x14ac:dyDescent="0.35">
      <c r="A140" t="s">
        <v>150</v>
      </c>
      <c r="B140">
        <v>5</v>
      </c>
      <c r="C140">
        <v>-91702538.780000001</v>
      </c>
      <c r="D140">
        <v>0.2</v>
      </c>
      <c r="E140">
        <v>173676120.30000001</v>
      </c>
      <c r="F140">
        <v>-94855800.299999997</v>
      </c>
      <c r="G140">
        <v>4</v>
      </c>
      <c r="H140">
        <v>4</v>
      </c>
      <c r="I140">
        <v>5</v>
      </c>
      <c r="J140">
        <v>4.2</v>
      </c>
      <c r="K140" t="s">
        <v>12</v>
      </c>
    </row>
    <row r="141" spans="1:11" x14ac:dyDescent="0.35">
      <c r="A141" t="s">
        <v>151</v>
      </c>
      <c r="B141">
        <v>5</v>
      </c>
      <c r="C141">
        <v>-107953419.7</v>
      </c>
      <c r="D141">
        <v>0.2</v>
      </c>
      <c r="E141">
        <v>112807245.3</v>
      </c>
      <c r="F141">
        <v>-86973372.5</v>
      </c>
      <c r="G141">
        <v>4</v>
      </c>
      <c r="H141">
        <v>4</v>
      </c>
      <c r="I141">
        <v>5</v>
      </c>
      <c r="J141">
        <v>4.2</v>
      </c>
      <c r="K141" t="s">
        <v>12</v>
      </c>
    </row>
    <row r="142" spans="1:11" x14ac:dyDescent="0.35">
      <c r="A142" t="s">
        <v>152</v>
      </c>
      <c r="B142">
        <v>5</v>
      </c>
      <c r="C142">
        <v>28210997.039999999</v>
      </c>
      <c r="D142">
        <v>0.4</v>
      </c>
      <c r="E142">
        <v>132516469.5</v>
      </c>
      <c r="F142">
        <v>-90782067.900000006</v>
      </c>
      <c r="G142">
        <v>4</v>
      </c>
      <c r="H142">
        <v>4</v>
      </c>
      <c r="I142">
        <v>5</v>
      </c>
      <c r="J142">
        <v>4.2</v>
      </c>
      <c r="K142" t="s">
        <v>12</v>
      </c>
    </row>
    <row r="143" spans="1:11" x14ac:dyDescent="0.35">
      <c r="A143" t="s">
        <v>153</v>
      </c>
      <c r="B143">
        <v>5</v>
      </c>
      <c r="C143">
        <v>-177263425.80000001</v>
      </c>
      <c r="D143">
        <v>0</v>
      </c>
      <c r="E143">
        <v>153811703.19999999</v>
      </c>
      <c r="F143">
        <v>-82020514.799999997</v>
      </c>
      <c r="G143">
        <v>4</v>
      </c>
      <c r="H143">
        <v>4</v>
      </c>
      <c r="I143">
        <v>5</v>
      </c>
      <c r="J143">
        <v>4.2</v>
      </c>
      <c r="K143" t="s">
        <v>12</v>
      </c>
    </row>
    <row r="144" spans="1:11" x14ac:dyDescent="0.35">
      <c r="A144" t="s">
        <v>154</v>
      </c>
      <c r="B144">
        <v>5</v>
      </c>
      <c r="C144">
        <v>-119185674.7</v>
      </c>
      <c r="D144">
        <v>0.2</v>
      </c>
      <c r="E144">
        <v>169886182.30000001</v>
      </c>
      <c r="F144">
        <v>-85409390.799999997</v>
      </c>
      <c r="G144">
        <v>4</v>
      </c>
      <c r="H144">
        <v>4</v>
      </c>
      <c r="I144">
        <v>5</v>
      </c>
      <c r="J144">
        <v>4.2</v>
      </c>
      <c r="K144" t="s">
        <v>12</v>
      </c>
    </row>
    <row r="145" spans="1:11" x14ac:dyDescent="0.35">
      <c r="A145" t="s">
        <v>155</v>
      </c>
      <c r="B145">
        <v>5</v>
      </c>
      <c r="C145">
        <v>-176719734.90000001</v>
      </c>
      <c r="D145">
        <v>0</v>
      </c>
      <c r="E145">
        <v>54743607.399999999</v>
      </c>
      <c r="F145">
        <v>-77879351.299999997</v>
      </c>
      <c r="G145">
        <v>5</v>
      </c>
      <c r="H145">
        <v>3</v>
      </c>
      <c r="I145">
        <v>4</v>
      </c>
      <c r="J145">
        <v>4.2</v>
      </c>
      <c r="K145" t="s">
        <v>12</v>
      </c>
    </row>
    <row r="146" spans="1:11" x14ac:dyDescent="0.35">
      <c r="A146" t="s">
        <v>156</v>
      </c>
      <c r="B146">
        <v>5</v>
      </c>
      <c r="C146">
        <v>-51643155.119999997</v>
      </c>
      <c r="D146">
        <v>0</v>
      </c>
      <c r="E146">
        <v>47084360.509999998</v>
      </c>
      <c r="F146">
        <v>-73356981.099999994</v>
      </c>
      <c r="G146">
        <v>5</v>
      </c>
      <c r="H146">
        <v>3</v>
      </c>
      <c r="I146">
        <v>4</v>
      </c>
      <c r="J146">
        <v>4.2</v>
      </c>
      <c r="K146" t="s">
        <v>12</v>
      </c>
    </row>
    <row r="147" spans="1:11" x14ac:dyDescent="0.35">
      <c r="A147" t="s">
        <v>157</v>
      </c>
      <c r="B147">
        <v>5</v>
      </c>
      <c r="C147">
        <v>-52478426.100000001</v>
      </c>
      <c r="D147">
        <v>0.2</v>
      </c>
      <c r="E147">
        <v>140816272.09999999</v>
      </c>
      <c r="F147">
        <v>-110010800.09999999</v>
      </c>
      <c r="G147">
        <v>4</v>
      </c>
      <c r="H147">
        <v>4</v>
      </c>
      <c r="I147">
        <v>5</v>
      </c>
      <c r="J147">
        <v>4.2</v>
      </c>
      <c r="K147" t="s">
        <v>12</v>
      </c>
    </row>
    <row r="148" spans="1:11" x14ac:dyDescent="0.35">
      <c r="A148" t="s">
        <v>158</v>
      </c>
      <c r="B148">
        <v>5</v>
      </c>
      <c r="C148">
        <v>-67279720.599999994</v>
      </c>
      <c r="D148">
        <v>0.2</v>
      </c>
      <c r="E148">
        <v>114831078.3</v>
      </c>
      <c r="F148">
        <v>-111531254.7</v>
      </c>
      <c r="G148">
        <v>4</v>
      </c>
      <c r="H148">
        <v>4</v>
      </c>
      <c r="I148">
        <v>5</v>
      </c>
      <c r="J148">
        <v>4.2</v>
      </c>
      <c r="K148" t="s">
        <v>12</v>
      </c>
    </row>
    <row r="149" spans="1:11" x14ac:dyDescent="0.35">
      <c r="A149" t="s">
        <v>159</v>
      </c>
      <c r="B149">
        <v>5</v>
      </c>
      <c r="C149">
        <v>-219933747.09999999</v>
      </c>
      <c r="D149">
        <v>0.4</v>
      </c>
      <c r="E149">
        <v>317391747.80000001</v>
      </c>
      <c r="F149">
        <v>-103457086.09999999</v>
      </c>
      <c r="G149">
        <v>4</v>
      </c>
      <c r="H149">
        <v>4</v>
      </c>
      <c r="I149">
        <v>5</v>
      </c>
      <c r="J149">
        <v>4.2</v>
      </c>
      <c r="K149" t="s">
        <v>12</v>
      </c>
    </row>
    <row r="150" spans="1:11" x14ac:dyDescent="0.35">
      <c r="A150" t="s">
        <v>160</v>
      </c>
      <c r="B150">
        <v>5</v>
      </c>
      <c r="C150">
        <v>-89033283.159999996</v>
      </c>
      <c r="D150">
        <v>0.2</v>
      </c>
      <c r="E150">
        <v>149106685.69999999</v>
      </c>
      <c r="F150">
        <v>-108120274.8</v>
      </c>
      <c r="G150">
        <v>4</v>
      </c>
      <c r="H150">
        <v>4</v>
      </c>
      <c r="I150">
        <v>5</v>
      </c>
      <c r="J150">
        <v>4.2</v>
      </c>
      <c r="K150" t="s">
        <v>12</v>
      </c>
    </row>
    <row r="151" spans="1:11" x14ac:dyDescent="0.35">
      <c r="A151" t="s">
        <v>161</v>
      </c>
      <c r="B151">
        <v>5</v>
      </c>
      <c r="C151">
        <v>-182914167.40000001</v>
      </c>
      <c r="D151">
        <v>0</v>
      </c>
      <c r="E151">
        <v>62319807.93</v>
      </c>
      <c r="F151">
        <v>-59226596.700000003</v>
      </c>
      <c r="G151">
        <v>5</v>
      </c>
      <c r="H151">
        <v>3</v>
      </c>
      <c r="I151">
        <v>4</v>
      </c>
      <c r="J151">
        <v>4.2</v>
      </c>
      <c r="K151" t="s">
        <v>12</v>
      </c>
    </row>
    <row r="152" spans="1:11" x14ac:dyDescent="0.35">
      <c r="A152" t="s">
        <v>162</v>
      </c>
      <c r="B152">
        <v>5</v>
      </c>
      <c r="C152">
        <v>-86505950.939999998</v>
      </c>
      <c r="D152">
        <v>0</v>
      </c>
      <c r="E152">
        <v>45336587.740000002</v>
      </c>
      <c r="F152">
        <v>-61305920.899999999</v>
      </c>
      <c r="G152">
        <v>5</v>
      </c>
      <c r="H152">
        <v>3</v>
      </c>
      <c r="I152">
        <v>4</v>
      </c>
      <c r="J152">
        <v>4.2</v>
      </c>
      <c r="K152" t="s">
        <v>12</v>
      </c>
    </row>
    <row r="153" spans="1:11" x14ac:dyDescent="0.35">
      <c r="A153" t="s">
        <v>163</v>
      </c>
      <c r="B153">
        <v>5</v>
      </c>
      <c r="C153">
        <v>-94022976.640000001</v>
      </c>
      <c r="D153">
        <v>0</v>
      </c>
      <c r="E153">
        <v>56378680.159999996</v>
      </c>
      <c r="F153">
        <v>-65552803.600000001</v>
      </c>
      <c r="G153">
        <v>5</v>
      </c>
      <c r="H153">
        <v>3</v>
      </c>
      <c r="I153">
        <v>4</v>
      </c>
      <c r="J153">
        <v>4.2</v>
      </c>
      <c r="K153" t="s">
        <v>12</v>
      </c>
    </row>
    <row r="154" spans="1:11" x14ac:dyDescent="0.35">
      <c r="A154" t="s">
        <v>164</v>
      </c>
      <c r="B154">
        <v>5</v>
      </c>
      <c r="C154">
        <v>-75114242.439999998</v>
      </c>
      <c r="D154">
        <v>0</v>
      </c>
      <c r="E154">
        <v>64634577.82</v>
      </c>
      <c r="F154">
        <v>-50991763</v>
      </c>
      <c r="G154">
        <v>5</v>
      </c>
      <c r="H154">
        <v>3</v>
      </c>
      <c r="I154">
        <v>4</v>
      </c>
      <c r="J154">
        <v>4.2</v>
      </c>
      <c r="K154" t="s">
        <v>12</v>
      </c>
    </row>
    <row r="155" spans="1:11" x14ac:dyDescent="0.35">
      <c r="A155" t="s">
        <v>165</v>
      </c>
      <c r="B155">
        <v>5</v>
      </c>
      <c r="C155">
        <v>-145402259.30000001</v>
      </c>
      <c r="D155">
        <v>0</v>
      </c>
      <c r="E155">
        <v>49939104.189999998</v>
      </c>
      <c r="F155">
        <v>-49204638.700000003</v>
      </c>
      <c r="G155">
        <v>5</v>
      </c>
      <c r="H155">
        <v>3</v>
      </c>
      <c r="I155">
        <v>4</v>
      </c>
      <c r="J155">
        <v>4.2</v>
      </c>
      <c r="K155" t="s">
        <v>12</v>
      </c>
    </row>
    <row r="156" spans="1:11" x14ac:dyDescent="0.35">
      <c r="A156" t="s">
        <v>166</v>
      </c>
      <c r="B156">
        <v>5</v>
      </c>
      <c r="C156">
        <v>-114192740</v>
      </c>
      <c r="D156">
        <v>0</v>
      </c>
      <c r="E156">
        <v>71570049.549999997</v>
      </c>
      <c r="F156">
        <v>-40678848.5</v>
      </c>
      <c r="G156">
        <v>5</v>
      </c>
      <c r="H156">
        <v>3</v>
      </c>
      <c r="I156">
        <v>4</v>
      </c>
      <c r="J156">
        <v>4.2</v>
      </c>
      <c r="K156" t="s">
        <v>12</v>
      </c>
    </row>
    <row r="157" spans="1:11" x14ac:dyDescent="0.35">
      <c r="A157" t="s">
        <v>167</v>
      </c>
      <c r="B157">
        <v>5</v>
      </c>
      <c r="C157">
        <v>-56846705.460000001</v>
      </c>
      <c r="D157">
        <v>0</v>
      </c>
      <c r="E157">
        <v>59891028.340000004</v>
      </c>
      <c r="F157">
        <v>-43636900.5</v>
      </c>
      <c r="G157">
        <v>5</v>
      </c>
      <c r="H157">
        <v>3</v>
      </c>
      <c r="I157">
        <v>4</v>
      </c>
      <c r="J157">
        <v>4.2</v>
      </c>
      <c r="K157" t="s">
        <v>12</v>
      </c>
    </row>
    <row r="158" spans="1:11" x14ac:dyDescent="0.35">
      <c r="A158" t="s">
        <v>168</v>
      </c>
      <c r="B158">
        <v>5</v>
      </c>
      <c r="C158">
        <v>-128246152.09999999</v>
      </c>
      <c r="D158">
        <v>0</v>
      </c>
      <c r="E158">
        <v>109454753</v>
      </c>
      <c r="F158">
        <v>-44933602.5</v>
      </c>
      <c r="G158">
        <v>5</v>
      </c>
      <c r="H158">
        <v>3</v>
      </c>
      <c r="I158">
        <v>4</v>
      </c>
      <c r="J158">
        <v>4.2</v>
      </c>
      <c r="K158" t="s">
        <v>12</v>
      </c>
    </row>
    <row r="159" spans="1:11" x14ac:dyDescent="0.35">
      <c r="A159" t="s">
        <v>169</v>
      </c>
      <c r="B159">
        <v>5</v>
      </c>
      <c r="C159">
        <v>-44759485.140000001</v>
      </c>
      <c r="D159">
        <v>0</v>
      </c>
      <c r="E159">
        <v>49791087.060000002</v>
      </c>
      <c r="F159">
        <v>-45441125.799999997</v>
      </c>
      <c r="G159">
        <v>5</v>
      </c>
      <c r="H159">
        <v>3</v>
      </c>
      <c r="I159">
        <v>4</v>
      </c>
      <c r="J159">
        <v>4.2</v>
      </c>
      <c r="K159" t="s">
        <v>12</v>
      </c>
    </row>
    <row r="160" spans="1:11" x14ac:dyDescent="0.35">
      <c r="A160" t="s">
        <v>170</v>
      </c>
      <c r="B160">
        <v>5</v>
      </c>
      <c r="C160">
        <v>-106990381.09999999</v>
      </c>
      <c r="D160">
        <v>0</v>
      </c>
      <c r="E160">
        <v>98394335.870000005</v>
      </c>
      <c r="F160">
        <v>-45479704.5</v>
      </c>
      <c r="G160">
        <v>5</v>
      </c>
      <c r="H160">
        <v>3</v>
      </c>
      <c r="I160">
        <v>4</v>
      </c>
      <c r="J160">
        <v>4.2</v>
      </c>
      <c r="K160" t="s">
        <v>12</v>
      </c>
    </row>
    <row r="161" spans="1:11" x14ac:dyDescent="0.35">
      <c r="A161" t="s">
        <v>171</v>
      </c>
      <c r="B161">
        <v>5</v>
      </c>
      <c r="C161">
        <v>-173043919.09999999</v>
      </c>
      <c r="D161">
        <v>0.2</v>
      </c>
      <c r="E161">
        <v>149692747.69999999</v>
      </c>
      <c r="F161">
        <v>-234307436.5</v>
      </c>
      <c r="G161">
        <v>4</v>
      </c>
      <c r="H161">
        <v>4</v>
      </c>
      <c r="I161">
        <v>5</v>
      </c>
      <c r="J161">
        <v>4.2</v>
      </c>
      <c r="K161" t="s">
        <v>12</v>
      </c>
    </row>
    <row r="162" spans="1:11" x14ac:dyDescent="0.35">
      <c r="A162" t="s">
        <v>172</v>
      </c>
      <c r="B162">
        <v>5</v>
      </c>
      <c r="C162">
        <v>-303538725.60000002</v>
      </c>
      <c r="D162">
        <v>0</v>
      </c>
      <c r="E162">
        <v>126507201.7</v>
      </c>
      <c r="F162">
        <v>-229300446.09999999</v>
      </c>
      <c r="G162">
        <v>4</v>
      </c>
      <c r="H162">
        <v>4</v>
      </c>
      <c r="I162">
        <v>5</v>
      </c>
      <c r="J162">
        <v>4.2</v>
      </c>
      <c r="K162" t="s">
        <v>12</v>
      </c>
    </row>
    <row r="163" spans="1:11" x14ac:dyDescent="0.35">
      <c r="A163" t="s">
        <v>173</v>
      </c>
      <c r="B163">
        <v>5</v>
      </c>
      <c r="C163">
        <v>-132808042.90000001</v>
      </c>
      <c r="D163">
        <v>0.2</v>
      </c>
      <c r="E163">
        <v>183944577.19999999</v>
      </c>
      <c r="F163">
        <v>-247974919.90000001</v>
      </c>
      <c r="G163">
        <v>4</v>
      </c>
      <c r="H163">
        <v>4</v>
      </c>
      <c r="I163">
        <v>5</v>
      </c>
      <c r="J163">
        <v>4.2</v>
      </c>
      <c r="K163" t="s">
        <v>12</v>
      </c>
    </row>
    <row r="164" spans="1:11" x14ac:dyDescent="0.35">
      <c r="A164" t="s">
        <v>174</v>
      </c>
      <c r="B164">
        <v>5</v>
      </c>
      <c r="C164">
        <v>26348936.02</v>
      </c>
      <c r="D164">
        <v>0.4</v>
      </c>
      <c r="E164">
        <v>188705066.59999999</v>
      </c>
      <c r="F164">
        <v>-236894312.5</v>
      </c>
      <c r="G164">
        <v>4</v>
      </c>
      <c r="H164">
        <v>4</v>
      </c>
      <c r="I164">
        <v>5</v>
      </c>
      <c r="J164">
        <v>4.2</v>
      </c>
      <c r="K164" t="s">
        <v>12</v>
      </c>
    </row>
    <row r="165" spans="1:11" x14ac:dyDescent="0.35">
      <c r="A165" t="s">
        <v>175</v>
      </c>
      <c r="B165">
        <v>5</v>
      </c>
      <c r="C165">
        <v>-149989519.80000001</v>
      </c>
      <c r="D165">
        <v>0.2</v>
      </c>
      <c r="E165">
        <v>150111682.5</v>
      </c>
      <c r="F165">
        <v>-239752831.40000001</v>
      </c>
      <c r="G165">
        <v>4</v>
      </c>
      <c r="H165">
        <v>4</v>
      </c>
      <c r="I165">
        <v>5</v>
      </c>
      <c r="J165">
        <v>4.2</v>
      </c>
      <c r="K165" t="s">
        <v>12</v>
      </c>
    </row>
    <row r="166" spans="1:11" x14ac:dyDescent="0.35">
      <c r="A166" t="s">
        <v>176</v>
      </c>
      <c r="B166">
        <v>5</v>
      </c>
      <c r="C166">
        <v>-3610804.08</v>
      </c>
      <c r="D166">
        <v>0.4</v>
      </c>
      <c r="E166">
        <v>145592921.5</v>
      </c>
      <c r="F166">
        <v>-223509681.5</v>
      </c>
      <c r="G166">
        <v>4</v>
      </c>
      <c r="H166">
        <v>4</v>
      </c>
      <c r="I166">
        <v>5</v>
      </c>
      <c r="J166">
        <v>4.2</v>
      </c>
      <c r="K166" t="s">
        <v>12</v>
      </c>
    </row>
    <row r="167" spans="1:11" x14ac:dyDescent="0.35">
      <c r="A167" t="s">
        <v>177</v>
      </c>
      <c r="B167">
        <v>5</v>
      </c>
      <c r="C167">
        <v>-211937757.19999999</v>
      </c>
      <c r="D167">
        <v>0</v>
      </c>
      <c r="E167">
        <v>209228960.80000001</v>
      </c>
      <c r="F167">
        <v>-221153930.30000001</v>
      </c>
      <c r="G167">
        <v>4</v>
      </c>
      <c r="H167">
        <v>4</v>
      </c>
      <c r="I167">
        <v>5</v>
      </c>
      <c r="J167">
        <v>4.2</v>
      </c>
      <c r="K167" t="s">
        <v>12</v>
      </c>
    </row>
    <row r="168" spans="1:11" x14ac:dyDescent="0.35">
      <c r="A168" t="s">
        <v>178</v>
      </c>
      <c r="B168">
        <v>5</v>
      </c>
      <c r="C168">
        <v>-72107622.579999998</v>
      </c>
      <c r="D168">
        <v>0.2</v>
      </c>
      <c r="E168">
        <v>166713504</v>
      </c>
      <c r="F168">
        <v>-198793423.59999999</v>
      </c>
      <c r="G168">
        <v>4</v>
      </c>
      <c r="H168">
        <v>4</v>
      </c>
      <c r="I168">
        <v>5</v>
      </c>
      <c r="J168">
        <v>4.2</v>
      </c>
      <c r="K168" t="s">
        <v>12</v>
      </c>
    </row>
    <row r="169" spans="1:11" x14ac:dyDescent="0.35">
      <c r="A169" t="s">
        <v>179</v>
      </c>
      <c r="B169">
        <v>5</v>
      </c>
      <c r="C169">
        <v>-126253594.8</v>
      </c>
      <c r="D169">
        <v>0.2</v>
      </c>
      <c r="E169">
        <v>184271522.40000001</v>
      </c>
      <c r="F169">
        <v>-197159664.19999999</v>
      </c>
      <c r="G169">
        <v>4</v>
      </c>
      <c r="H169">
        <v>4</v>
      </c>
      <c r="I169">
        <v>5</v>
      </c>
      <c r="J169">
        <v>4.2</v>
      </c>
      <c r="K169" t="s">
        <v>12</v>
      </c>
    </row>
    <row r="170" spans="1:11" x14ac:dyDescent="0.35">
      <c r="A170" t="s">
        <v>180</v>
      </c>
      <c r="B170">
        <v>5</v>
      </c>
      <c r="C170">
        <v>-388473655.80000001</v>
      </c>
      <c r="D170">
        <v>0</v>
      </c>
      <c r="E170">
        <v>217099152.5</v>
      </c>
      <c r="F170">
        <v>-187070148.69999999</v>
      </c>
      <c r="G170">
        <v>4</v>
      </c>
      <c r="H170">
        <v>4</v>
      </c>
      <c r="I170">
        <v>5</v>
      </c>
      <c r="J170">
        <v>4.2</v>
      </c>
      <c r="K170" t="s">
        <v>12</v>
      </c>
    </row>
    <row r="171" spans="1:11" x14ac:dyDescent="0.35">
      <c r="A171" t="s">
        <v>181</v>
      </c>
      <c r="B171">
        <v>5</v>
      </c>
      <c r="C171">
        <v>-46331208.920000002</v>
      </c>
      <c r="D171">
        <v>0.2</v>
      </c>
      <c r="E171">
        <v>120959975.90000001</v>
      </c>
      <c r="F171">
        <v>-156570562</v>
      </c>
      <c r="G171">
        <v>4</v>
      </c>
      <c r="H171">
        <v>4</v>
      </c>
      <c r="I171">
        <v>5</v>
      </c>
      <c r="J171">
        <v>4.2</v>
      </c>
      <c r="K171" t="s">
        <v>12</v>
      </c>
    </row>
    <row r="172" spans="1:11" x14ac:dyDescent="0.35">
      <c r="A172" t="s">
        <v>182</v>
      </c>
      <c r="B172">
        <v>5</v>
      </c>
      <c r="C172">
        <v>-47131854.259999998</v>
      </c>
      <c r="D172">
        <v>0.4</v>
      </c>
      <c r="E172">
        <v>157892385.59999999</v>
      </c>
      <c r="F172">
        <v>-153476048.40000001</v>
      </c>
      <c r="G172">
        <v>4</v>
      </c>
      <c r="H172">
        <v>4</v>
      </c>
      <c r="I172">
        <v>5</v>
      </c>
      <c r="J172">
        <v>4.2</v>
      </c>
      <c r="K172" t="s">
        <v>12</v>
      </c>
    </row>
    <row r="173" spans="1:11" x14ac:dyDescent="0.35">
      <c r="A173" t="s">
        <v>183</v>
      </c>
      <c r="B173">
        <v>5</v>
      </c>
      <c r="C173">
        <v>-122917298.3</v>
      </c>
      <c r="D173">
        <v>0.2</v>
      </c>
      <c r="E173">
        <v>166929861</v>
      </c>
      <c r="F173">
        <v>-162167732.69999999</v>
      </c>
      <c r="G173">
        <v>4</v>
      </c>
      <c r="H173">
        <v>4</v>
      </c>
      <c r="I173">
        <v>5</v>
      </c>
      <c r="J173">
        <v>4.2</v>
      </c>
      <c r="K173" t="s">
        <v>12</v>
      </c>
    </row>
    <row r="174" spans="1:11" x14ac:dyDescent="0.35">
      <c r="A174" t="s">
        <v>184</v>
      </c>
      <c r="B174">
        <v>5</v>
      </c>
      <c r="C174">
        <v>-189022486</v>
      </c>
      <c r="D174">
        <v>0.2</v>
      </c>
      <c r="E174">
        <v>148446155.80000001</v>
      </c>
      <c r="F174">
        <v>-274269450.30000001</v>
      </c>
      <c r="G174">
        <v>4</v>
      </c>
      <c r="H174">
        <v>4</v>
      </c>
      <c r="I174">
        <v>5</v>
      </c>
      <c r="J174">
        <v>4.2</v>
      </c>
      <c r="K174" t="s">
        <v>12</v>
      </c>
    </row>
    <row r="175" spans="1:11" x14ac:dyDescent="0.35">
      <c r="A175" t="s">
        <v>185</v>
      </c>
      <c r="B175">
        <v>5</v>
      </c>
      <c r="C175">
        <v>-27466791.440000001</v>
      </c>
      <c r="D175">
        <v>0.4</v>
      </c>
      <c r="E175">
        <v>118344646.7</v>
      </c>
      <c r="F175">
        <v>-278364413.80000001</v>
      </c>
      <c r="G175">
        <v>4</v>
      </c>
      <c r="H175">
        <v>4</v>
      </c>
      <c r="I175">
        <v>5</v>
      </c>
      <c r="J175">
        <v>4.2</v>
      </c>
      <c r="K175" t="s">
        <v>12</v>
      </c>
    </row>
    <row r="176" spans="1:11" x14ac:dyDescent="0.35">
      <c r="A176" t="s">
        <v>186</v>
      </c>
      <c r="B176">
        <v>5</v>
      </c>
      <c r="C176">
        <v>-72628578.680000007</v>
      </c>
      <c r="D176">
        <v>0.2</v>
      </c>
      <c r="E176">
        <v>243789184.30000001</v>
      </c>
      <c r="F176">
        <v>-279331298.39999998</v>
      </c>
      <c r="G176">
        <v>4</v>
      </c>
      <c r="H176">
        <v>4</v>
      </c>
      <c r="I176">
        <v>5</v>
      </c>
      <c r="J176">
        <v>4.2</v>
      </c>
      <c r="K176" t="s">
        <v>12</v>
      </c>
    </row>
    <row r="177" spans="1:11" x14ac:dyDescent="0.35">
      <c r="A177" t="s">
        <v>187</v>
      </c>
      <c r="B177">
        <v>5</v>
      </c>
      <c r="C177">
        <v>-178961725.90000001</v>
      </c>
      <c r="D177">
        <v>0</v>
      </c>
      <c r="E177">
        <v>127152483.5</v>
      </c>
      <c r="F177">
        <v>-262382351</v>
      </c>
      <c r="G177">
        <v>4</v>
      </c>
      <c r="H177">
        <v>4</v>
      </c>
      <c r="I177">
        <v>5</v>
      </c>
      <c r="J177">
        <v>4.2</v>
      </c>
      <c r="K177" t="s">
        <v>12</v>
      </c>
    </row>
    <row r="178" spans="1:11" x14ac:dyDescent="0.35">
      <c r="A178" t="s">
        <v>188</v>
      </c>
      <c r="B178">
        <v>5</v>
      </c>
      <c r="C178">
        <v>-122977436</v>
      </c>
      <c r="D178">
        <v>0.4</v>
      </c>
      <c r="E178">
        <v>213108669.59999999</v>
      </c>
      <c r="F178">
        <v>-322012644.39999998</v>
      </c>
      <c r="G178">
        <v>4</v>
      </c>
      <c r="H178">
        <v>4</v>
      </c>
      <c r="I178">
        <v>5</v>
      </c>
      <c r="J178">
        <v>4.2</v>
      </c>
      <c r="K178" t="s">
        <v>12</v>
      </c>
    </row>
    <row r="179" spans="1:11" x14ac:dyDescent="0.35">
      <c r="A179" t="s">
        <v>189</v>
      </c>
      <c r="B179">
        <v>5</v>
      </c>
      <c r="C179">
        <v>-438688455.10000002</v>
      </c>
      <c r="D179">
        <v>0</v>
      </c>
      <c r="E179">
        <v>153613525.40000001</v>
      </c>
      <c r="F179">
        <v>-295020495.69999999</v>
      </c>
      <c r="G179">
        <v>4</v>
      </c>
      <c r="H179">
        <v>4</v>
      </c>
      <c r="I179">
        <v>5</v>
      </c>
      <c r="J179">
        <v>4.2</v>
      </c>
      <c r="K179" t="s">
        <v>12</v>
      </c>
    </row>
    <row r="180" spans="1:11" x14ac:dyDescent="0.35">
      <c r="A180" t="s">
        <v>190</v>
      </c>
      <c r="B180">
        <v>5</v>
      </c>
      <c r="C180">
        <v>-155431317.19999999</v>
      </c>
      <c r="D180">
        <v>0.2</v>
      </c>
      <c r="E180">
        <v>306949291.30000001</v>
      </c>
      <c r="F180">
        <v>-290452951</v>
      </c>
      <c r="G180">
        <v>4</v>
      </c>
      <c r="H180">
        <v>4</v>
      </c>
      <c r="I180">
        <v>5</v>
      </c>
      <c r="J180">
        <v>4.2</v>
      </c>
      <c r="K180" t="s">
        <v>12</v>
      </c>
    </row>
    <row r="181" spans="1:11" x14ac:dyDescent="0.35">
      <c r="A181" t="s">
        <v>191</v>
      </c>
      <c r="B181">
        <v>5</v>
      </c>
      <c r="C181">
        <v>-91305609.379999995</v>
      </c>
      <c r="D181">
        <v>0.4</v>
      </c>
      <c r="E181">
        <v>158138601.69999999</v>
      </c>
      <c r="F181">
        <v>-377453935.5</v>
      </c>
      <c r="G181">
        <v>4</v>
      </c>
      <c r="H181">
        <v>4</v>
      </c>
      <c r="I181">
        <v>5</v>
      </c>
      <c r="J181">
        <v>4.2</v>
      </c>
      <c r="K181" t="s">
        <v>12</v>
      </c>
    </row>
    <row r="182" spans="1:11" x14ac:dyDescent="0.35">
      <c r="A182" t="s">
        <v>192</v>
      </c>
      <c r="B182">
        <v>5</v>
      </c>
      <c r="C182">
        <v>-391479064.69999999</v>
      </c>
      <c r="D182">
        <v>0</v>
      </c>
      <c r="E182">
        <v>263651654.30000001</v>
      </c>
      <c r="F182">
        <v>-378578663.39999998</v>
      </c>
      <c r="G182">
        <v>4</v>
      </c>
      <c r="H182">
        <v>4</v>
      </c>
      <c r="I182">
        <v>5</v>
      </c>
      <c r="J182">
        <v>4.2</v>
      </c>
      <c r="K182" t="s">
        <v>12</v>
      </c>
    </row>
    <row r="183" spans="1:11" x14ac:dyDescent="0.35">
      <c r="A183" t="s">
        <v>193</v>
      </c>
      <c r="B183">
        <v>5</v>
      </c>
      <c r="C183">
        <v>34640219.619999997</v>
      </c>
      <c r="D183">
        <v>0.4</v>
      </c>
      <c r="E183">
        <v>153085904.80000001</v>
      </c>
      <c r="F183">
        <v>-328150215.89999998</v>
      </c>
      <c r="G183">
        <v>4</v>
      </c>
      <c r="H183">
        <v>4</v>
      </c>
      <c r="I183">
        <v>5</v>
      </c>
      <c r="J183">
        <v>4.2</v>
      </c>
      <c r="K183" t="s">
        <v>12</v>
      </c>
    </row>
    <row r="184" spans="1:11" x14ac:dyDescent="0.35">
      <c r="A184" t="s">
        <v>194</v>
      </c>
      <c r="B184">
        <v>5</v>
      </c>
      <c r="C184">
        <v>-134454402.09999999</v>
      </c>
      <c r="D184">
        <v>0.2</v>
      </c>
      <c r="E184">
        <v>192192906.30000001</v>
      </c>
      <c r="F184">
        <v>-365225753.69999999</v>
      </c>
      <c r="G184">
        <v>4</v>
      </c>
      <c r="H184">
        <v>4</v>
      </c>
      <c r="I184">
        <v>5</v>
      </c>
      <c r="J184">
        <v>4.2</v>
      </c>
      <c r="K184" t="s">
        <v>12</v>
      </c>
    </row>
    <row r="185" spans="1:11" x14ac:dyDescent="0.35">
      <c r="A185" t="s">
        <v>195</v>
      </c>
      <c r="B185">
        <v>5</v>
      </c>
      <c r="C185">
        <v>111235697.09999999</v>
      </c>
      <c r="D185">
        <v>0.2</v>
      </c>
      <c r="E185">
        <v>295512628.10000002</v>
      </c>
      <c r="F185">
        <v>-663549002.39999998</v>
      </c>
      <c r="G185">
        <v>4</v>
      </c>
      <c r="H185">
        <v>4</v>
      </c>
      <c r="I185">
        <v>5</v>
      </c>
      <c r="J185">
        <v>4.2</v>
      </c>
      <c r="K185" t="s">
        <v>12</v>
      </c>
    </row>
    <row r="186" spans="1:11" x14ac:dyDescent="0.35">
      <c r="A186" t="s">
        <v>196</v>
      </c>
      <c r="B186">
        <v>5</v>
      </c>
      <c r="C186">
        <v>-163054345.5</v>
      </c>
      <c r="D186">
        <v>0.2</v>
      </c>
      <c r="E186">
        <v>298150776.5</v>
      </c>
      <c r="F186">
        <v>-672003266.20000005</v>
      </c>
      <c r="G186">
        <v>4</v>
      </c>
      <c r="H186">
        <v>4</v>
      </c>
      <c r="I186">
        <v>5</v>
      </c>
      <c r="J186">
        <v>4.2</v>
      </c>
      <c r="K186" t="s">
        <v>12</v>
      </c>
    </row>
    <row r="187" spans="1:11" x14ac:dyDescent="0.35">
      <c r="A187" t="s">
        <v>197</v>
      </c>
      <c r="B187">
        <v>5</v>
      </c>
      <c r="C187">
        <v>-531936951.10000002</v>
      </c>
      <c r="D187">
        <v>0</v>
      </c>
      <c r="E187">
        <v>325811033.30000001</v>
      </c>
      <c r="F187">
        <v>-626970031.20000005</v>
      </c>
      <c r="G187">
        <v>4</v>
      </c>
      <c r="H187">
        <v>4</v>
      </c>
      <c r="I187">
        <v>5</v>
      </c>
      <c r="J187">
        <v>4.2</v>
      </c>
      <c r="K187" t="s">
        <v>12</v>
      </c>
    </row>
    <row r="188" spans="1:11" x14ac:dyDescent="0.35">
      <c r="A188" t="s">
        <v>198</v>
      </c>
      <c r="B188">
        <v>5</v>
      </c>
      <c r="C188">
        <v>94488989.739999995</v>
      </c>
      <c r="D188">
        <v>0.4</v>
      </c>
      <c r="E188">
        <v>297610596.5</v>
      </c>
      <c r="F188">
        <v>-627768325.39999998</v>
      </c>
      <c r="G188">
        <v>4</v>
      </c>
      <c r="H188">
        <v>4</v>
      </c>
      <c r="I188">
        <v>5</v>
      </c>
      <c r="J188">
        <v>4.2</v>
      </c>
      <c r="K188" t="s">
        <v>12</v>
      </c>
    </row>
    <row r="189" spans="1:11" x14ac:dyDescent="0.35">
      <c r="A189" t="s">
        <v>199</v>
      </c>
      <c r="B189">
        <v>5</v>
      </c>
      <c r="C189">
        <v>-193070816.59999999</v>
      </c>
      <c r="D189">
        <v>0.2</v>
      </c>
      <c r="E189">
        <v>287995936.10000002</v>
      </c>
      <c r="F189">
        <v>-686863516</v>
      </c>
      <c r="G189">
        <v>4</v>
      </c>
      <c r="H189">
        <v>4</v>
      </c>
      <c r="I189">
        <v>5</v>
      </c>
      <c r="J189">
        <v>4.2</v>
      </c>
      <c r="K189" t="s">
        <v>12</v>
      </c>
    </row>
    <row r="190" spans="1:11" x14ac:dyDescent="0.35">
      <c r="A190" t="s">
        <v>200</v>
      </c>
      <c r="B190">
        <v>5</v>
      </c>
      <c r="C190">
        <v>-643752597.79999995</v>
      </c>
      <c r="D190">
        <v>0</v>
      </c>
      <c r="E190">
        <v>203815411.90000001</v>
      </c>
      <c r="F190">
        <v>-468429019.30000001</v>
      </c>
      <c r="G190">
        <v>4</v>
      </c>
      <c r="H190">
        <v>4</v>
      </c>
      <c r="I190">
        <v>5</v>
      </c>
      <c r="J190">
        <v>4.2</v>
      </c>
      <c r="K190" t="s">
        <v>12</v>
      </c>
    </row>
    <row r="191" spans="1:11" x14ac:dyDescent="0.35">
      <c r="A191" t="s">
        <v>201</v>
      </c>
      <c r="B191">
        <v>5</v>
      </c>
      <c r="C191">
        <v>-66769233.420000002</v>
      </c>
      <c r="D191">
        <v>0.4</v>
      </c>
      <c r="E191">
        <v>226279367.80000001</v>
      </c>
      <c r="F191">
        <v>-593589603.29999995</v>
      </c>
      <c r="G191">
        <v>4</v>
      </c>
      <c r="H191">
        <v>4</v>
      </c>
      <c r="I191">
        <v>5</v>
      </c>
      <c r="J191">
        <v>4.2</v>
      </c>
      <c r="K191" t="s">
        <v>12</v>
      </c>
    </row>
    <row r="192" spans="1:11" x14ac:dyDescent="0.35">
      <c r="A192" t="s">
        <v>202</v>
      </c>
      <c r="B192">
        <v>5</v>
      </c>
      <c r="C192">
        <v>-167775914.19999999</v>
      </c>
      <c r="D192">
        <v>0</v>
      </c>
      <c r="E192">
        <v>239658023.09999999</v>
      </c>
      <c r="F192">
        <v>-565626798.79999995</v>
      </c>
      <c r="G192">
        <v>4</v>
      </c>
      <c r="H192">
        <v>4</v>
      </c>
      <c r="I192">
        <v>5</v>
      </c>
      <c r="J192">
        <v>4.2</v>
      </c>
      <c r="K192" t="s">
        <v>12</v>
      </c>
    </row>
    <row r="193" spans="1:11" x14ac:dyDescent="0.35">
      <c r="A193" t="s">
        <v>203</v>
      </c>
      <c r="B193">
        <v>5</v>
      </c>
      <c r="C193">
        <v>-5421815545</v>
      </c>
      <c r="D193">
        <v>0</v>
      </c>
      <c r="E193">
        <v>8806099721</v>
      </c>
      <c r="F193">
        <v>20926281061</v>
      </c>
      <c r="G193">
        <v>5</v>
      </c>
      <c r="H193">
        <v>5</v>
      </c>
      <c r="I193">
        <v>1</v>
      </c>
      <c r="J193">
        <v>4.2</v>
      </c>
      <c r="K193" t="s">
        <v>12</v>
      </c>
    </row>
    <row r="194" spans="1:11" x14ac:dyDescent="0.35">
      <c r="A194" t="s">
        <v>204</v>
      </c>
      <c r="B194">
        <v>5</v>
      </c>
      <c r="C194">
        <v>-1452167100</v>
      </c>
      <c r="D194">
        <v>0</v>
      </c>
      <c r="E194">
        <v>830824442.39999998</v>
      </c>
      <c r="F194">
        <v>2255234554</v>
      </c>
      <c r="G194">
        <v>5</v>
      </c>
      <c r="H194">
        <v>5</v>
      </c>
      <c r="I194">
        <v>1</v>
      </c>
      <c r="J194">
        <v>4.2</v>
      </c>
      <c r="K194" t="s">
        <v>12</v>
      </c>
    </row>
    <row r="195" spans="1:11" x14ac:dyDescent="0.35">
      <c r="A195" t="s">
        <v>205</v>
      </c>
      <c r="B195">
        <v>5</v>
      </c>
      <c r="C195">
        <v>-835225206.20000005</v>
      </c>
      <c r="D195">
        <v>0</v>
      </c>
      <c r="E195">
        <v>636031317.70000005</v>
      </c>
      <c r="F195">
        <v>1275434938</v>
      </c>
      <c r="G195">
        <v>5</v>
      </c>
      <c r="H195">
        <v>5</v>
      </c>
      <c r="I195">
        <v>1</v>
      </c>
      <c r="J195">
        <v>4.2</v>
      </c>
      <c r="K195" t="s">
        <v>12</v>
      </c>
    </row>
    <row r="196" spans="1:11" x14ac:dyDescent="0.35">
      <c r="A196" t="s">
        <v>206</v>
      </c>
      <c r="B196">
        <v>5</v>
      </c>
      <c r="C196">
        <v>-819065929.5</v>
      </c>
      <c r="D196">
        <v>0</v>
      </c>
      <c r="E196">
        <v>537783922.60000002</v>
      </c>
      <c r="F196">
        <v>406051284.5</v>
      </c>
      <c r="G196">
        <v>5</v>
      </c>
      <c r="H196">
        <v>5</v>
      </c>
      <c r="I196">
        <v>1</v>
      </c>
      <c r="J196">
        <v>4.2</v>
      </c>
      <c r="K196" t="s">
        <v>12</v>
      </c>
    </row>
    <row r="197" spans="1:11" x14ac:dyDescent="0.35">
      <c r="A197" t="s">
        <v>207</v>
      </c>
      <c r="B197">
        <v>5</v>
      </c>
      <c r="C197">
        <v>-323126871</v>
      </c>
      <c r="D197">
        <v>0</v>
      </c>
      <c r="E197">
        <v>173222476.80000001</v>
      </c>
      <c r="F197">
        <v>147165249.30000001</v>
      </c>
      <c r="G197">
        <v>5</v>
      </c>
      <c r="H197">
        <v>4</v>
      </c>
      <c r="I197">
        <v>2</v>
      </c>
      <c r="J197">
        <v>4.0999999999999996</v>
      </c>
      <c r="K197" t="s">
        <v>12</v>
      </c>
    </row>
    <row r="198" spans="1:11" x14ac:dyDescent="0.35">
      <c r="A198" t="s">
        <v>208</v>
      </c>
      <c r="B198">
        <v>5</v>
      </c>
      <c r="C198">
        <v>-254420090.59999999</v>
      </c>
      <c r="D198">
        <v>0</v>
      </c>
      <c r="E198">
        <v>178051818.5</v>
      </c>
      <c r="F198">
        <v>142392205</v>
      </c>
      <c r="G198">
        <v>5</v>
      </c>
      <c r="H198">
        <v>4</v>
      </c>
      <c r="I198">
        <v>2</v>
      </c>
      <c r="J198">
        <v>4.0999999999999996</v>
      </c>
      <c r="K198" t="s">
        <v>12</v>
      </c>
    </row>
    <row r="199" spans="1:11" x14ac:dyDescent="0.35">
      <c r="A199" t="s">
        <v>209</v>
      </c>
      <c r="B199">
        <v>5</v>
      </c>
      <c r="C199">
        <v>-358690629</v>
      </c>
      <c r="D199">
        <v>0</v>
      </c>
      <c r="E199">
        <v>177016897.40000001</v>
      </c>
      <c r="F199">
        <v>75733461.599999994</v>
      </c>
      <c r="G199">
        <v>5</v>
      </c>
      <c r="H199">
        <v>4</v>
      </c>
      <c r="I199">
        <v>2</v>
      </c>
      <c r="J199">
        <v>4.0999999999999996</v>
      </c>
      <c r="K199" t="s">
        <v>12</v>
      </c>
    </row>
    <row r="200" spans="1:11" x14ac:dyDescent="0.35">
      <c r="A200" t="s">
        <v>210</v>
      </c>
      <c r="B200">
        <v>5</v>
      </c>
      <c r="C200">
        <v>-420937176.5</v>
      </c>
      <c r="D200">
        <v>0.2</v>
      </c>
      <c r="E200">
        <v>472829879.80000001</v>
      </c>
      <c r="F200">
        <v>17949361</v>
      </c>
      <c r="G200">
        <v>4</v>
      </c>
      <c r="H200">
        <v>5</v>
      </c>
      <c r="I200">
        <v>3</v>
      </c>
      <c r="J200">
        <v>4.0999999999999996</v>
      </c>
      <c r="K200" t="s">
        <v>12</v>
      </c>
    </row>
    <row r="201" spans="1:11" x14ac:dyDescent="0.35">
      <c r="A201" t="s">
        <v>211</v>
      </c>
      <c r="B201">
        <v>5</v>
      </c>
      <c r="C201">
        <v>-66957671.5</v>
      </c>
      <c r="D201">
        <v>0</v>
      </c>
      <c r="E201">
        <v>43723876.450000003</v>
      </c>
      <c r="F201">
        <v>-109198813.3</v>
      </c>
      <c r="G201">
        <v>5</v>
      </c>
      <c r="H201">
        <v>2</v>
      </c>
      <c r="I201">
        <v>5</v>
      </c>
      <c r="J201">
        <v>4.0999999999999996</v>
      </c>
      <c r="K201" t="s">
        <v>12</v>
      </c>
    </row>
    <row r="202" spans="1:11" x14ac:dyDescent="0.35">
      <c r="A202" t="s">
        <v>212</v>
      </c>
      <c r="B202">
        <v>5</v>
      </c>
      <c r="C202">
        <v>-79394962.359999999</v>
      </c>
      <c r="D202">
        <v>0</v>
      </c>
      <c r="E202">
        <v>44075061.5</v>
      </c>
      <c r="F202">
        <v>-99905830.599999994</v>
      </c>
      <c r="G202">
        <v>5</v>
      </c>
      <c r="H202">
        <v>2</v>
      </c>
      <c r="I202">
        <v>5</v>
      </c>
      <c r="J202">
        <v>4.0999999999999996</v>
      </c>
      <c r="K202" t="s">
        <v>12</v>
      </c>
    </row>
    <row r="203" spans="1:11" x14ac:dyDescent="0.35">
      <c r="A203" t="s">
        <v>213</v>
      </c>
      <c r="B203">
        <v>5</v>
      </c>
      <c r="C203">
        <v>-113691010.09999999</v>
      </c>
      <c r="D203">
        <v>0</v>
      </c>
      <c r="E203">
        <v>39843616.520000003</v>
      </c>
      <c r="F203">
        <v>-100618635.7</v>
      </c>
      <c r="G203">
        <v>5</v>
      </c>
      <c r="H203">
        <v>2</v>
      </c>
      <c r="I203">
        <v>5</v>
      </c>
      <c r="J203">
        <v>4.0999999999999996</v>
      </c>
      <c r="K203" t="s">
        <v>12</v>
      </c>
    </row>
    <row r="204" spans="1:11" x14ac:dyDescent="0.35">
      <c r="A204" t="s">
        <v>214</v>
      </c>
      <c r="B204">
        <v>5</v>
      </c>
      <c r="C204">
        <v>-97841469.420000002</v>
      </c>
      <c r="D204">
        <v>0</v>
      </c>
      <c r="E204">
        <v>38175441.020000003</v>
      </c>
      <c r="F204">
        <v>-102204249.8</v>
      </c>
      <c r="G204">
        <v>5</v>
      </c>
      <c r="H204">
        <v>2</v>
      </c>
      <c r="I204">
        <v>5</v>
      </c>
      <c r="J204">
        <v>4.0999999999999996</v>
      </c>
      <c r="K204" t="s">
        <v>12</v>
      </c>
    </row>
    <row r="205" spans="1:11" x14ac:dyDescent="0.35">
      <c r="A205" t="s">
        <v>215</v>
      </c>
      <c r="B205">
        <v>5</v>
      </c>
      <c r="C205">
        <v>-96530102.879999995</v>
      </c>
      <c r="D205">
        <v>0</v>
      </c>
      <c r="E205">
        <v>38891908.390000001</v>
      </c>
      <c r="F205">
        <v>-102707440.59999999</v>
      </c>
      <c r="G205">
        <v>5</v>
      </c>
      <c r="H205">
        <v>2</v>
      </c>
      <c r="I205">
        <v>5</v>
      </c>
      <c r="J205">
        <v>4.0999999999999996</v>
      </c>
      <c r="K205" t="s">
        <v>12</v>
      </c>
    </row>
    <row r="206" spans="1:11" x14ac:dyDescent="0.35">
      <c r="A206" t="s">
        <v>216</v>
      </c>
      <c r="B206">
        <v>5</v>
      </c>
      <c r="C206">
        <v>-105920876.2</v>
      </c>
      <c r="D206">
        <v>0</v>
      </c>
      <c r="E206">
        <v>40683802.359999999</v>
      </c>
      <c r="F206">
        <v>-102959370.5</v>
      </c>
      <c r="G206">
        <v>5</v>
      </c>
      <c r="H206">
        <v>2</v>
      </c>
      <c r="I206">
        <v>5</v>
      </c>
      <c r="J206">
        <v>4.0999999999999996</v>
      </c>
      <c r="K206" t="s">
        <v>12</v>
      </c>
    </row>
    <row r="207" spans="1:11" x14ac:dyDescent="0.35">
      <c r="A207" t="s">
        <v>217</v>
      </c>
      <c r="B207">
        <v>5</v>
      </c>
      <c r="C207">
        <v>-43905340.079999998</v>
      </c>
      <c r="D207">
        <v>0</v>
      </c>
      <c r="E207">
        <v>42690457.030000001</v>
      </c>
      <c r="F207">
        <v>-97313170.099999994</v>
      </c>
      <c r="G207">
        <v>5</v>
      </c>
      <c r="H207">
        <v>2</v>
      </c>
      <c r="I207">
        <v>5</v>
      </c>
      <c r="J207">
        <v>4.0999999999999996</v>
      </c>
      <c r="K207" t="s">
        <v>12</v>
      </c>
    </row>
    <row r="208" spans="1:11" x14ac:dyDescent="0.35">
      <c r="A208" t="s">
        <v>218</v>
      </c>
      <c r="B208">
        <v>5</v>
      </c>
      <c r="C208">
        <v>-72442541.519999996</v>
      </c>
      <c r="D208">
        <v>0</v>
      </c>
      <c r="E208">
        <v>36078951.960000001</v>
      </c>
      <c r="F208">
        <v>-95805518.900000006</v>
      </c>
      <c r="G208">
        <v>5</v>
      </c>
      <c r="H208">
        <v>2</v>
      </c>
      <c r="I208">
        <v>5</v>
      </c>
      <c r="J208">
        <v>4.0999999999999996</v>
      </c>
      <c r="K208" t="s">
        <v>12</v>
      </c>
    </row>
    <row r="209" spans="1:11" x14ac:dyDescent="0.35">
      <c r="A209" t="s">
        <v>219</v>
      </c>
      <c r="B209">
        <v>5</v>
      </c>
      <c r="C209">
        <v>-86080075.180000007</v>
      </c>
      <c r="D209">
        <v>0</v>
      </c>
      <c r="E209">
        <v>39784666.770000003</v>
      </c>
      <c r="F209">
        <v>-95909937.700000003</v>
      </c>
      <c r="G209">
        <v>5</v>
      </c>
      <c r="H209">
        <v>2</v>
      </c>
      <c r="I209">
        <v>5</v>
      </c>
      <c r="J209">
        <v>4.0999999999999996</v>
      </c>
      <c r="K209" t="s">
        <v>12</v>
      </c>
    </row>
    <row r="210" spans="1:11" x14ac:dyDescent="0.35">
      <c r="A210" t="s">
        <v>220</v>
      </c>
      <c r="B210">
        <v>5</v>
      </c>
      <c r="C210">
        <v>-115211545.8</v>
      </c>
      <c r="D210">
        <v>0</v>
      </c>
      <c r="E210">
        <v>38991545.950000003</v>
      </c>
      <c r="F210">
        <v>-97422158.200000003</v>
      </c>
      <c r="G210">
        <v>5</v>
      </c>
      <c r="H210">
        <v>2</v>
      </c>
      <c r="I210">
        <v>5</v>
      </c>
      <c r="J210">
        <v>4.0999999999999996</v>
      </c>
      <c r="K210" t="s">
        <v>12</v>
      </c>
    </row>
    <row r="211" spans="1:11" x14ac:dyDescent="0.35">
      <c r="A211" t="s">
        <v>221</v>
      </c>
      <c r="B211">
        <v>5</v>
      </c>
      <c r="C211">
        <v>-86501295.620000005</v>
      </c>
      <c r="D211">
        <v>0</v>
      </c>
      <c r="E211">
        <v>38394524.43</v>
      </c>
      <c r="F211">
        <v>-97662850</v>
      </c>
      <c r="G211">
        <v>5</v>
      </c>
      <c r="H211">
        <v>2</v>
      </c>
      <c r="I211">
        <v>5</v>
      </c>
      <c r="J211">
        <v>4.0999999999999996</v>
      </c>
      <c r="K211" t="s">
        <v>12</v>
      </c>
    </row>
    <row r="212" spans="1:11" x14ac:dyDescent="0.35">
      <c r="A212" t="s">
        <v>222</v>
      </c>
      <c r="B212">
        <v>5</v>
      </c>
      <c r="C212">
        <v>-129611960.5</v>
      </c>
      <c r="D212">
        <v>0</v>
      </c>
      <c r="E212">
        <v>38787989.189999998</v>
      </c>
      <c r="F212">
        <v>-99099585.900000006</v>
      </c>
      <c r="G212">
        <v>5</v>
      </c>
      <c r="H212">
        <v>2</v>
      </c>
      <c r="I212">
        <v>5</v>
      </c>
      <c r="J212">
        <v>4.0999999999999996</v>
      </c>
      <c r="K212" t="s">
        <v>12</v>
      </c>
    </row>
    <row r="213" spans="1:11" x14ac:dyDescent="0.35">
      <c r="A213" t="s">
        <v>223</v>
      </c>
      <c r="B213">
        <v>5</v>
      </c>
      <c r="C213">
        <v>-91087021.159999996</v>
      </c>
      <c r="D213">
        <v>0</v>
      </c>
      <c r="E213">
        <v>28848415.870000001</v>
      </c>
      <c r="F213">
        <v>-78759184.099999994</v>
      </c>
      <c r="G213">
        <v>5</v>
      </c>
      <c r="H213">
        <v>2</v>
      </c>
      <c r="I213">
        <v>5</v>
      </c>
      <c r="J213">
        <v>4.0999999999999996</v>
      </c>
      <c r="K213" t="s">
        <v>12</v>
      </c>
    </row>
    <row r="214" spans="1:11" x14ac:dyDescent="0.35">
      <c r="A214" t="s">
        <v>224</v>
      </c>
      <c r="B214">
        <v>5</v>
      </c>
      <c r="C214">
        <v>-36861287.359999999</v>
      </c>
      <c r="D214">
        <v>0</v>
      </c>
      <c r="E214">
        <v>31283169.879999999</v>
      </c>
      <c r="F214">
        <v>-79238557.099999994</v>
      </c>
      <c r="G214">
        <v>5</v>
      </c>
      <c r="H214">
        <v>2</v>
      </c>
      <c r="I214">
        <v>5</v>
      </c>
      <c r="J214">
        <v>4.0999999999999996</v>
      </c>
      <c r="K214" t="s">
        <v>12</v>
      </c>
    </row>
    <row r="215" spans="1:11" x14ac:dyDescent="0.35">
      <c r="A215" t="s">
        <v>225</v>
      </c>
      <c r="B215">
        <v>5</v>
      </c>
      <c r="C215">
        <v>-88141538.819999993</v>
      </c>
      <c r="D215">
        <v>0</v>
      </c>
      <c r="E215">
        <v>35557916.590000004</v>
      </c>
      <c r="F215">
        <v>-81987866.099999994</v>
      </c>
      <c r="G215">
        <v>5</v>
      </c>
      <c r="H215">
        <v>2</v>
      </c>
      <c r="I215">
        <v>5</v>
      </c>
      <c r="J215">
        <v>4.0999999999999996</v>
      </c>
      <c r="K215" t="s">
        <v>12</v>
      </c>
    </row>
    <row r="216" spans="1:11" x14ac:dyDescent="0.35">
      <c r="A216" t="s">
        <v>226</v>
      </c>
      <c r="B216">
        <v>5</v>
      </c>
      <c r="C216">
        <v>-69289956.439999998</v>
      </c>
      <c r="D216">
        <v>0</v>
      </c>
      <c r="E216">
        <v>39570162.859999999</v>
      </c>
      <c r="F216">
        <v>-80474297.900000006</v>
      </c>
      <c r="G216">
        <v>5</v>
      </c>
      <c r="H216">
        <v>2</v>
      </c>
      <c r="I216">
        <v>5</v>
      </c>
      <c r="J216">
        <v>4.0999999999999996</v>
      </c>
      <c r="K216" t="s">
        <v>12</v>
      </c>
    </row>
    <row r="217" spans="1:11" x14ac:dyDescent="0.35">
      <c r="A217" t="s">
        <v>227</v>
      </c>
      <c r="B217">
        <v>5</v>
      </c>
      <c r="C217">
        <v>-156595409.40000001</v>
      </c>
      <c r="D217">
        <v>0</v>
      </c>
      <c r="E217">
        <v>33512215.949999999</v>
      </c>
      <c r="F217">
        <v>-84400228</v>
      </c>
      <c r="G217">
        <v>5</v>
      </c>
      <c r="H217">
        <v>2</v>
      </c>
      <c r="I217">
        <v>5</v>
      </c>
      <c r="J217">
        <v>4.0999999999999996</v>
      </c>
      <c r="K217" t="s">
        <v>12</v>
      </c>
    </row>
    <row r="218" spans="1:11" x14ac:dyDescent="0.35">
      <c r="A218" t="s">
        <v>228</v>
      </c>
      <c r="B218">
        <v>5</v>
      </c>
      <c r="C218">
        <v>-74471907.840000004</v>
      </c>
      <c r="D218">
        <v>0</v>
      </c>
      <c r="E218">
        <v>43469347.18</v>
      </c>
      <c r="F218">
        <v>-83795008</v>
      </c>
      <c r="G218">
        <v>5</v>
      </c>
      <c r="H218">
        <v>2</v>
      </c>
      <c r="I218">
        <v>5</v>
      </c>
      <c r="J218">
        <v>4.0999999999999996</v>
      </c>
      <c r="K218" t="s">
        <v>12</v>
      </c>
    </row>
    <row r="219" spans="1:11" x14ac:dyDescent="0.35">
      <c r="A219" t="s">
        <v>229</v>
      </c>
      <c r="B219">
        <v>5</v>
      </c>
      <c r="C219">
        <v>-86766530.280000001</v>
      </c>
      <c r="D219">
        <v>0</v>
      </c>
      <c r="E219">
        <v>38995950.960000001</v>
      </c>
      <c r="F219">
        <v>-91631263.599999994</v>
      </c>
      <c r="G219">
        <v>5</v>
      </c>
      <c r="H219">
        <v>2</v>
      </c>
      <c r="I219">
        <v>5</v>
      </c>
      <c r="J219">
        <v>4.0999999999999996</v>
      </c>
      <c r="K219" t="s">
        <v>12</v>
      </c>
    </row>
    <row r="220" spans="1:11" x14ac:dyDescent="0.35">
      <c r="A220" t="s">
        <v>230</v>
      </c>
      <c r="B220">
        <v>5</v>
      </c>
      <c r="C220">
        <v>-71501071.859999999</v>
      </c>
      <c r="D220">
        <v>0</v>
      </c>
      <c r="E220">
        <v>39436289.659999996</v>
      </c>
      <c r="F220">
        <v>-87300943.400000006</v>
      </c>
      <c r="G220">
        <v>5</v>
      </c>
      <c r="H220">
        <v>2</v>
      </c>
      <c r="I220">
        <v>5</v>
      </c>
      <c r="J220">
        <v>4.0999999999999996</v>
      </c>
      <c r="K220" t="s">
        <v>12</v>
      </c>
    </row>
    <row r="221" spans="1:11" x14ac:dyDescent="0.35">
      <c r="A221" t="s">
        <v>231</v>
      </c>
      <c r="B221">
        <v>5</v>
      </c>
      <c r="C221">
        <v>-85775793.159999996</v>
      </c>
      <c r="D221">
        <v>0</v>
      </c>
      <c r="E221">
        <v>40192838.710000001</v>
      </c>
      <c r="F221">
        <v>-89855096.799999997</v>
      </c>
      <c r="G221">
        <v>5</v>
      </c>
      <c r="H221">
        <v>2</v>
      </c>
      <c r="I221">
        <v>5</v>
      </c>
      <c r="J221">
        <v>4.0999999999999996</v>
      </c>
      <c r="K221" t="s">
        <v>12</v>
      </c>
    </row>
    <row r="222" spans="1:11" x14ac:dyDescent="0.35">
      <c r="A222" t="s">
        <v>232</v>
      </c>
      <c r="B222">
        <v>5</v>
      </c>
      <c r="C222">
        <v>-39087497.600000001</v>
      </c>
      <c r="D222">
        <v>0</v>
      </c>
      <c r="E222">
        <v>37317869.020000003</v>
      </c>
      <c r="F222">
        <v>-92799560.900000006</v>
      </c>
      <c r="G222">
        <v>5</v>
      </c>
      <c r="H222">
        <v>2</v>
      </c>
      <c r="I222">
        <v>5</v>
      </c>
      <c r="J222">
        <v>4.0999999999999996</v>
      </c>
      <c r="K222" t="s">
        <v>12</v>
      </c>
    </row>
    <row r="223" spans="1:11" x14ac:dyDescent="0.35">
      <c r="A223" t="s">
        <v>233</v>
      </c>
      <c r="B223">
        <v>5</v>
      </c>
      <c r="C223">
        <v>-113122936.5</v>
      </c>
      <c r="D223">
        <v>0</v>
      </c>
      <c r="E223">
        <v>43085159.060000002</v>
      </c>
      <c r="F223">
        <v>-94371699.200000003</v>
      </c>
      <c r="G223">
        <v>5</v>
      </c>
      <c r="H223">
        <v>2</v>
      </c>
      <c r="I223">
        <v>5</v>
      </c>
      <c r="J223">
        <v>4.0999999999999996</v>
      </c>
      <c r="K223" t="s">
        <v>12</v>
      </c>
    </row>
    <row r="224" spans="1:11" x14ac:dyDescent="0.35">
      <c r="A224" t="s">
        <v>234</v>
      </c>
      <c r="B224">
        <v>5</v>
      </c>
      <c r="C224">
        <v>-69920407.540000007</v>
      </c>
      <c r="D224">
        <v>0.4</v>
      </c>
      <c r="E224">
        <v>157695742.80000001</v>
      </c>
      <c r="F224">
        <v>-71340586.799999997</v>
      </c>
      <c r="G224">
        <v>4</v>
      </c>
      <c r="H224">
        <v>4</v>
      </c>
      <c r="I224">
        <v>4</v>
      </c>
      <c r="J224">
        <v>4</v>
      </c>
      <c r="K224" t="s">
        <v>12</v>
      </c>
    </row>
    <row r="225" spans="1:11" x14ac:dyDescent="0.35">
      <c r="A225" t="s">
        <v>235</v>
      </c>
      <c r="B225">
        <v>5</v>
      </c>
      <c r="C225">
        <v>-56160311.200000003</v>
      </c>
      <c r="D225">
        <v>0.2</v>
      </c>
      <c r="E225">
        <v>132908701</v>
      </c>
      <c r="F225">
        <v>-76656453.900000006</v>
      </c>
      <c r="G225">
        <v>4</v>
      </c>
      <c r="H225">
        <v>4</v>
      </c>
      <c r="I225">
        <v>4</v>
      </c>
      <c r="J225">
        <v>4</v>
      </c>
      <c r="K225" t="s">
        <v>12</v>
      </c>
    </row>
    <row r="226" spans="1:11" x14ac:dyDescent="0.35">
      <c r="A226" t="s">
        <v>236</v>
      </c>
      <c r="B226">
        <v>5</v>
      </c>
      <c r="C226">
        <v>2088182629</v>
      </c>
      <c r="D226">
        <v>0.8</v>
      </c>
      <c r="E226">
        <v>3980545891</v>
      </c>
      <c r="F226">
        <v>-109802555.2</v>
      </c>
      <c r="G226">
        <v>3</v>
      </c>
      <c r="H226">
        <v>5</v>
      </c>
      <c r="I226">
        <v>5</v>
      </c>
      <c r="J226">
        <v>4</v>
      </c>
      <c r="K226" t="s">
        <v>12</v>
      </c>
    </row>
    <row r="227" spans="1:11" x14ac:dyDescent="0.35">
      <c r="A227" t="s">
        <v>237</v>
      </c>
      <c r="B227">
        <v>5</v>
      </c>
      <c r="C227">
        <v>-108709421.09999999</v>
      </c>
      <c r="D227">
        <v>0.2</v>
      </c>
      <c r="E227">
        <v>257147854.19999999</v>
      </c>
      <c r="F227">
        <v>-42830356</v>
      </c>
      <c r="G227">
        <v>4</v>
      </c>
      <c r="H227">
        <v>4</v>
      </c>
      <c r="I227">
        <v>4</v>
      </c>
      <c r="J227">
        <v>4</v>
      </c>
      <c r="K227" t="s">
        <v>12</v>
      </c>
    </row>
    <row r="228" spans="1:11" x14ac:dyDescent="0.35">
      <c r="A228" t="s">
        <v>238</v>
      </c>
      <c r="B228">
        <v>5</v>
      </c>
      <c r="C228">
        <v>51587026.780000001</v>
      </c>
      <c r="D228">
        <v>0.4</v>
      </c>
      <c r="E228">
        <v>179483771.5</v>
      </c>
      <c r="F228">
        <v>-37899984.600000001</v>
      </c>
      <c r="G228">
        <v>4</v>
      </c>
      <c r="H228">
        <v>4</v>
      </c>
      <c r="I228">
        <v>4</v>
      </c>
      <c r="J228">
        <v>4</v>
      </c>
      <c r="K228" t="s">
        <v>12</v>
      </c>
    </row>
    <row r="229" spans="1:11" x14ac:dyDescent="0.35">
      <c r="A229" t="s">
        <v>239</v>
      </c>
      <c r="B229">
        <v>5</v>
      </c>
      <c r="C229">
        <v>-43884121.359999999</v>
      </c>
      <c r="D229">
        <v>0.4</v>
      </c>
      <c r="E229">
        <v>217027992.30000001</v>
      </c>
      <c r="F229">
        <v>-39749890.200000003</v>
      </c>
      <c r="G229">
        <v>4</v>
      </c>
      <c r="H229">
        <v>4</v>
      </c>
      <c r="I229">
        <v>4</v>
      </c>
      <c r="J229">
        <v>4</v>
      </c>
      <c r="K229" t="s">
        <v>12</v>
      </c>
    </row>
    <row r="230" spans="1:11" x14ac:dyDescent="0.35">
      <c r="A230" t="s">
        <v>240</v>
      </c>
      <c r="B230">
        <v>5</v>
      </c>
      <c r="C230">
        <v>35000646.68</v>
      </c>
      <c r="D230">
        <v>0.4</v>
      </c>
      <c r="E230">
        <v>163220274.90000001</v>
      </c>
      <c r="F230">
        <v>-71578566.700000003</v>
      </c>
      <c r="G230">
        <v>4</v>
      </c>
      <c r="H230">
        <v>4</v>
      </c>
      <c r="I230">
        <v>4</v>
      </c>
      <c r="J230">
        <v>4</v>
      </c>
      <c r="K230" t="s">
        <v>12</v>
      </c>
    </row>
    <row r="231" spans="1:11" x14ac:dyDescent="0.35">
      <c r="A231" t="s">
        <v>241</v>
      </c>
      <c r="B231">
        <v>5</v>
      </c>
      <c r="C231">
        <v>-47618765.460000001</v>
      </c>
      <c r="D231">
        <v>0.6</v>
      </c>
      <c r="E231">
        <v>556986457.70000005</v>
      </c>
      <c r="F231">
        <v>-497748560.10000002</v>
      </c>
      <c r="G231">
        <v>3</v>
      </c>
      <c r="H231">
        <v>5</v>
      </c>
      <c r="I231">
        <v>5</v>
      </c>
      <c r="J231">
        <v>4</v>
      </c>
      <c r="K231" t="s">
        <v>12</v>
      </c>
    </row>
    <row r="232" spans="1:11" x14ac:dyDescent="0.35">
      <c r="A232" t="s">
        <v>242</v>
      </c>
      <c r="B232">
        <v>5</v>
      </c>
      <c r="C232">
        <v>45221703</v>
      </c>
      <c r="D232">
        <v>0.8</v>
      </c>
      <c r="E232">
        <v>787200408.70000005</v>
      </c>
      <c r="F232">
        <v>-513993689.39999998</v>
      </c>
      <c r="G232">
        <v>3</v>
      </c>
      <c r="H232">
        <v>5</v>
      </c>
      <c r="I232">
        <v>5</v>
      </c>
      <c r="J232">
        <v>4</v>
      </c>
      <c r="K232" t="s">
        <v>12</v>
      </c>
    </row>
    <row r="233" spans="1:11" x14ac:dyDescent="0.35">
      <c r="A233" t="s">
        <v>243</v>
      </c>
      <c r="B233">
        <v>5</v>
      </c>
      <c r="C233">
        <v>93921919.200000003</v>
      </c>
      <c r="D233">
        <v>0.6</v>
      </c>
      <c r="E233">
        <v>585541795.39999998</v>
      </c>
      <c r="F233">
        <v>-534779024</v>
      </c>
      <c r="G233">
        <v>3</v>
      </c>
      <c r="H233">
        <v>5</v>
      </c>
      <c r="I233">
        <v>5</v>
      </c>
      <c r="J233">
        <v>4</v>
      </c>
      <c r="K233" t="s">
        <v>12</v>
      </c>
    </row>
    <row r="234" spans="1:11" x14ac:dyDescent="0.35">
      <c r="A234" t="s">
        <v>244</v>
      </c>
      <c r="B234">
        <v>5</v>
      </c>
      <c r="C234">
        <v>374432353.19999999</v>
      </c>
      <c r="D234">
        <v>0.6</v>
      </c>
      <c r="E234">
        <v>559383622.29999995</v>
      </c>
      <c r="F234">
        <v>-559970358</v>
      </c>
      <c r="G234">
        <v>3</v>
      </c>
      <c r="H234">
        <v>5</v>
      </c>
      <c r="I234">
        <v>5</v>
      </c>
      <c r="J234">
        <v>4</v>
      </c>
      <c r="K234" t="s">
        <v>12</v>
      </c>
    </row>
    <row r="235" spans="1:11" x14ac:dyDescent="0.35">
      <c r="A235" t="s">
        <v>245</v>
      </c>
      <c r="B235">
        <v>5</v>
      </c>
      <c r="C235">
        <v>-615937029.89999998</v>
      </c>
      <c r="D235">
        <v>0.6</v>
      </c>
      <c r="E235">
        <v>4292454631</v>
      </c>
      <c r="F235">
        <v>-409933336</v>
      </c>
      <c r="G235">
        <v>3</v>
      </c>
      <c r="H235">
        <v>5</v>
      </c>
      <c r="I235">
        <v>5</v>
      </c>
      <c r="J235">
        <v>4</v>
      </c>
      <c r="K235" t="s">
        <v>12</v>
      </c>
    </row>
    <row r="236" spans="1:11" x14ac:dyDescent="0.35">
      <c r="A236" t="s">
        <v>246</v>
      </c>
      <c r="B236">
        <v>5</v>
      </c>
      <c r="C236">
        <v>550527696</v>
      </c>
      <c r="D236">
        <v>0.8</v>
      </c>
      <c r="E236">
        <v>911170605.10000002</v>
      </c>
      <c r="F236">
        <v>-458062786.30000001</v>
      </c>
      <c r="G236">
        <v>3</v>
      </c>
      <c r="H236">
        <v>5</v>
      </c>
      <c r="I236">
        <v>5</v>
      </c>
      <c r="J236">
        <v>4</v>
      </c>
      <c r="K236" t="s">
        <v>12</v>
      </c>
    </row>
    <row r="237" spans="1:11" x14ac:dyDescent="0.35">
      <c r="A237" t="s">
        <v>247</v>
      </c>
      <c r="B237">
        <v>5</v>
      </c>
      <c r="C237">
        <v>-176878683.59999999</v>
      </c>
      <c r="D237">
        <v>0.8</v>
      </c>
      <c r="E237">
        <v>2223588343</v>
      </c>
      <c r="F237">
        <v>-439386774.80000001</v>
      </c>
      <c r="G237">
        <v>3</v>
      </c>
      <c r="H237">
        <v>5</v>
      </c>
      <c r="I237">
        <v>5</v>
      </c>
      <c r="J237">
        <v>4</v>
      </c>
      <c r="K237" t="s">
        <v>12</v>
      </c>
    </row>
    <row r="238" spans="1:11" x14ac:dyDescent="0.35">
      <c r="A238" t="s">
        <v>248</v>
      </c>
      <c r="B238">
        <v>5</v>
      </c>
      <c r="C238">
        <v>-12901019.380000001</v>
      </c>
      <c r="D238">
        <v>0.4</v>
      </c>
      <c r="E238">
        <v>502488661.10000002</v>
      </c>
      <c r="F238">
        <v>-441655623.60000002</v>
      </c>
      <c r="G238">
        <v>3</v>
      </c>
      <c r="H238">
        <v>5</v>
      </c>
      <c r="I238">
        <v>5</v>
      </c>
      <c r="J238">
        <v>4</v>
      </c>
      <c r="K238" t="s">
        <v>12</v>
      </c>
    </row>
    <row r="239" spans="1:11" x14ac:dyDescent="0.35">
      <c r="A239" t="s">
        <v>249</v>
      </c>
      <c r="B239">
        <v>5</v>
      </c>
      <c r="C239">
        <v>71981314.239999995</v>
      </c>
      <c r="D239">
        <v>0.6</v>
      </c>
      <c r="E239">
        <v>439344050.10000002</v>
      </c>
      <c r="F239">
        <v>-719498128.10000002</v>
      </c>
      <c r="G239">
        <v>3</v>
      </c>
      <c r="H239">
        <v>5</v>
      </c>
      <c r="I239">
        <v>5</v>
      </c>
      <c r="J239">
        <v>4</v>
      </c>
      <c r="K239" t="s">
        <v>12</v>
      </c>
    </row>
    <row r="240" spans="1:11" x14ac:dyDescent="0.35">
      <c r="A240" t="s">
        <v>250</v>
      </c>
      <c r="B240">
        <v>5</v>
      </c>
      <c r="C240">
        <v>768320403.70000005</v>
      </c>
      <c r="D240">
        <v>0.8</v>
      </c>
      <c r="E240">
        <v>602349439.29999995</v>
      </c>
      <c r="F240">
        <v>-813304279.79999995</v>
      </c>
      <c r="G240">
        <v>3</v>
      </c>
      <c r="H240">
        <v>5</v>
      </c>
      <c r="I240">
        <v>5</v>
      </c>
      <c r="J240">
        <v>4</v>
      </c>
      <c r="K240" t="s">
        <v>12</v>
      </c>
    </row>
    <row r="241" spans="1:11" x14ac:dyDescent="0.35">
      <c r="A241" t="s">
        <v>251</v>
      </c>
      <c r="B241">
        <v>5</v>
      </c>
      <c r="C241">
        <v>957689175.20000005</v>
      </c>
      <c r="D241">
        <v>0.8</v>
      </c>
      <c r="E241">
        <v>1173989113</v>
      </c>
      <c r="F241">
        <v>-874450034</v>
      </c>
      <c r="G241">
        <v>3</v>
      </c>
      <c r="H241">
        <v>5</v>
      </c>
      <c r="I241">
        <v>5</v>
      </c>
      <c r="J241">
        <v>4</v>
      </c>
      <c r="K241" t="s">
        <v>12</v>
      </c>
    </row>
    <row r="242" spans="1:11" x14ac:dyDescent="0.35">
      <c r="A242" t="s">
        <v>252</v>
      </c>
      <c r="B242">
        <v>5</v>
      </c>
      <c r="C242">
        <v>105951017.5</v>
      </c>
      <c r="D242">
        <v>0.6</v>
      </c>
      <c r="E242">
        <v>489069269</v>
      </c>
      <c r="F242">
        <v>-875615296.60000002</v>
      </c>
      <c r="G242">
        <v>3</v>
      </c>
      <c r="H242">
        <v>5</v>
      </c>
      <c r="I242">
        <v>5</v>
      </c>
      <c r="J242">
        <v>4</v>
      </c>
      <c r="K242" t="s">
        <v>12</v>
      </c>
    </row>
    <row r="243" spans="1:11" x14ac:dyDescent="0.35">
      <c r="A243" t="s">
        <v>253</v>
      </c>
      <c r="B243">
        <v>5</v>
      </c>
      <c r="C243">
        <v>-270609195</v>
      </c>
      <c r="D243">
        <v>0.8</v>
      </c>
      <c r="E243">
        <v>7004197934</v>
      </c>
      <c r="F243">
        <v>-613215848</v>
      </c>
      <c r="G243">
        <v>3</v>
      </c>
      <c r="H243">
        <v>5</v>
      </c>
      <c r="I243">
        <v>5</v>
      </c>
      <c r="J243">
        <v>4</v>
      </c>
      <c r="K243" t="s">
        <v>12</v>
      </c>
    </row>
    <row r="244" spans="1:11" x14ac:dyDescent="0.35">
      <c r="A244" t="s">
        <v>254</v>
      </c>
      <c r="B244">
        <v>5</v>
      </c>
      <c r="C244">
        <v>-1631148040</v>
      </c>
      <c r="D244">
        <v>0.6</v>
      </c>
      <c r="E244">
        <v>4165397433</v>
      </c>
      <c r="F244">
        <v>-826036367.5</v>
      </c>
      <c r="G244">
        <v>3</v>
      </c>
      <c r="H244">
        <v>5</v>
      </c>
      <c r="I244">
        <v>5</v>
      </c>
      <c r="J244">
        <v>4</v>
      </c>
      <c r="K244" t="s">
        <v>12</v>
      </c>
    </row>
    <row r="245" spans="1:11" x14ac:dyDescent="0.35">
      <c r="A245" t="s">
        <v>255</v>
      </c>
      <c r="B245">
        <v>5</v>
      </c>
      <c r="C245">
        <v>-37176460.32</v>
      </c>
      <c r="D245">
        <v>0.4</v>
      </c>
      <c r="E245">
        <v>1282298896</v>
      </c>
      <c r="F245">
        <v>-939361013.29999995</v>
      </c>
      <c r="G245">
        <v>3</v>
      </c>
      <c r="H245">
        <v>5</v>
      </c>
      <c r="I245">
        <v>5</v>
      </c>
      <c r="J245">
        <v>4</v>
      </c>
      <c r="K245" t="s">
        <v>12</v>
      </c>
    </row>
    <row r="246" spans="1:11" x14ac:dyDescent="0.35">
      <c r="A246" t="s">
        <v>256</v>
      </c>
      <c r="B246">
        <v>5</v>
      </c>
      <c r="C246">
        <v>335359614.80000001</v>
      </c>
      <c r="D246">
        <v>0.8</v>
      </c>
      <c r="E246">
        <v>368176848.5</v>
      </c>
      <c r="F246">
        <v>-1018779892</v>
      </c>
      <c r="G246">
        <v>3</v>
      </c>
      <c r="H246">
        <v>5</v>
      </c>
      <c r="I246">
        <v>5</v>
      </c>
      <c r="J246">
        <v>4</v>
      </c>
      <c r="K246" t="s">
        <v>12</v>
      </c>
    </row>
    <row r="247" spans="1:11" x14ac:dyDescent="0.35">
      <c r="A247" t="s">
        <v>257</v>
      </c>
      <c r="B247">
        <v>5</v>
      </c>
      <c r="C247">
        <v>861875147.70000005</v>
      </c>
      <c r="D247">
        <v>0.8</v>
      </c>
      <c r="E247">
        <v>1310100312</v>
      </c>
      <c r="F247">
        <v>-951371074.60000002</v>
      </c>
      <c r="G247">
        <v>3</v>
      </c>
      <c r="H247">
        <v>5</v>
      </c>
      <c r="I247">
        <v>5</v>
      </c>
      <c r="J247">
        <v>4</v>
      </c>
      <c r="K247" t="s">
        <v>12</v>
      </c>
    </row>
    <row r="248" spans="1:11" x14ac:dyDescent="0.35">
      <c r="A248" t="s">
        <v>258</v>
      </c>
      <c r="B248">
        <v>5</v>
      </c>
      <c r="C248">
        <v>-454163930.89999998</v>
      </c>
      <c r="D248">
        <v>0.6</v>
      </c>
      <c r="E248">
        <v>1934682587</v>
      </c>
      <c r="F248">
        <v>-997221620.60000002</v>
      </c>
      <c r="G248">
        <v>3</v>
      </c>
      <c r="H248">
        <v>5</v>
      </c>
      <c r="I248">
        <v>5</v>
      </c>
      <c r="J248">
        <v>4</v>
      </c>
      <c r="K248" t="s">
        <v>12</v>
      </c>
    </row>
    <row r="249" spans="1:11" x14ac:dyDescent="0.35">
      <c r="A249" t="s">
        <v>259</v>
      </c>
      <c r="B249">
        <v>5</v>
      </c>
      <c r="C249">
        <v>38143994.200000003</v>
      </c>
      <c r="D249">
        <v>0.6</v>
      </c>
      <c r="E249">
        <v>361455531.10000002</v>
      </c>
      <c r="F249">
        <v>-1003825033</v>
      </c>
      <c r="G249">
        <v>3</v>
      </c>
      <c r="H249">
        <v>5</v>
      </c>
      <c r="I249">
        <v>5</v>
      </c>
      <c r="J249">
        <v>4</v>
      </c>
      <c r="K249" t="s">
        <v>12</v>
      </c>
    </row>
    <row r="250" spans="1:11" x14ac:dyDescent="0.35">
      <c r="A250" t="s">
        <v>260</v>
      </c>
      <c r="B250">
        <v>5</v>
      </c>
      <c r="C250">
        <v>113926261.40000001</v>
      </c>
      <c r="D250">
        <v>0.6</v>
      </c>
      <c r="E250">
        <v>407797427.39999998</v>
      </c>
      <c r="F250">
        <v>-320916308</v>
      </c>
      <c r="G250">
        <v>3</v>
      </c>
      <c r="H250">
        <v>5</v>
      </c>
      <c r="I250">
        <v>5</v>
      </c>
      <c r="J250">
        <v>4</v>
      </c>
      <c r="K250" t="s">
        <v>12</v>
      </c>
    </row>
    <row r="251" spans="1:11" x14ac:dyDescent="0.35">
      <c r="A251" t="s">
        <v>261</v>
      </c>
      <c r="B251">
        <v>5</v>
      </c>
      <c r="C251">
        <v>69695527.299999997</v>
      </c>
      <c r="D251">
        <v>0.8</v>
      </c>
      <c r="E251">
        <v>448612024.60000002</v>
      </c>
      <c r="F251">
        <v>-352824980.69999999</v>
      </c>
      <c r="G251">
        <v>3</v>
      </c>
      <c r="H251">
        <v>5</v>
      </c>
      <c r="I251">
        <v>5</v>
      </c>
      <c r="J251">
        <v>4</v>
      </c>
      <c r="K251" t="s">
        <v>12</v>
      </c>
    </row>
    <row r="252" spans="1:11" x14ac:dyDescent="0.35">
      <c r="A252" t="s">
        <v>262</v>
      </c>
      <c r="B252">
        <v>5</v>
      </c>
      <c r="C252">
        <v>353780463.69999999</v>
      </c>
      <c r="D252">
        <v>0.6</v>
      </c>
      <c r="E252">
        <v>467813102.60000002</v>
      </c>
      <c r="F252">
        <v>-395016050.30000001</v>
      </c>
      <c r="G252">
        <v>3</v>
      </c>
      <c r="H252">
        <v>5</v>
      </c>
      <c r="I252">
        <v>5</v>
      </c>
      <c r="J252">
        <v>4</v>
      </c>
      <c r="K252" t="s">
        <v>12</v>
      </c>
    </row>
    <row r="253" spans="1:11" x14ac:dyDescent="0.35">
      <c r="A253" t="s">
        <v>263</v>
      </c>
      <c r="B253">
        <v>5</v>
      </c>
      <c r="C253">
        <v>264653290.69999999</v>
      </c>
      <c r="D253">
        <v>0.8</v>
      </c>
      <c r="E253">
        <v>538302332.70000005</v>
      </c>
      <c r="F253">
        <v>-308677898.19999999</v>
      </c>
      <c r="G253">
        <v>3</v>
      </c>
      <c r="H253">
        <v>5</v>
      </c>
      <c r="I253">
        <v>5</v>
      </c>
      <c r="J253">
        <v>4</v>
      </c>
      <c r="K253" t="s">
        <v>12</v>
      </c>
    </row>
    <row r="254" spans="1:11" x14ac:dyDescent="0.35">
      <c r="A254" t="s">
        <v>264</v>
      </c>
      <c r="B254">
        <v>5</v>
      </c>
      <c r="C254">
        <v>-20518470.920000002</v>
      </c>
      <c r="D254">
        <v>0.6</v>
      </c>
      <c r="E254">
        <v>376017097.30000001</v>
      </c>
      <c r="F254">
        <v>-136280050.5</v>
      </c>
      <c r="G254">
        <v>3</v>
      </c>
      <c r="H254">
        <v>5</v>
      </c>
      <c r="I254">
        <v>5</v>
      </c>
      <c r="J254">
        <v>4</v>
      </c>
      <c r="K254" t="s">
        <v>12</v>
      </c>
    </row>
    <row r="255" spans="1:11" x14ac:dyDescent="0.35">
      <c r="A255" t="s">
        <v>265</v>
      </c>
      <c r="B255">
        <v>5</v>
      </c>
      <c r="C255">
        <v>223821118.19999999</v>
      </c>
      <c r="D255">
        <v>0.6</v>
      </c>
      <c r="E255">
        <v>382493809.19999999</v>
      </c>
      <c r="F255">
        <v>-192512103.80000001</v>
      </c>
      <c r="G255">
        <v>3</v>
      </c>
      <c r="H255">
        <v>5</v>
      </c>
      <c r="I255">
        <v>5</v>
      </c>
      <c r="J255">
        <v>4</v>
      </c>
      <c r="K255" t="s">
        <v>12</v>
      </c>
    </row>
    <row r="256" spans="1:11" x14ac:dyDescent="0.35">
      <c r="A256" t="s">
        <v>266</v>
      </c>
      <c r="B256">
        <v>5</v>
      </c>
      <c r="C256">
        <v>309154467.80000001</v>
      </c>
      <c r="D256">
        <v>0.6</v>
      </c>
      <c r="E256">
        <v>685825710.10000002</v>
      </c>
      <c r="F256">
        <v>-222364022.40000001</v>
      </c>
      <c r="G256">
        <v>3</v>
      </c>
      <c r="H256">
        <v>5</v>
      </c>
      <c r="I256">
        <v>5</v>
      </c>
      <c r="J256">
        <v>4</v>
      </c>
      <c r="K256" t="s">
        <v>12</v>
      </c>
    </row>
    <row r="257" spans="1:11" x14ac:dyDescent="0.35">
      <c r="A257" t="s">
        <v>267</v>
      </c>
      <c r="B257">
        <v>5</v>
      </c>
      <c r="C257">
        <v>267390175.09999999</v>
      </c>
      <c r="D257">
        <v>0.6</v>
      </c>
      <c r="E257">
        <v>509888102</v>
      </c>
      <c r="F257">
        <v>-219214144.59999999</v>
      </c>
      <c r="G257">
        <v>3</v>
      </c>
      <c r="H257">
        <v>5</v>
      </c>
      <c r="I257">
        <v>5</v>
      </c>
      <c r="J257">
        <v>4</v>
      </c>
      <c r="K257" t="s">
        <v>12</v>
      </c>
    </row>
    <row r="258" spans="1:11" x14ac:dyDescent="0.35">
      <c r="A258" t="s">
        <v>268</v>
      </c>
      <c r="B258">
        <v>5</v>
      </c>
      <c r="C258">
        <v>103975027.90000001</v>
      </c>
      <c r="D258">
        <v>0.8</v>
      </c>
      <c r="E258">
        <v>364509338.19999999</v>
      </c>
      <c r="F258">
        <v>-236803413.19999999</v>
      </c>
      <c r="G258">
        <v>3</v>
      </c>
      <c r="H258">
        <v>5</v>
      </c>
      <c r="I258">
        <v>5</v>
      </c>
      <c r="J258">
        <v>4</v>
      </c>
      <c r="K258" t="s">
        <v>12</v>
      </c>
    </row>
    <row r="259" spans="1:11" x14ac:dyDescent="0.35">
      <c r="A259" t="s">
        <v>269</v>
      </c>
      <c r="B259">
        <v>5</v>
      </c>
      <c r="C259">
        <v>803263425</v>
      </c>
      <c r="D259">
        <v>0.8</v>
      </c>
      <c r="E259">
        <v>1137681932</v>
      </c>
      <c r="F259">
        <v>-224647268</v>
      </c>
      <c r="G259">
        <v>3</v>
      </c>
      <c r="H259">
        <v>5</v>
      </c>
      <c r="I259">
        <v>5</v>
      </c>
      <c r="J259">
        <v>4</v>
      </c>
      <c r="K259" t="s">
        <v>12</v>
      </c>
    </row>
    <row r="260" spans="1:11" x14ac:dyDescent="0.35">
      <c r="A260" t="s">
        <v>270</v>
      </c>
      <c r="B260">
        <v>5</v>
      </c>
      <c r="C260">
        <v>-252813420.69999999</v>
      </c>
      <c r="D260">
        <v>0</v>
      </c>
      <c r="E260">
        <v>68598504.769999996</v>
      </c>
      <c r="F260">
        <v>-247967.6</v>
      </c>
      <c r="G260">
        <v>5</v>
      </c>
      <c r="H260">
        <v>3</v>
      </c>
      <c r="I260">
        <v>3</v>
      </c>
      <c r="J260">
        <v>4</v>
      </c>
      <c r="K260" t="s">
        <v>12</v>
      </c>
    </row>
    <row r="261" spans="1:11" x14ac:dyDescent="0.35">
      <c r="A261" t="s">
        <v>271</v>
      </c>
      <c r="B261">
        <v>5</v>
      </c>
      <c r="C261">
        <v>-130488819</v>
      </c>
      <c r="D261">
        <v>0</v>
      </c>
      <c r="E261">
        <v>48093572.810000002</v>
      </c>
      <c r="F261">
        <v>-645348.6</v>
      </c>
      <c r="G261">
        <v>5</v>
      </c>
      <c r="H261">
        <v>3</v>
      </c>
      <c r="I261">
        <v>3</v>
      </c>
      <c r="J261">
        <v>4</v>
      </c>
      <c r="K261" t="s">
        <v>12</v>
      </c>
    </row>
    <row r="262" spans="1:11" x14ac:dyDescent="0.35">
      <c r="A262" t="s">
        <v>272</v>
      </c>
      <c r="B262">
        <v>5</v>
      </c>
      <c r="C262">
        <v>-78037637.079999998</v>
      </c>
      <c r="D262">
        <v>0</v>
      </c>
      <c r="E262">
        <v>68262994.540000007</v>
      </c>
      <c r="F262">
        <v>6730016.7000000002</v>
      </c>
      <c r="G262">
        <v>5</v>
      </c>
      <c r="H262">
        <v>3</v>
      </c>
      <c r="I262">
        <v>3</v>
      </c>
      <c r="J262">
        <v>4</v>
      </c>
      <c r="K262" t="s">
        <v>12</v>
      </c>
    </row>
    <row r="263" spans="1:11" x14ac:dyDescent="0.35">
      <c r="A263" t="s">
        <v>273</v>
      </c>
      <c r="B263">
        <v>5</v>
      </c>
      <c r="C263">
        <v>-79179368.719999999</v>
      </c>
      <c r="D263">
        <v>0</v>
      </c>
      <c r="E263">
        <v>52205146.549999997</v>
      </c>
      <c r="F263">
        <v>4531264.5999999996</v>
      </c>
      <c r="G263">
        <v>5</v>
      </c>
      <c r="H263">
        <v>3</v>
      </c>
      <c r="I263">
        <v>3</v>
      </c>
      <c r="J263">
        <v>4</v>
      </c>
      <c r="K263" t="s">
        <v>12</v>
      </c>
    </row>
    <row r="264" spans="1:11" x14ac:dyDescent="0.35">
      <c r="A264" t="s">
        <v>274</v>
      </c>
      <c r="B264">
        <v>5</v>
      </c>
      <c r="C264">
        <v>-227151671.5</v>
      </c>
      <c r="D264">
        <v>0</v>
      </c>
      <c r="E264">
        <v>53100766.009999998</v>
      </c>
      <c r="F264">
        <v>4001426.8</v>
      </c>
      <c r="G264">
        <v>5</v>
      </c>
      <c r="H264">
        <v>3</v>
      </c>
      <c r="I264">
        <v>3</v>
      </c>
      <c r="J264">
        <v>4</v>
      </c>
      <c r="K264" t="s">
        <v>12</v>
      </c>
    </row>
    <row r="265" spans="1:11" x14ac:dyDescent="0.35">
      <c r="A265" t="s">
        <v>275</v>
      </c>
      <c r="B265">
        <v>5</v>
      </c>
      <c r="C265">
        <v>27914869.780000001</v>
      </c>
      <c r="D265">
        <v>0.2</v>
      </c>
      <c r="E265">
        <v>135646447.19999999</v>
      </c>
      <c r="F265">
        <v>-10064563</v>
      </c>
      <c r="G265">
        <v>4</v>
      </c>
      <c r="H265">
        <v>4</v>
      </c>
      <c r="I265">
        <v>4</v>
      </c>
      <c r="J265">
        <v>4</v>
      </c>
      <c r="K265" t="s">
        <v>12</v>
      </c>
    </row>
    <row r="266" spans="1:11" x14ac:dyDescent="0.35">
      <c r="A266" t="s">
        <v>276</v>
      </c>
      <c r="B266">
        <v>5</v>
      </c>
      <c r="C266">
        <v>64945902.759999998</v>
      </c>
      <c r="D266">
        <v>0.4</v>
      </c>
      <c r="E266">
        <v>152824982.90000001</v>
      </c>
      <c r="F266">
        <v>-13735895.5</v>
      </c>
      <c r="G266">
        <v>4</v>
      </c>
      <c r="H266">
        <v>4</v>
      </c>
      <c r="I266">
        <v>4</v>
      </c>
      <c r="J266">
        <v>4</v>
      </c>
      <c r="K266" t="s">
        <v>12</v>
      </c>
    </row>
    <row r="267" spans="1:11" x14ac:dyDescent="0.35">
      <c r="A267" t="s">
        <v>277</v>
      </c>
      <c r="B267">
        <v>5</v>
      </c>
      <c r="C267">
        <v>-75624765.379999995</v>
      </c>
      <c r="D267">
        <v>0.2</v>
      </c>
      <c r="E267">
        <v>118738330.59999999</v>
      </c>
      <c r="F267">
        <v>-21351895.600000001</v>
      </c>
      <c r="G267">
        <v>4</v>
      </c>
      <c r="H267">
        <v>4</v>
      </c>
      <c r="I267">
        <v>4</v>
      </c>
      <c r="J267">
        <v>4</v>
      </c>
      <c r="K267" t="s">
        <v>12</v>
      </c>
    </row>
    <row r="268" spans="1:11" x14ac:dyDescent="0.35">
      <c r="A268" t="s">
        <v>278</v>
      </c>
      <c r="B268">
        <v>5</v>
      </c>
      <c r="C268">
        <v>-96011061.560000002</v>
      </c>
      <c r="D268">
        <v>0.2</v>
      </c>
      <c r="E268">
        <v>165591969.59999999</v>
      </c>
      <c r="F268">
        <v>-32076017</v>
      </c>
      <c r="G268">
        <v>4</v>
      </c>
      <c r="H268">
        <v>4</v>
      </c>
      <c r="I268">
        <v>4</v>
      </c>
      <c r="J268">
        <v>4</v>
      </c>
      <c r="K268" t="s">
        <v>12</v>
      </c>
    </row>
    <row r="269" spans="1:11" x14ac:dyDescent="0.35">
      <c r="A269" t="s">
        <v>279</v>
      </c>
      <c r="B269">
        <v>5</v>
      </c>
      <c r="C269">
        <v>-16795642.039999999</v>
      </c>
      <c r="D269">
        <v>0.4</v>
      </c>
      <c r="E269">
        <v>140320387.40000001</v>
      </c>
      <c r="F269">
        <v>-32165022.300000001</v>
      </c>
      <c r="G269">
        <v>4</v>
      </c>
      <c r="H269">
        <v>4</v>
      </c>
      <c r="I269">
        <v>4</v>
      </c>
      <c r="J269">
        <v>4</v>
      </c>
      <c r="K269" t="s">
        <v>12</v>
      </c>
    </row>
    <row r="270" spans="1:11" x14ac:dyDescent="0.35">
      <c r="A270" t="s">
        <v>280</v>
      </c>
      <c r="B270">
        <v>5</v>
      </c>
      <c r="C270">
        <v>-104505334.09999999</v>
      </c>
      <c r="D270">
        <v>0</v>
      </c>
      <c r="E270">
        <v>52267656.880000003</v>
      </c>
      <c r="F270">
        <v>12638887</v>
      </c>
      <c r="G270">
        <v>5</v>
      </c>
      <c r="H270">
        <v>3</v>
      </c>
      <c r="I270">
        <v>3</v>
      </c>
      <c r="J270">
        <v>4</v>
      </c>
      <c r="K270" t="s">
        <v>12</v>
      </c>
    </row>
    <row r="271" spans="1:11" x14ac:dyDescent="0.35">
      <c r="A271" t="s">
        <v>281</v>
      </c>
      <c r="B271">
        <v>5</v>
      </c>
      <c r="C271">
        <v>-211848523.69999999</v>
      </c>
      <c r="D271">
        <v>0</v>
      </c>
      <c r="E271">
        <v>64640725.850000001</v>
      </c>
      <c r="F271">
        <v>22233848.699999999</v>
      </c>
      <c r="G271">
        <v>5</v>
      </c>
      <c r="H271">
        <v>3</v>
      </c>
      <c r="I271">
        <v>3</v>
      </c>
      <c r="J271">
        <v>4</v>
      </c>
      <c r="K271" t="s">
        <v>12</v>
      </c>
    </row>
    <row r="272" spans="1:11" x14ac:dyDescent="0.35">
      <c r="A272" t="s">
        <v>282</v>
      </c>
      <c r="B272">
        <v>5</v>
      </c>
      <c r="C272">
        <v>3188359473</v>
      </c>
      <c r="D272">
        <v>0.8</v>
      </c>
      <c r="E272">
        <v>5189698894</v>
      </c>
      <c r="F272">
        <v>-9085609598</v>
      </c>
      <c r="G272">
        <v>3</v>
      </c>
      <c r="H272">
        <v>5</v>
      </c>
      <c r="I272">
        <v>5</v>
      </c>
      <c r="J272">
        <v>4</v>
      </c>
      <c r="K272" t="s">
        <v>12</v>
      </c>
    </row>
    <row r="273" spans="1:11" x14ac:dyDescent="0.35">
      <c r="A273" t="s">
        <v>283</v>
      </c>
      <c r="B273">
        <v>5</v>
      </c>
      <c r="C273">
        <v>3615786004</v>
      </c>
      <c r="D273">
        <v>0.8</v>
      </c>
      <c r="E273">
        <v>5761867258</v>
      </c>
      <c r="F273">
        <v>-12450634474</v>
      </c>
      <c r="G273">
        <v>3</v>
      </c>
      <c r="H273">
        <v>5</v>
      </c>
      <c r="I273">
        <v>5</v>
      </c>
      <c r="J273">
        <v>4</v>
      </c>
      <c r="K273" t="s">
        <v>12</v>
      </c>
    </row>
    <row r="274" spans="1:11" x14ac:dyDescent="0.35">
      <c r="A274" t="s">
        <v>284</v>
      </c>
      <c r="B274">
        <v>5</v>
      </c>
      <c r="C274">
        <v>716442550.10000002</v>
      </c>
      <c r="D274">
        <v>0.6</v>
      </c>
      <c r="E274">
        <v>2255082091</v>
      </c>
      <c r="F274">
        <v>-5286014054</v>
      </c>
      <c r="G274">
        <v>3</v>
      </c>
      <c r="H274">
        <v>5</v>
      </c>
      <c r="I274">
        <v>5</v>
      </c>
      <c r="J274">
        <v>4</v>
      </c>
      <c r="K274" t="s">
        <v>12</v>
      </c>
    </row>
    <row r="275" spans="1:11" x14ac:dyDescent="0.35">
      <c r="A275" t="s">
        <v>285</v>
      </c>
      <c r="B275">
        <v>5</v>
      </c>
      <c r="C275">
        <v>-1300475238</v>
      </c>
      <c r="D275">
        <v>0.6</v>
      </c>
      <c r="E275">
        <v>4151333698</v>
      </c>
      <c r="F275">
        <v>-5356514157</v>
      </c>
      <c r="G275">
        <v>3</v>
      </c>
      <c r="H275">
        <v>5</v>
      </c>
      <c r="I275">
        <v>5</v>
      </c>
      <c r="J275">
        <v>4</v>
      </c>
      <c r="K275" t="s">
        <v>12</v>
      </c>
    </row>
    <row r="276" spans="1:11" x14ac:dyDescent="0.35">
      <c r="A276" t="s">
        <v>286</v>
      </c>
      <c r="B276">
        <v>5</v>
      </c>
      <c r="C276">
        <v>1604174965</v>
      </c>
      <c r="D276">
        <v>0.6</v>
      </c>
      <c r="E276">
        <v>3065542612</v>
      </c>
      <c r="F276">
        <v>-5485227374</v>
      </c>
      <c r="G276">
        <v>3</v>
      </c>
      <c r="H276">
        <v>5</v>
      </c>
      <c r="I276">
        <v>5</v>
      </c>
      <c r="J276">
        <v>4</v>
      </c>
      <c r="K276" t="s">
        <v>12</v>
      </c>
    </row>
    <row r="277" spans="1:11" x14ac:dyDescent="0.35">
      <c r="A277" t="s">
        <v>287</v>
      </c>
      <c r="B277">
        <v>5</v>
      </c>
      <c r="C277">
        <v>557539667.39999998</v>
      </c>
      <c r="D277">
        <v>0.6</v>
      </c>
      <c r="E277">
        <v>1489317496</v>
      </c>
      <c r="F277">
        <v>-3076607794</v>
      </c>
      <c r="G277">
        <v>3</v>
      </c>
      <c r="H277">
        <v>5</v>
      </c>
      <c r="I277">
        <v>5</v>
      </c>
      <c r="J277">
        <v>4</v>
      </c>
      <c r="K277" t="s">
        <v>12</v>
      </c>
    </row>
    <row r="278" spans="1:11" x14ac:dyDescent="0.35">
      <c r="A278" t="s">
        <v>288</v>
      </c>
      <c r="B278">
        <v>5</v>
      </c>
      <c r="C278">
        <v>306313816.39999998</v>
      </c>
      <c r="D278">
        <v>0.6</v>
      </c>
      <c r="E278">
        <v>2016562081</v>
      </c>
      <c r="F278">
        <v>-3104164408</v>
      </c>
      <c r="G278">
        <v>3</v>
      </c>
      <c r="H278">
        <v>5</v>
      </c>
      <c r="I278">
        <v>5</v>
      </c>
      <c r="J278">
        <v>4</v>
      </c>
      <c r="K278" t="s">
        <v>12</v>
      </c>
    </row>
    <row r="279" spans="1:11" x14ac:dyDescent="0.35">
      <c r="A279" t="s">
        <v>289</v>
      </c>
      <c r="B279">
        <v>5</v>
      </c>
      <c r="C279">
        <v>-685864597.29999995</v>
      </c>
      <c r="D279">
        <v>0.6</v>
      </c>
      <c r="E279">
        <v>1465812497</v>
      </c>
      <c r="F279">
        <v>-3136176435</v>
      </c>
      <c r="G279">
        <v>3</v>
      </c>
      <c r="H279">
        <v>5</v>
      </c>
      <c r="I279">
        <v>5</v>
      </c>
      <c r="J279">
        <v>4</v>
      </c>
      <c r="K279" t="s">
        <v>12</v>
      </c>
    </row>
    <row r="280" spans="1:11" x14ac:dyDescent="0.35">
      <c r="A280" t="s">
        <v>290</v>
      </c>
      <c r="B280">
        <v>5</v>
      </c>
      <c r="C280">
        <v>793266467.39999998</v>
      </c>
      <c r="D280">
        <v>0.8</v>
      </c>
      <c r="E280">
        <v>1058574509</v>
      </c>
      <c r="F280">
        <v>-1836029828</v>
      </c>
      <c r="G280">
        <v>3</v>
      </c>
      <c r="H280">
        <v>5</v>
      </c>
      <c r="I280">
        <v>5</v>
      </c>
      <c r="J280">
        <v>4</v>
      </c>
      <c r="K280" t="s">
        <v>12</v>
      </c>
    </row>
    <row r="281" spans="1:11" x14ac:dyDescent="0.35">
      <c r="A281" t="s">
        <v>291</v>
      </c>
      <c r="B281">
        <v>5</v>
      </c>
      <c r="C281">
        <v>-10661820.82</v>
      </c>
      <c r="D281">
        <v>0.8</v>
      </c>
      <c r="E281">
        <v>796712596.70000005</v>
      </c>
      <c r="F281">
        <v>-1933630206</v>
      </c>
      <c r="G281">
        <v>3</v>
      </c>
      <c r="H281">
        <v>5</v>
      </c>
      <c r="I281">
        <v>5</v>
      </c>
      <c r="J281">
        <v>4</v>
      </c>
      <c r="K281" t="s">
        <v>12</v>
      </c>
    </row>
    <row r="282" spans="1:11" x14ac:dyDescent="0.35">
      <c r="A282" t="s">
        <v>292</v>
      </c>
      <c r="B282">
        <v>5</v>
      </c>
      <c r="C282">
        <v>-88467515.420000002</v>
      </c>
      <c r="D282">
        <v>0.8</v>
      </c>
      <c r="E282">
        <v>977714391.60000002</v>
      </c>
      <c r="F282">
        <v>-1956204419</v>
      </c>
      <c r="G282">
        <v>3</v>
      </c>
      <c r="H282">
        <v>5</v>
      </c>
      <c r="I282">
        <v>5</v>
      </c>
      <c r="J282">
        <v>4</v>
      </c>
      <c r="K282" t="s">
        <v>12</v>
      </c>
    </row>
    <row r="283" spans="1:11" x14ac:dyDescent="0.35">
      <c r="A283" t="s">
        <v>293</v>
      </c>
      <c r="B283">
        <v>5</v>
      </c>
      <c r="C283">
        <v>1547689730</v>
      </c>
      <c r="D283">
        <v>0.8</v>
      </c>
      <c r="E283">
        <v>1749216309</v>
      </c>
      <c r="F283">
        <v>-2853877002</v>
      </c>
      <c r="G283">
        <v>3</v>
      </c>
      <c r="H283">
        <v>5</v>
      </c>
      <c r="I283">
        <v>5</v>
      </c>
      <c r="J283">
        <v>4</v>
      </c>
      <c r="K283" t="s">
        <v>12</v>
      </c>
    </row>
    <row r="284" spans="1:11" x14ac:dyDescent="0.35">
      <c r="A284" t="s">
        <v>294</v>
      </c>
      <c r="B284">
        <v>5</v>
      </c>
      <c r="C284">
        <v>658642245.39999998</v>
      </c>
      <c r="D284">
        <v>0.6</v>
      </c>
      <c r="E284">
        <v>1883364369</v>
      </c>
      <c r="F284">
        <v>-1447485588</v>
      </c>
      <c r="G284">
        <v>3</v>
      </c>
      <c r="H284">
        <v>5</v>
      </c>
      <c r="I284">
        <v>5</v>
      </c>
      <c r="J284">
        <v>4</v>
      </c>
      <c r="K284" t="s">
        <v>12</v>
      </c>
    </row>
    <row r="285" spans="1:11" x14ac:dyDescent="0.35">
      <c r="A285" t="s">
        <v>295</v>
      </c>
      <c r="B285">
        <v>5</v>
      </c>
      <c r="C285">
        <v>165661959.40000001</v>
      </c>
      <c r="D285">
        <v>0.6</v>
      </c>
      <c r="E285">
        <v>737497805.20000005</v>
      </c>
      <c r="F285">
        <v>-1401691953</v>
      </c>
      <c r="G285">
        <v>3</v>
      </c>
      <c r="H285">
        <v>5</v>
      </c>
      <c r="I285">
        <v>5</v>
      </c>
      <c r="J285">
        <v>4</v>
      </c>
      <c r="K285" t="s">
        <v>12</v>
      </c>
    </row>
    <row r="286" spans="1:11" x14ac:dyDescent="0.35">
      <c r="A286" t="s">
        <v>296</v>
      </c>
      <c r="B286">
        <v>5</v>
      </c>
      <c r="C286">
        <v>839671233.60000002</v>
      </c>
      <c r="D286">
        <v>0.8</v>
      </c>
      <c r="E286">
        <v>737806928.79999995</v>
      </c>
      <c r="F286">
        <v>-1339279173</v>
      </c>
      <c r="G286">
        <v>3</v>
      </c>
      <c r="H286">
        <v>5</v>
      </c>
      <c r="I286">
        <v>5</v>
      </c>
      <c r="J286">
        <v>4</v>
      </c>
      <c r="K286" t="s">
        <v>12</v>
      </c>
    </row>
    <row r="287" spans="1:11" x14ac:dyDescent="0.35">
      <c r="A287" t="s">
        <v>297</v>
      </c>
      <c r="B287">
        <v>5</v>
      </c>
      <c r="C287">
        <v>857150255.79999995</v>
      </c>
      <c r="D287">
        <v>0.8</v>
      </c>
      <c r="E287">
        <v>740517355</v>
      </c>
      <c r="F287">
        <v>-1361239522</v>
      </c>
      <c r="G287">
        <v>3</v>
      </c>
      <c r="H287">
        <v>5</v>
      </c>
      <c r="I287">
        <v>5</v>
      </c>
      <c r="J287">
        <v>4</v>
      </c>
      <c r="K287" t="s">
        <v>12</v>
      </c>
    </row>
    <row r="288" spans="1:11" x14ac:dyDescent="0.35">
      <c r="A288" t="s">
        <v>298</v>
      </c>
      <c r="B288">
        <v>5</v>
      </c>
      <c r="C288">
        <v>374553900.39999998</v>
      </c>
      <c r="D288">
        <v>0.8</v>
      </c>
      <c r="E288">
        <v>574700182.29999995</v>
      </c>
      <c r="F288">
        <v>-1155815892</v>
      </c>
      <c r="G288">
        <v>3</v>
      </c>
      <c r="H288">
        <v>5</v>
      </c>
      <c r="I288">
        <v>5</v>
      </c>
      <c r="J288">
        <v>4</v>
      </c>
      <c r="K288" t="s">
        <v>12</v>
      </c>
    </row>
    <row r="289" spans="1:11" x14ac:dyDescent="0.35">
      <c r="A289" t="s">
        <v>299</v>
      </c>
      <c r="B289">
        <v>5</v>
      </c>
      <c r="C289">
        <v>344766833.89999998</v>
      </c>
      <c r="D289">
        <v>0.8</v>
      </c>
      <c r="E289">
        <v>444964474.89999998</v>
      </c>
      <c r="F289">
        <v>-846720756.5</v>
      </c>
      <c r="G289">
        <v>3</v>
      </c>
      <c r="H289">
        <v>5</v>
      </c>
      <c r="I289">
        <v>5</v>
      </c>
      <c r="J289">
        <v>4</v>
      </c>
      <c r="K289" t="s">
        <v>12</v>
      </c>
    </row>
    <row r="290" spans="1:11" x14ac:dyDescent="0.35">
      <c r="A290" t="s">
        <v>300</v>
      </c>
      <c r="B290">
        <v>5</v>
      </c>
      <c r="C290">
        <v>-241623123.90000001</v>
      </c>
      <c r="D290">
        <v>0.4</v>
      </c>
      <c r="E290">
        <v>615954094.60000002</v>
      </c>
      <c r="F290">
        <v>-1229117654</v>
      </c>
      <c r="G290">
        <v>3</v>
      </c>
      <c r="H290">
        <v>5</v>
      </c>
      <c r="I290">
        <v>5</v>
      </c>
      <c r="J290">
        <v>4</v>
      </c>
      <c r="K290" t="s">
        <v>12</v>
      </c>
    </row>
    <row r="291" spans="1:11" x14ac:dyDescent="0.35">
      <c r="A291" t="s">
        <v>301</v>
      </c>
      <c r="B291">
        <v>5</v>
      </c>
      <c r="C291">
        <v>-658339439.20000005</v>
      </c>
      <c r="D291">
        <v>0.6</v>
      </c>
      <c r="E291">
        <v>2367457764</v>
      </c>
      <c r="F291">
        <v>-2148225698</v>
      </c>
      <c r="G291">
        <v>3</v>
      </c>
      <c r="H291">
        <v>5</v>
      </c>
      <c r="I291">
        <v>5</v>
      </c>
      <c r="J291">
        <v>4</v>
      </c>
      <c r="K291" t="s">
        <v>12</v>
      </c>
    </row>
    <row r="292" spans="1:11" x14ac:dyDescent="0.35">
      <c r="A292" t="s">
        <v>302</v>
      </c>
      <c r="B292">
        <v>5</v>
      </c>
      <c r="C292">
        <v>53699596</v>
      </c>
      <c r="D292">
        <v>0.6</v>
      </c>
      <c r="E292">
        <v>1190279053</v>
      </c>
      <c r="F292">
        <v>-2557431668</v>
      </c>
      <c r="G292">
        <v>3</v>
      </c>
      <c r="H292">
        <v>5</v>
      </c>
      <c r="I292">
        <v>5</v>
      </c>
      <c r="J292">
        <v>4</v>
      </c>
      <c r="K292" t="s">
        <v>12</v>
      </c>
    </row>
    <row r="293" spans="1:11" x14ac:dyDescent="0.35">
      <c r="A293" t="s">
        <v>303</v>
      </c>
      <c r="B293">
        <v>5</v>
      </c>
      <c r="C293">
        <v>1325844865</v>
      </c>
      <c r="D293">
        <v>0.8</v>
      </c>
      <c r="E293">
        <v>1450289912</v>
      </c>
      <c r="F293">
        <v>-2586885760</v>
      </c>
      <c r="G293">
        <v>3</v>
      </c>
      <c r="H293">
        <v>5</v>
      </c>
      <c r="I293">
        <v>5</v>
      </c>
      <c r="J293">
        <v>4</v>
      </c>
      <c r="K293" t="s">
        <v>12</v>
      </c>
    </row>
    <row r="294" spans="1:11" x14ac:dyDescent="0.35">
      <c r="A294" t="s">
        <v>304</v>
      </c>
      <c r="B294">
        <v>5</v>
      </c>
      <c r="C294">
        <v>240408363.19999999</v>
      </c>
      <c r="D294">
        <v>0.8</v>
      </c>
      <c r="E294">
        <v>1915570064</v>
      </c>
      <c r="F294">
        <v>-1745749050</v>
      </c>
      <c r="G294">
        <v>3</v>
      </c>
      <c r="H294">
        <v>5</v>
      </c>
      <c r="I294">
        <v>5</v>
      </c>
      <c r="J294">
        <v>4</v>
      </c>
      <c r="K294" t="s">
        <v>12</v>
      </c>
    </row>
    <row r="295" spans="1:11" x14ac:dyDescent="0.35">
      <c r="A295" t="s">
        <v>305</v>
      </c>
      <c r="B295">
        <v>5</v>
      </c>
      <c r="C295">
        <v>-593118466.5</v>
      </c>
      <c r="D295">
        <v>0.2</v>
      </c>
      <c r="E295">
        <v>613906322.60000002</v>
      </c>
      <c r="F295">
        <v>195785414.59999999</v>
      </c>
      <c r="G295">
        <v>4</v>
      </c>
      <c r="H295">
        <v>5</v>
      </c>
      <c r="I295">
        <v>2</v>
      </c>
      <c r="J295">
        <v>3.9</v>
      </c>
      <c r="K295" t="s">
        <v>306</v>
      </c>
    </row>
    <row r="296" spans="1:11" x14ac:dyDescent="0.35">
      <c r="A296" t="s">
        <v>307</v>
      </c>
      <c r="B296">
        <v>5</v>
      </c>
      <c r="C296">
        <v>-322621999.89999998</v>
      </c>
      <c r="D296">
        <v>0.2</v>
      </c>
      <c r="E296">
        <v>543406491.70000005</v>
      </c>
      <c r="F296">
        <v>188122884.80000001</v>
      </c>
      <c r="G296">
        <v>4</v>
      </c>
      <c r="H296">
        <v>5</v>
      </c>
      <c r="I296">
        <v>2</v>
      </c>
      <c r="J296">
        <v>3.9</v>
      </c>
      <c r="K296" t="s">
        <v>306</v>
      </c>
    </row>
    <row r="297" spans="1:11" x14ac:dyDescent="0.35">
      <c r="A297" t="s">
        <v>308</v>
      </c>
      <c r="B297">
        <v>5</v>
      </c>
      <c r="C297">
        <v>-842162160.60000002</v>
      </c>
      <c r="D297">
        <v>0</v>
      </c>
      <c r="E297">
        <v>264613630.5</v>
      </c>
      <c r="F297">
        <v>438597287.39999998</v>
      </c>
      <c r="G297">
        <v>5</v>
      </c>
      <c r="H297">
        <v>4</v>
      </c>
      <c r="I297">
        <v>1</v>
      </c>
      <c r="J297">
        <v>3.9</v>
      </c>
      <c r="K297" t="s">
        <v>306</v>
      </c>
    </row>
    <row r="298" spans="1:11" x14ac:dyDescent="0.35">
      <c r="A298" t="s">
        <v>309</v>
      </c>
      <c r="B298">
        <v>5</v>
      </c>
      <c r="C298">
        <v>-174846876.40000001</v>
      </c>
      <c r="D298">
        <v>0</v>
      </c>
      <c r="E298">
        <v>142993417.40000001</v>
      </c>
      <c r="F298">
        <v>368916050.69999999</v>
      </c>
      <c r="G298">
        <v>5</v>
      </c>
      <c r="H298">
        <v>4</v>
      </c>
      <c r="I298">
        <v>1</v>
      </c>
      <c r="J298">
        <v>3.9</v>
      </c>
      <c r="K298" t="s">
        <v>306</v>
      </c>
    </row>
    <row r="299" spans="1:11" x14ac:dyDescent="0.35">
      <c r="A299" t="s">
        <v>310</v>
      </c>
      <c r="B299">
        <v>5</v>
      </c>
      <c r="C299">
        <v>-723411650.29999995</v>
      </c>
      <c r="D299">
        <v>0</v>
      </c>
      <c r="E299">
        <v>301960258.80000001</v>
      </c>
      <c r="F299">
        <v>365826791.69999999</v>
      </c>
      <c r="G299">
        <v>5</v>
      </c>
      <c r="H299">
        <v>4</v>
      </c>
      <c r="I299">
        <v>1</v>
      </c>
      <c r="J299">
        <v>3.9</v>
      </c>
      <c r="K299" t="s">
        <v>306</v>
      </c>
    </row>
    <row r="300" spans="1:11" x14ac:dyDescent="0.35">
      <c r="A300" t="s">
        <v>311</v>
      </c>
      <c r="B300">
        <v>5</v>
      </c>
      <c r="C300">
        <v>-787264712.10000002</v>
      </c>
      <c r="D300">
        <v>0</v>
      </c>
      <c r="E300">
        <v>268371235.09999999</v>
      </c>
      <c r="F300">
        <v>290830498</v>
      </c>
      <c r="G300">
        <v>5</v>
      </c>
      <c r="H300">
        <v>4</v>
      </c>
      <c r="I300">
        <v>1</v>
      </c>
      <c r="J300">
        <v>3.9</v>
      </c>
      <c r="K300" t="s">
        <v>306</v>
      </c>
    </row>
    <row r="301" spans="1:11" x14ac:dyDescent="0.35">
      <c r="A301" t="s">
        <v>312</v>
      </c>
      <c r="B301">
        <v>5</v>
      </c>
      <c r="C301">
        <v>-251130794.09999999</v>
      </c>
      <c r="D301">
        <v>0</v>
      </c>
      <c r="E301">
        <v>170588572</v>
      </c>
      <c r="F301">
        <v>244653245.19999999</v>
      </c>
      <c r="G301">
        <v>5</v>
      </c>
      <c r="H301">
        <v>4</v>
      </c>
      <c r="I301">
        <v>1</v>
      </c>
      <c r="J301">
        <v>3.9</v>
      </c>
      <c r="K301" t="s">
        <v>306</v>
      </c>
    </row>
    <row r="302" spans="1:11" x14ac:dyDescent="0.35">
      <c r="A302" t="s">
        <v>313</v>
      </c>
      <c r="B302">
        <v>5</v>
      </c>
      <c r="C302">
        <v>-113492341.3</v>
      </c>
      <c r="D302">
        <v>0</v>
      </c>
      <c r="E302">
        <v>117823933.3</v>
      </c>
      <c r="F302">
        <v>242584152.59999999</v>
      </c>
      <c r="G302">
        <v>5</v>
      </c>
      <c r="H302">
        <v>4</v>
      </c>
      <c r="I302">
        <v>1</v>
      </c>
      <c r="J302">
        <v>3.9</v>
      </c>
      <c r="K302" t="s">
        <v>306</v>
      </c>
    </row>
    <row r="303" spans="1:11" x14ac:dyDescent="0.35">
      <c r="A303" t="s">
        <v>314</v>
      </c>
      <c r="B303">
        <v>5</v>
      </c>
      <c r="C303">
        <v>-218936928.90000001</v>
      </c>
      <c r="D303">
        <v>0</v>
      </c>
      <c r="E303">
        <v>137374212.09999999</v>
      </c>
      <c r="F303">
        <v>238193697.90000001</v>
      </c>
      <c r="G303">
        <v>5</v>
      </c>
      <c r="H303">
        <v>4</v>
      </c>
      <c r="I303">
        <v>1</v>
      </c>
      <c r="J303">
        <v>3.9</v>
      </c>
      <c r="K303" t="s">
        <v>306</v>
      </c>
    </row>
    <row r="304" spans="1:11" x14ac:dyDescent="0.35">
      <c r="A304" t="s">
        <v>315</v>
      </c>
      <c r="B304">
        <v>5</v>
      </c>
      <c r="C304">
        <v>-494850889.19999999</v>
      </c>
      <c r="D304">
        <v>0</v>
      </c>
      <c r="E304">
        <v>325558309.39999998</v>
      </c>
      <c r="F304">
        <v>700440788.89999998</v>
      </c>
      <c r="G304">
        <v>5</v>
      </c>
      <c r="H304">
        <v>4</v>
      </c>
      <c r="I304">
        <v>1</v>
      </c>
      <c r="J304">
        <v>3.9</v>
      </c>
      <c r="K304" t="s">
        <v>306</v>
      </c>
    </row>
    <row r="305" spans="1:11" x14ac:dyDescent="0.35">
      <c r="A305" t="s">
        <v>316</v>
      </c>
      <c r="B305">
        <v>5</v>
      </c>
      <c r="C305">
        <v>-154769800.69999999</v>
      </c>
      <c r="D305">
        <v>0</v>
      </c>
      <c r="E305">
        <v>220350934</v>
      </c>
      <c r="F305">
        <v>495597828.10000002</v>
      </c>
      <c r="G305">
        <v>5</v>
      </c>
      <c r="H305">
        <v>4</v>
      </c>
      <c r="I305">
        <v>1</v>
      </c>
      <c r="J305">
        <v>3.9</v>
      </c>
      <c r="K305" t="s">
        <v>306</v>
      </c>
    </row>
    <row r="306" spans="1:11" x14ac:dyDescent="0.35">
      <c r="A306" t="s">
        <v>317</v>
      </c>
      <c r="B306">
        <v>5</v>
      </c>
      <c r="C306">
        <v>-40129409.859999999</v>
      </c>
      <c r="D306">
        <v>0</v>
      </c>
      <c r="E306">
        <v>26346903.93</v>
      </c>
      <c r="F306">
        <v>-32213421</v>
      </c>
      <c r="G306">
        <v>5</v>
      </c>
      <c r="H306">
        <v>2</v>
      </c>
      <c r="I306">
        <v>4</v>
      </c>
      <c r="J306">
        <v>3.9</v>
      </c>
      <c r="K306" t="s">
        <v>306</v>
      </c>
    </row>
    <row r="307" spans="1:11" x14ac:dyDescent="0.35">
      <c r="A307" t="s">
        <v>318</v>
      </c>
      <c r="B307">
        <v>5</v>
      </c>
      <c r="C307">
        <v>-82368015.180000007</v>
      </c>
      <c r="D307">
        <v>0</v>
      </c>
      <c r="E307">
        <v>30488563.440000001</v>
      </c>
      <c r="F307">
        <v>-31172696.199999999</v>
      </c>
      <c r="G307">
        <v>5</v>
      </c>
      <c r="H307">
        <v>2</v>
      </c>
      <c r="I307">
        <v>4</v>
      </c>
      <c r="J307">
        <v>3.9</v>
      </c>
      <c r="K307" t="s">
        <v>306</v>
      </c>
    </row>
    <row r="308" spans="1:11" x14ac:dyDescent="0.35">
      <c r="A308" t="s">
        <v>319</v>
      </c>
      <c r="B308">
        <v>5</v>
      </c>
      <c r="C308">
        <v>-51806751.380000003</v>
      </c>
      <c r="D308">
        <v>0</v>
      </c>
      <c r="E308">
        <v>17656405.510000002</v>
      </c>
      <c r="F308">
        <v>-29583196.100000001</v>
      </c>
      <c r="G308">
        <v>5</v>
      </c>
      <c r="H308">
        <v>2</v>
      </c>
      <c r="I308">
        <v>4</v>
      </c>
      <c r="J308">
        <v>3.9</v>
      </c>
      <c r="K308" t="s">
        <v>306</v>
      </c>
    </row>
    <row r="309" spans="1:11" x14ac:dyDescent="0.35">
      <c r="A309" t="s">
        <v>320</v>
      </c>
      <c r="B309">
        <v>5</v>
      </c>
      <c r="C309">
        <v>-56136494.299999997</v>
      </c>
      <c r="D309">
        <v>0</v>
      </c>
      <c r="E309">
        <v>19177669.649999999</v>
      </c>
      <c r="F309">
        <v>-29881292.399999999</v>
      </c>
      <c r="G309">
        <v>5</v>
      </c>
      <c r="H309">
        <v>2</v>
      </c>
      <c r="I309">
        <v>4</v>
      </c>
      <c r="J309">
        <v>3.9</v>
      </c>
      <c r="K309" t="s">
        <v>306</v>
      </c>
    </row>
    <row r="310" spans="1:11" x14ac:dyDescent="0.35">
      <c r="A310" t="s">
        <v>321</v>
      </c>
      <c r="B310">
        <v>5</v>
      </c>
      <c r="C310">
        <v>-87166491.420000002</v>
      </c>
      <c r="D310">
        <v>0</v>
      </c>
      <c r="E310">
        <v>32365258.609999999</v>
      </c>
      <c r="F310">
        <v>-30982504.5</v>
      </c>
      <c r="G310">
        <v>5</v>
      </c>
      <c r="H310">
        <v>2</v>
      </c>
      <c r="I310">
        <v>4</v>
      </c>
      <c r="J310">
        <v>3.9</v>
      </c>
      <c r="K310" t="s">
        <v>306</v>
      </c>
    </row>
    <row r="311" spans="1:11" x14ac:dyDescent="0.35">
      <c r="A311" t="s">
        <v>322</v>
      </c>
      <c r="B311">
        <v>5</v>
      </c>
      <c r="C311">
        <v>-31840924.280000001</v>
      </c>
      <c r="D311">
        <v>0</v>
      </c>
      <c r="E311">
        <v>16128946.52</v>
      </c>
      <c r="F311">
        <v>-27347973.899999999</v>
      </c>
      <c r="G311">
        <v>5</v>
      </c>
      <c r="H311">
        <v>2</v>
      </c>
      <c r="I311">
        <v>4</v>
      </c>
      <c r="J311">
        <v>3.9</v>
      </c>
      <c r="K311" t="s">
        <v>306</v>
      </c>
    </row>
    <row r="312" spans="1:11" x14ac:dyDescent="0.35">
      <c r="A312" t="s">
        <v>323</v>
      </c>
      <c r="B312">
        <v>5</v>
      </c>
      <c r="C312">
        <v>-43956038.140000001</v>
      </c>
      <c r="D312">
        <v>0</v>
      </c>
      <c r="E312">
        <v>18771450.609999999</v>
      </c>
      <c r="F312">
        <v>-28401862</v>
      </c>
      <c r="G312">
        <v>5</v>
      </c>
      <c r="H312">
        <v>2</v>
      </c>
      <c r="I312">
        <v>4</v>
      </c>
      <c r="J312">
        <v>3.9</v>
      </c>
      <c r="K312" t="s">
        <v>306</v>
      </c>
    </row>
    <row r="313" spans="1:11" x14ac:dyDescent="0.35">
      <c r="A313" t="s">
        <v>324</v>
      </c>
      <c r="B313">
        <v>5</v>
      </c>
      <c r="C313">
        <v>-25290935.34</v>
      </c>
      <c r="D313">
        <v>0</v>
      </c>
      <c r="E313">
        <v>24023935.690000001</v>
      </c>
      <c r="F313">
        <v>-32854253.899999999</v>
      </c>
      <c r="G313">
        <v>5</v>
      </c>
      <c r="H313">
        <v>2</v>
      </c>
      <c r="I313">
        <v>4</v>
      </c>
      <c r="J313">
        <v>3.9</v>
      </c>
      <c r="K313" t="s">
        <v>306</v>
      </c>
    </row>
    <row r="314" spans="1:11" x14ac:dyDescent="0.35">
      <c r="A314" t="s">
        <v>325</v>
      </c>
      <c r="B314">
        <v>5</v>
      </c>
      <c r="C314">
        <v>-25264703.079999998</v>
      </c>
      <c r="D314">
        <v>0</v>
      </c>
      <c r="E314">
        <v>16340530.82</v>
      </c>
      <c r="F314">
        <v>-34845777.799999997</v>
      </c>
      <c r="G314">
        <v>5</v>
      </c>
      <c r="H314">
        <v>2</v>
      </c>
      <c r="I314">
        <v>4</v>
      </c>
      <c r="J314">
        <v>3.9</v>
      </c>
      <c r="K314" t="s">
        <v>306</v>
      </c>
    </row>
    <row r="315" spans="1:11" x14ac:dyDescent="0.35">
      <c r="A315" t="s">
        <v>326</v>
      </c>
      <c r="B315">
        <v>5</v>
      </c>
      <c r="C315">
        <v>-105839261.2</v>
      </c>
      <c r="D315">
        <v>0</v>
      </c>
      <c r="E315">
        <v>30541122.539999999</v>
      </c>
      <c r="F315">
        <v>-35031582.700000003</v>
      </c>
      <c r="G315">
        <v>5</v>
      </c>
      <c r="H315">
        <v>2</v>
      </c>
      <c r="I315">
        <v>4</v>
      </c>
      <c r="J315">
        <v>3.9</v>
      </c>
      <c r="K315" t="s">
        <v>306</v>
      </c>
    </row>
    <row r="316" spans="1:11" x14ac:dyDescent="0.35">
      <c r="A316" t="s">
        <v>327</v>
      </c>
      <c r="B316">
        <v>5</v>
      </c>
      <c r="C316">
        <v>-96405946.079999998</v>
      </c>
      <c r="D316">
        <v>0</v>
      </c>
      <c r="E316">
        <v>29443440.239999998</v>
      </c>
      <c r="F316">
        <v>-35656778.5</v>
      </c>
      <c r="G316">
        <v>5</v>
      </c>
      <c r="H316">
        <v>2</v>
      </c>
      <c r="I316">
        <v>4</v>
      </c>
      <c r="J316">
        <v>3.9</v>
      </c>
      <c r="K316" t="s">
        <v>306</v>
      </c>
    </row>
    <row r="317" spans="1:11" x14ac:dyDescent="0.35">
      <c r="A317" t="s">
        <v>328</v>
      </c>
      <c r="B317">
        <v>5</v>
      </c>
      <c r="C317">
        <v>-54998960.299999997</v>
      </c>
      <c r="D317">
        <v>0</v>
      </c>
      <c r="E317">
        <v>20613888.329999998</v>
      </c>
      <c r="F317">
        <v>-37219409.5</v>
      </c>
      <c r="G317">
        <v>5</v>
      </c>
      <c r="H317">
        <v>2</v>
      </c>
      <c r="I317">
        <v>4</v>
      </c>
      <c r="J317">
        <v>3.9</v>
      </c>
      <c r="K317" t="s">
        <v>306</v>
      </c>
    </row>
    <row r="318" spans="1:11" x14ac:dyDescent="0.35">
      <c r="A318" t="s">
        <v>329</v>
      </c>
      <c r="B318">
        <v>5</v>
      </c>
      <c r="C318">
        <v>-24840993.039999999</v>
      </c>
      <c r="D318">
        <v>0</v>
      </c>
      <c r="E318">
        <v>16840232.32</v>
      </c>
      <c r="F318">
        <v>-37355846.399999999</v>
      </c>
      <c r="G318">
        <v>5</v>
      </c>
      <c r="H318">
        <v>2</v>
      </c>
      <c r="I318">
        <v>4</v>
      </c>
      <c r="J318">
        <v>3.9</v>
      </c>
      <c r="K318" t="s">
        <v>306</v>
      </c>
    </row>
    <row r="319" spans="1:11" x14ac:dyDescent="0.35">
      <c r="A319" t="s">
        <v>330</v>
      </c>
      <c r="B319">
        <v>5</v>
      </c>
      <c r="C319">
        <v>-62524396.82</v>
      </c>
      <c r="D319">
        <v>0</v>
      </c>
      <c r="E319">
        <v>17035493.940000001</v>
      </c>
      <c r="F319">
        <v>-37375170.799999997</v>
      </c>
      <c r="G319">
        <v>5</v>
      </c>
      <c r="H319">
        <v>2</v>
      </c>
      <c r="I319">
        <v>4</v>
      </c>
      <c r="J319">
        <v>3.9</v>
      </c>
      <c r="K319" t="s">
        <v>306</v>
      </c>
    </row>
    <row r="320" spans="1:11" x14ac:dyDescent="0.35">
      <c r="A320" t="s">
        <v>331</v>
      </c>
      <c r="B320">
        <v>5</v>
      </c>
      <c r="C320">
        <v>-43560753.700000003</v>
      </c>
      <c r="D320">
        <v>0</v>
      </c>
      <c r="E320">
        <v>16092213.42</v>
      </c>
      <c r="F320">
        <v>-37432871.5</v>
      </c>
      <c r="G320">
        <v>5</v>
      </c>
      <c r="H320">
        <v>2</v>
      </c>
      <c r="I320">
        <v>4</v>
      </c>
      <c r="J320">
        <v>3.9</v>
      </c>
      <c r="K320" t="s">
        <v>306</v>
      </c>
    </row>
    <row r="321" spans="1:11" x14ac:dyDescent="0.35">
      <c r="A321" t="s">
        <v>332</v>
      </c>
      <c r="B321">
        <v>5</v>
      </c>
      <c r="C321">
        <v>-47897649.920000002</v>
      </c>
      <c r="D321">
        <v>0</v>
      </c>
      <c r="E321">
        <v>15652998.380000001</v>
      </c>
      <c r="F321">
        <v>-37000361.899999999</v>
      </c>
      <c r="G321">
        <v>5</v>
      </c>
      <c r="H321">
        <v>2</v>
      </c>
      <c r="I321">
        <v>4</v>
      </c>
      <c r="J321">
        <v>3.9</v>
      </c>
      <c r="K321" t="s">
        <v>306</v>
      </c>
    </row>
    <row r="322" spans="1:11" x14ac:dyDescent="0.35">
      <c r="A322" t="s">
        <v>333</v>
      </c>
      <c r="B322">
        <v>5</v>
      </c>
      <c r="C322">
        <v>-36865567.880000003</v>
      </c>
      <c r="D322">
        <v>0</v>
      </c>
      <c r="E322">
        <v>33179183.059999999</v>
      </c>
      <c r="F322">
        <v>-38369235.200000003</v>
      </c>
      <c r="G322">
        <v>5</v>
      </c>
      <c r="H322">
        <v>2</v>
      </c>
      <c r="I322">
        <v>4</v>
      </c>
      <c r="J322">
        <v>3.9</v>
      </c>
      <c r="K322" t="s">
        <v>306</v>
      </c>
    </row>
    <row r="323" spans="1:11" x14ac:dyDescent="0.35">
      <c r="A323" t="s">
        <v>334</v>
      </c>
      <c r="B323">
        <v>5</v>
      </c>
      <c r="C323">
        <v>-21123803.079999998</v>
      </c>
      <c r="D323">
        <v>0</v>
      </c>
      <c r="E323">
        <v>25593198.120000001</v>
      </c>
      <c r="F323">
        <v>-38425331.100000001</v>
      </c>
      <c r="G323">
        <v>5</v>
      </c>
      <c r="H323">
        <v>2</v>
      </c>
      <c r="I323">
        <v>4</v>
      </c>
      <c r="J323">
        <v>3.9</v>
      </c>
      <c r="K323" t="s">
        <v>306</v>
      </c>
    </row>
    <row r="324" spans="1:11" x14ac:dyDescent="0.35">
      <c r="A324" t="s">
        <v>335</v>
      </c>
      <c r="B324">
        <v>5</v>
      </c>
      <c r="C324">
        <v>-103599030.09999999</v>
      </c>
      <c r="D324">
        <v>0</v>
      </c>
      <c r="E324">
        <v>27032522.23</v>
      </c>
      <c r="F324">
        <v>-22619853.399999999</v>
      </c>
      <c r="G324">
        <v>5</v>
      </c>
      <c r="H324">
        <v>2</v>
      </c>
      <c r="I324">
        <v>4</v>
      </c>
      <c r="J324">
        <v>3.9</v>
      </c>
      <c r="K324" t="s">
        <v>306</v>
      </c>
    </row>
    <row r="325" spans="1:11" x14ac:dyDescent="0.35">
      <c r="A325" t="s">
        <v>336</v>
      </c>
      <c r="B325">
        <v>5</v>
      </c>
      <c r="C325">
        <v>-73620901.060000002</v>
      </c>
      <c r="D325">
        <v>0</v>
      </c>
      <c r="E325">
        <v>42776791.890000001</v>
      </c>
      <c r="F325">
        <v>-26132585.199999999</v>
      </c>
      <c r="G325">
        <v>5</v>
      </c>
      <c r="H325">
        <v>2</v>
      </c>
      <c r="I325">
        <v>4</v>
      </c>
      <c r="J325">
        <v>3.9</v>
      </c>
      <c r="K325" t="s">
        <v>306</v>
      </c>
    </row>
    <row r="326" spans="1:11" x14ac:dyDescent="0.35">
      <c r="A326" t="s">
        <v>337</v>
      </c>
      <c r="B326">
        <v>5</v>
      </c>
      <c r="C326">
        <v>-22952295.98</v>
      </c>
      <c r="D326">
        <v>0</v>
      </c>
      <c r="E326">
        <v>15635978.08</v>
      </c>
      <c r="F326">
        <v>-26615610.300000001</v>
      </c>
      <c r="G326">
        <v>5</v>
      </c>
      <c r="H326">
        <v>2</v>
      </c>
      <c r="I326">
        <v>4</v>
      </c>
      <c r="J326">
        <v>3.9</v>
      </c>
      <c r="K326" t="s">
        <v>306</v>
      </c>
    </row>
    <row r="327" spans="1:11" x14ac:dyDescent="0.35">
      <c r="A327" t="s">
        <v>338</v>
      </c>
      <c r="B327">
        <v>5</v>
      </c>
      <c r="C327">
        <v>-49752128.18</v>
      </c>
      <c r="D327">
        <v>0</v>
      </c>
      <c r="E327">
        <v>15736019.01</v>
      </c>
      <c r="F327">
        <v>-27104073.399999999</v>
      </c>
      <c r="G327">
        <v>5</v>
      </c>
      <c r="H327">
        <v>2</v>
      </c>
      <c r="I327">
        <v>4</v>
      </c>
      <c r="J327">
        <v>3.9</v>
      </c>
      <c r="K327" t="s">
        <v>306</v>
      </c>
    </row>
    <row r="328" spans="1:11" x14ac:dyDescent="0.35">
      <c r="A328" t="s">
        <v>339</v>
      </c>
      <c r="B328">
        <v>5</v>
      </c>
      <c r="C328">
        <v>-53896694.060000002</v>
      </c>
      <c r="D328">
        <v>0</v>
      </c>
      <c r="E328">
        <v>28473705.260000002</v>
      </c>
      <c r="F328">
        <v>-13612045.4</v>
      </c>
      <c r="G328">
        <v>5</v>
      </c>
      <c r="H328">
        <v>2</v>
      </c>
      <c r="I328">
        <v>4</v>
      </c>
      <c r="J328">
        <v>3.9</v>
      </c>
      <c r="K328" t="s">
        <v>306</v>
      </c>
    </row>
    <row r="329" spans="1:11" x14ac:dyDescent="0.35">
      <c r="A329" t="s">
        <v>340</v>
      </c>
      <c r="B329">
        <v>5</v>
      </c>
      <c r="C329">
        <v>-69677712.420000002</v>
      </c>
      <c r="D329">
        <v>0</v>
      </c>
      <c r="E329">
        <v>22366837.670000002</v>
      </c>
      <c r="F329">
        <v>-16016230.4</v>
      </c>
      <c r="G329">
        <v>5</v>
      </c>
      <c r="H329">
        <v>2</v>
      </c>
      <c r="I329">
        <v>4</v>
      </c>
      <c r="J329">
        <v>3.9</v>
      </c>
      <c r="K329" t="s">
        <v>306</v>
      </c>
    </row>
    <row r="330" spans="1:11" x14ac:dyDescent="0.35">
      <c r="A330" t="s">
        <v>341</v>
      </c>
      <c r="B330">
        <v>5</v>
      </c>
      <c r="C330">
        <v>-47698573.759999998</v>
      </c>
      <c r="D330">
        <v>0</v>
      </c>
      <c r="E330">
        <v>26955912.850000001</v>
      </c>
      <c r="F330">
        <v>-17244783.800000001</v>
      </c>
      <c r="G330">
        <v>5</v>
      </c>
      <c r="H330">
        <v>2</v>
      </c>
      <c r="I330">
        <v>4</v>
      </c>
      <c r="J330">
        <v>3.9</v>
      </c>
      <c r="K330" t="s">
        <v>306</v>
      </c>
    </row>
    <row r="331" spans="1:11" x14ac:dyDescent="0.35">
      <c r="A331" t="s">
        <v>342</v>
      </c>
      <c r="B331">
        <v>5</v>
      </c>
      <c r="C331">
        <v>-37146166.579999998</v>
      </c>
      <c r="D331">
        <v>0</v>
      </c>
      <c r="E331">
        <v>24857058.420000002</v>
      </c>
      <c r="F331">
        <v>-16666278.300000001</v>
      </c>
      <c r="G331">
        <v>5</v>
      </c>
      <c r="H331">
        <v>2</v>
      </c>
      <c r="I331">
        <v>4</v>
      </c>
      <c r="J331">
        <v>3.9</v>
      </c>
      <c r="K331" t="s">
        <v>306</v>
      </c>
    </row>
    <row r="332" spans="1:11" x14ac:dyDescent="0.35">
      <c r="A332" t="s">
        <v>343</v>
      </c>
      <c r="B332">
        <v>5</v>
      </c>
      <c r="C332">
        <v>-27739126.359999999</v>
      </c>
      <c r="D332">
        <v>0</v>
      </c>
      <c r="E332">
        <v>24799452.5</v>
      </c>
      <c r="F332">
        <v>-9662057.6999999993</v>
      </c>
      <c r="G332">
        <v>5</v>
      </c>
      <c r="H332">
        <v>2</v>
      </c>
      <c r="I332">
        <v>4</v>
      </c>
      <c r="J332">
        <v>3.9</v>
      </c>
      <c r="K332" t="s">
        <v>306</v>
      </c>
    </row>
    <row r="333" spans="1:11" x14ac:dyDescent="0.35">
      <c r="A333" t="s">
        <v>344</v>
      </c>
      <c r="B333">
        <v>5</v>
      </c>
      <c r="C333">
        <v>-161013512.80000001</v>
      </c>
      <c r="D333">
        <v>0</v>
      </c>
      <c r="E333">
        <v>40085880.909999996</v>
      </c>
      <c r="F333">
        <v>-10577120.300000001</v>
      </c>
      <c r="G333">
        <v>5</v>
      </c>
      <c r="H333">
        <v>2</v>
      </c>
      <c r="I333">
        <v>4</v>
      </c>
      <c r="J333">
        <v>3.9</v>
      </c>
      <c r="K333" t="s">
        <v>306</v>
      </c>
    </row>
    <row r="334" spans="1:11" x14ac:dyDescent="0.35">
      <c r="A334" t="s">
        <v>345</v>
      </c>
      <c r="B334">
        <v>5</v>
      </c>
      <c r="C334">
        <v>-66753304.640000001</v>
      </c>
      <c r="D334">
        <v>0</v>
      </c>
      <c r="E334">
        <v>22299624.460000001</v>
      </c>
      <c r="F334">
        <v>-10905824.300000001</v>
      </c>
      <c r="G334">
        <v>5</v>
      </c>
      <c r="H334">
        <v>2</v>
      </c>
      <c r="I334">
        <v>4</v>
      </c>
      <c r="J334">
        <v>3.9</v>
      </c>
      <c r="K334" t="s">
        <v>306</v>
      </c>
    </row>
    <row r="335" spans="1:11" x14ac:dyDescent="0.35">
      <c r="A335" t="s">
        <v>346</v>
      </c>
      <c r="B335">
        <v>5</v>
      </c>
      <c r="C335">
        <v>-38695956.340000004</v>
      </c>
      <c r="D335">
        <v>0</v>
      </c>
      <c r="E335">
        <v>17742319.66</v>
      </c>
      <c r="F335">
        <v>-11113960.4</v>
      </c>
      <c r="G335">
        <v>5</v>
      </c>
      <c r="H335">
        <v>2</v>
      </c>
      <c r="I335">
        <v>4</v>
      </c>
      <c r="J335">
        <v>3.9</v>
      </c>
      <c r="K335" t="s">
        <v>306</v>
      </c>
    </row>
    <row r="336" spans="1:11" x14ac:dyDescent="0.35">
      <c r="A336" t="s">
        <v>347</v>
      </c>
      <c r="B336">
        <v>5</v>
      </c>
      <c r="C336">
        <v>-89038966.180000007</v>
      </c>
      <c r="D336">
        <v>0</v>
      </c>
      <c r="E336">
        <v>22680052.030000001</v>
      </c>
      <c r="F336">
        <v>-7040837.7999999998</v>
      </c>
      <c r="G336">
        <v>5</v>
      </c>
      <c r="H336">
        <v>2</v>
      </c>
      <c r="I336">
        <v>4</v>
      </c>
      <c r="J336">
        <v>3.9</v>
      </c>
      <c r="K336" t="s">
        <v>306</v>
      </c>
    </row>
    <row r="337" spans="1:11" x14ac:dyDescent="0.35">
      <c r="A337" t="s">
        <v>348</v>
      </c>
      <c r="B337">
        <v>5</v>
      </c>
      <c r="C337">
        <v>-14050702.800000001</v>
      </c>
      <c r="D337">
        <v>0</v>
      </c>
      <c r="E337">
        <v>17306489.109999999</v>
      </c>
      <c r="F337">
        <v>-7517383.7000000002</v>
      </c>
      <c r="G337">
        <v>5</v>
      </c>
      <c r="H337">
        <v>2</v>
      </c>
      <c r="I337">
        <v>4</v>
      </c>
      <c r="J337">
        <v>3.9</v>
      </c>
      <c r="K337" t="s">
        <v>306</v>
      </c>
    </row>
    <row r="338" spans="1:11" x14ac:dyDescent="0.35">
      <c r="A338" t="s">
        <v>349</v>
      </c>
      <c r="B338">
        <v>5</v>
      </c>
      <c r="C338">
        <v>-50960083.82</v>
      </c>
      <c r="D338">
        <v>0</v>
      </c>
      <c r="E338">
        <v>27573821.140000001</v>
      </c>
      <c r="F338">
        <v>-7800017.5</v>
      </c>
      <c r="G338">
        <v>5</v>
      </c>
      <c r="H338">
        <v>2</v>
      </c>
      <c r="I338">
        <v>4</v>
      </c>
      <c r="J338">
        <v>3.9</v>
      </c>
      <c r="K338" t="s">
        <v>306</v>
      </c>
    </row>
    <row r="339" spans="1:11" x14ac:dyDescent="0.35">
      <c r="A339" t="s">
        <v>350</v>
      </c>
      <c r="B339">
        <v>5</v>
      </c>
      <c r="C339">
        <v>-44176607.780000001</v>
      </c>
      <c r="D339">
        <v>0</v>
      </c>
      <c r="E339">
        <v>23630936.710000001</v>
      </c>
      <c r="F339">
        <v>-6554610.2999999998</v>
      </c>
      <c r="G339">
        <v>5</v>
      </c>
      <c r="H339">
        <v>2</v>
      </c>
      <c r="I339">
        <v>4</v>
      </c>
      <c r="J339">
        <v>3.9</v>
      </c>
      <c r="K339" t="s">
        <v>306</v>
      </c>
    </row>
    <row r="340" spans="1:11" x14ac:dyDescent="0.35">
      <c r="A340" t="s">
        <v>351</v>
      </c>
      <c r="B340">
        <v>5</v>
      </c>
      <c r="C340">
        <v>-44950654.960000001</v>
      </c>
      <c r="D340">
        <v>0</v>
      </c>
      <c r="E340">
        <v>21447801.16</v>
      </c>
      <c r="F340">
        <v>-6894895.9000000004</v>
      </c>
      <c r="G340">
        <v>5</v>
      </c>
      <c r="H340">
        <v>2</v>
      </c>
      <c r="I340">
        <v>4</v>
      </c>
      <c r="J340">
        <v>3.9</v>
      </c>
      <c r="K340" t="s">
        <v>306</v>
      </c>
    </row>
    <row r="341" spans="1:11" x14ac:dyDescent="0.35">
      <c r="A341" t="s">
        <v>352</v>
      </c>
      <c r="B341">
        <v>5</v>
      </c>
      <c r="C341">
        <v>-64067776.68</v>
      </c>
      <c r="D341">
        <v>0.2</v>
      </c>
      <c r="E341">
        <v>101016652.90000001</v>
      </c>
      <c r="F341">
        <v>-216289149.69999999</v>
      </c>
      <c r="G341">
        <v>4</v>
      </c>
      <c r="H341">
        <v>3</v>
      </c>
      <c r="I341">
        <v>5</v>
      </c>
      <c r="J341">
        <v>3.9</v>
      </c>
      <c r="K341" t="s">
        <v>306</v>
      </c>
    </row>
    <row r="342" spans="1:11" x14ac:dyDescent="0.35">
      <c r="A342" t="s">
        <v>353</v>
      </c>
      <c r="B342">
        <v>5</v>
      </c>
      <c r="C342">
        <v>-40164916.520000003</v>
      </c>
      <c r="D342">
        <v>0.4</v>
      </c>
      <c r="E342">
        <v>98757440.670000002</v>
      </c>
      <c r="F342">
        <v>-242237695</v>
      </c>
      <c r="G342">
        <v>4</v>
      </c>
      <c r="H342">
        <v>3</v>
      </c>
      <c r="I342">
        <v>5</v>
      </c>
      <c r="J342">
        <v>3.9</v>
      </c>
      <c r="K342" t="s">
        <v>306</v>
      </c>
    </row>
    <row r="343" spans="1:11" x14ac:dyDescent="0.35">
      <c r="A343" t="s">
        <v>354</v>
      </c>
      <c r="B343">
        <v>5</v>
      </c>
      <c r="C343">
        <v>-33621886.799999997</v>
      </c>
      <c r="D343">
        <v>0.4</v>
      </c>
      <c r="E343">
        <v>106108754.40000001</v>
      </c>
      <c r="F343">
        <v>-209713762.69999999</v>
      </c>
      <c r="G343">
        <v>4</v>
      </c>
      <c r="H343">
        <v>3</v>
      </c>
      <c r="I343">
        <v>5</v>
      </c>
      <c r="J343">
        <v>3.9</v>
      </c>
      <c r="K343" t="s">
        <v>306</v>
      </c>
    </row>
    <row r="344" spans="1:11" x14ac:dyDescent="0.35">
      <c r="A344" t="s">
        <v>355</v>
      </c>
      <c r="B344">
        <v>5</v>
      </c>
      <c r="C344">
        <v>-67635581.140000001</v>
      </c>
      <c r="D344">
        <v>0.2</v>
      </c>
      <c r="E344">
        <v>74774985.230000004</v>
      </c>
      <c r="F344">
        <v>-184386852.80000001</v>
      </c>
      <c r="G344">
        <v>4</v>
      </c>
      <c r="H344">
        <v>3</v>
      </c>
      <c r="I344">
        <v>5</v>
      </c>
      <c r="J344">
        <v>3.9</v>
      </c>
      <c r="K344" t="s">
        <v>306</v>
      </c>
    </row>
    <row r="345" spans="1:11" x14ac:dyDescent="0.35">
      <c r="A345" t="s">
        <v>356</v>
      </c>
      <c r="B345">
        <v>5</v>
      </c>
      <c r="C345">
        <v>-73333494.280000001</v>
      </c>
      <c r="D345">
        <v>0.2</v>
      </c>
      <c r="E345">
        <v>95297242.530000001</v>
      </c>
      <c r="F345">
        <v>-202855769.40000001</v>
      </c>
      <c r="G345">
        <v>4</v>
      </c>
      <c r="H345">
        <v>3</v>
      </c>
      <c r="I345">
        <v>5</v>
      </c>
      <c r="J345">
        <v>3.9</v>
      </c>
      <c r="K345" t="s">
        <v>306</v>
      </c>
    </row>
    <row r="346" spans="1:11" x14ac:dyDescent="0.35">
      <c r="A346" t="s">
        <v>357</v>
      </c>
      <c r="B346">
        <v>5</v>
      </c>
      <c r="C346">
        <v>-121867970.2</v>
      </c>
      <c r="D346">
        <v>0</v>
      </c>
      <c r="E346">
        <v>78201552.290000007</v>
      </c>
      <c r="F346">
        <v>-205864371.09999999</v>
      </c>
      <c r="G346">
        <v>4</v>
      </c>
      <c r="H346">
        <v>3</v>
      </c>
      <c r="I346">
        <v>5</v>
      </c>
      <c r="J346">
        <v>3.9</v>
      </c>
      <c r="K346" t="s">
        <v>306</v>
      </c>
    </row>
    <row r="347" spans="1:11" x14ac:dyDescent="0.35">
      <c r="A347" t="s">
        <v>358</v>
      </c>
      <c r="B347">
        <v>5</v>
      </c>
      <c r="C347">
        <v>-85708642.280000001</v>
      </c>
      <c r="D347">
        <v>0.2</v>
      </c>
      <c r="E347">
        <v>106618726.40000001</v>
      </c>
      <c r="F347">
        <v>-207016962.40000001</v>
      </c>
      <c r="G347">
        <v>4</v>
      </c>
      <c r="H347">
        <v>3</v>
      </c>
      <c r="I347">
        <v>5</v>
      </c>
      <c r="J347">
        <v>3.9</v>
      </c>
      <c r="K347" t="s">
        <v>306</v>
      </c>
    </row>
    <row r="348" spans="1:11" x14ac:dyDescent="0.35">
      <c r="A348" t="s">
        <v>359</v>
      </c>
      <c r="B348">
        <v>5</v>
      </c>
      <c r="C348">
        <v>-69013749</v>
      </c>
      <c r="D348">
        <v>0.2</v>
      </c>
      <c r="E348">
        <v>98407984.760000005</v>
      </c>
      <c r="F348">
        <v>-174906328.19999999</v>
      </c>
      <c r="G348">
        <v>4</v>
      </c>
      <c r="H348">
        <v>3</v>
      </c>
      <c r="I348">
        <v>5</v>
      </c>
      <c r="J348">
        <v>3.9</v>
      </c>
      <c r="K348" t="s">
        <v>306</v>
      </c>
    </row>
    <row r="349" spans="1:11" x14ac:dyDescent="0.35">
      <c r="A349" t="s">
        <v>360</v>
      </c>
      <c r="B349">
        <v>5</v>
      </c>
      <c r="C349">
        <v>-90249427.780000001</v>
      </c>
      <c r="D349">
        <v>0</v>
      </c>
      <c r="E349">
        <v>60992468.340000004</v>
      </c>
      <c r="F349">
        <v>-135429906.90000001</v>
      </c>
      <c r="G349">
        <v>4</v>
      </c>
      <c r="H349">
        <v>3</v>
      </c>
      <c r="I349">
        <v>5</v>
      </c>
      <c r="J349">
        <v>3.9</v>
      </c>
      <c r="K349" t="s">
        <v>306</v>
      </c>
    </row>
    <row r="350" spans="1:11" x14ac:dyDescent="0.35">
      <c r="A350" t="s">
        <v>361</v>
      </c>
      <c r="B350">
        <v>5</v>
      </c>
      <c r="C350">
        <v>-36459503.68</v>
      </c>
      <c r="D350">
        <v>0.2</v>
      </c>
      <c r="E350">
        <v>97438443.969999999</v>
      </c>
      <c r="F350">
        <v>-137144159.59999999</v>
      </c>
      <c r="G350">
        <v>4</v>
      </c>
      <c r="H350">
        <v>3</v>
      </c>
      <c r="I350">
        <v>5</v>
      </c>
      <c r="J350">
        <v>3.9</v>
      </c>
      <c r="K350" t="s">
        <v>306</v>
      </c>
    </row>
    <row r="351" spans="1:11" x14ac:dyDescent="0.35">
      <c r="A351" t="s">
        <v>362</v>
      </c>
      <c r="B351">
        <v>5</v>
      </c>
      <c r="C351">
        <v>3933534.34</v>
      </c>
      <c r="D351">
        <v>0.4</v>
      </c>
      <c r="E351">
        <v>77880131.319999993</v>
      </c>
      <c r="F351">
        <v>-137631847.59999999</v>
      </c>
      <c r="G351">
        <v>4</v>
      </c>
      <c r="H351">
        <v>3</v>
      </c>
      <c r="I351">
        <v>5</v>
      </c>
      <c r="J351">
        <v>3.9</v>
      </c>
      <c r="K351" t="s">
        <v>306</v>
      </c>
    </row>
    <row r="352" spans="1:11" x14ac:dyDescent="0.35">
      <c r="A352" t="s">
        <v>363</v>
      </c>
      <c r="B352">
        <v>5</v>
      </c>
      <c r="C352">
        <v>-73795399.459999993</v>
      </c>
      <c r="D352">
        <v>0.2</v>
      </c>
      <c r="E352">
        <v>69110010.310000002</v>
      </c>
      <c r="F352">
        <v>-132416228.40000001</v>
      </c>
      <c r="G352">
        <v>4</v>
      </c>
      <c r="H352">
        <v>3</v>
      </c>
      <c r="I352">
        <v>5</v>
      </c>
      <c r="J352">
        <v>3.9</v>
      </c>
      <c r="K352" t="s">
        <v>306</v>
      </c>
    </row>
    <row r="353" spans="1:11" x14ac:dyDescent="0.35">
      <c r="A353" t="s">
        <v>364</v>
      </c>
      <c r="B353">
        <v>5</v>
      </c>
      <c r="C353">
        <v>-72250390.400000006</v>
      </c>
      <c r="D353">
        <v>0.2</v>
      </c>
      <c r="E353">
        <v>76084274.920000002</v>
      </c>
      <c r="F353">
        <v>-132598031.59999999</v>
      </c>
      <c r="G353">
        <v>4</v>
      </c>
      <c r="H353">
        <v>3</v>
      </c>
      <c r="I353">
        <v>5</v>
      </c>
      <c r="J353">
        <v>3.9</v>
      </c>
      <c r="K353" t="s">
        <v>306</v>
      </c>
    </row>
    <row r="354" spans="1:11" x14ac:dyDescent="0.35">
      <c r="A354" t="s">
        <v>365</v>
      </c>
      <c r="B354">
        <v>5</v>
      </c>
      <c r="C354">
        <v>-48452375.700000003</v>
      </c>
      <c r="D354">
        <v>0</v>
      </c>
      <c r="E354">
        <v>52999566.549999997</v>
      </c>
      <c r="F354">
        <v>-129983214.09999999</v>
      </c>
      <c r="G354">
        <v>4</v>
      </c>
      <c r="H354">
        <v>3</v>
      </c>
      <c r="I354">
        <v>5</v>
      </c>
      <c r="J354">
        <v>3.9</v>
      </c>
      <c r="K354" t="s">
        <v>306</v>
      </c>
    </row>
    <row r="355" spans="1:11" x14ac:dyDescent="0.35">
      <c r="A355" t="s">
        <v>366</v>
      </c>
      <c r="B355">
        <v>5</v>
      </c>
      <c r="C355">
        <v>-48785221.119999997</v>
      </c>
      <c r="D355">
        <v>0.2</v>
      </c>
      <c r="E355">
        <v>62636205.299999997</v>
      </c>
      <c r="F355">
        <v>-127817501.5</v>
      </c>
      <c r="G355">
        <v>4</v>
      </c>
      <c r="H355">
        <v>3</v>
      </c>
      <c r="I355">
        <v>5</v>
      </c>
      <c r="J355">
        <v>3.9</v>
      </c>
      <c r="K355" t="s">
        <v>306</v>
      </c>
    </row>
    <row r="356" spans="1:11" x14ac:dyDescent="0.35">
      <c r="A356" t="s">
        <v>367</v>
      </c>
      <c r="B356">
        <v>5</v>
      </c>
      <c r="C356">
        <v>-116884555.5</v>
      </c>
      <c r="D356">
        <v>0</v>
      </c>
      <c r="E356">
        <v>49312163.960000001</v>
      </c>
      <c r="F356">
        <v>-124296107.8</v>
      </c>
      <c r="G356">
        <v>4</v>
      </c>
      <c r="H356">
        <v>3</v>
      </c>
      <c r="I356">
        <v>5</v>
      </c>
      <c r="J356">
        <v>3.9</v>
      </c>
      <c r="K356" t="s">
        <v>306</v>
      </c>
    </row>
    <row r="357" spans="1:11" x14ac:dyDescent="0.35">
      <c r="A357" t="s">
        <v>368</v>
      </c>
      <c r="B357">
        <v>5</v>
      </c>
      <c r="C357">
        <v>-77686516.040000007</v>
      </c>
      <c r="D357">
        <v>0.2</v>
      </c>
      <c r="E357">
        <v>61545542.259999998</v>
      </c>
      <c r="F357">
        <v>-151234097.09999999</v>
      </c>
      <c r="G357">
        <v>4</v>
      </c>
      <c r="H357">
        <v>3</v>
      </c>
      <c r="I357">
        <v>5</v>
      </c>
      <c r="J357">
        <v>3.9</v>
      </c>
      <c r="K357" t="s">
        <v>306</v>
      </c>
    </row>
    <row r="358" spans="1:11" x14ac:dyDescent="0.35">
      <c r="A358" t="s">
        <v>369</v>
      </c>
      <c r="B358">
        <v>5</v>
      </c>
      <c r="C358">
        <v>-93317607.019999996</v>
      </c>
      <c r="D358">
        <v>0.2</v>
      </c>
      <c r="E358">
        <v>88264006.870000005</v>
      </c>
      <c r="F358">
        <v>-146205013.80000001</v>
      </c>
      <c r="G358">
        <v>4</v>
      </c>
      <c r="H358">
        <v>3</v>
      </c>
      <c r="I358">
        <v>5</v>
      </c>
      <c r="J358">
        <v>3.9</v>
      </c>
      <c r="K358" t="s">
        <v>306</v>
      </c>
    </row>
    <row r="359" spans="1:11" x14ac:dyDescent="0.35">
      <c r="A359" t="s">
        <v>370</v>
      </c>
      <c r="B359">
        <v>5</v>
      </c>
      <c r="C359">
        <v>-55259428.219999999</v>
      </c>
      <c r="D359">
        <v>0.2</v>
      </c>
      <c r="E359">
        <v>67109432.640000001</v>
      </c>
      <c r="F359">
        <v>-149154541.09999999</v>
      </c>
      <c r="G359">
        <v>4</v>
      </c>
      <c r="H359">
        <v>3</v>
      </c>
      <c r="I359">
        <v>5</v>
      </c>
      <c r="J359">
        <v>3.9</v>
      </c>
      <c r="K359" t="s">
        <v>306</v>
      </c>
    </row>
    <row r="360" spans="1:11" x14ac:dyDescent="0.35">
      <c r="A360" t="s">
        <v>371</v>
      </c>
      <c r="B360">
        <v>5</v>
      </c>
      <c r="C360">
        <v>-81588283.079999998</v>
      </c>
      <c r="D360">
        <v>0</v>
      </c>
      <c r="E360">
        <v>59472347.090000004</v>
      </c>
      <c r="F360">
        <v>-142117240.09999999</v>
      </c>
      <c r="G360">
        <v>4</v>
      </c>
      <c r="H360">
        <v>3</v>
      </c>
      <c r="I360">
        <v>5</v>
      </c>
      <c r="J360">
        <v>3.9</v>
      </c>
      <c r="K360" t="s">
        <v>306</v>
      </c>
    </row>
    <row r="361" spans="1:11" x14ac:dyDescent="0.35">
      <c r="A361" t="s">
        <v>372</v>
      </c>
      <c r="B361">
        <v>5</v>
      </c>
      <c r="C361">
        <v>-106793373.40000001</v>
      </c>
      <c r="D361">
        <v>0.2</v>
      </c>
      <c r="E361">
        <v>109567214.09999999</v>
      </c>
      <c r="F361">
        <v>-281198676.39999998</v>
      </c>
      <c r="G361">
        <v>4</v>
      </c>
      <c r="H361">
        <v>3</v>
      </c>
      <c r="I361">
        <v>5</v>
      </c>
      <c r="J361">
        <v>3.9</v>
      </c>
      <c r="K361" t="s">
        <v>306</v>
      </c>
    </row>
    <row r="362" spans="1:11" x14ac:dyDescent="0.35">
      <c r="A362" t="s">
        <v>373</v>
      </c>
      <c r="B362">
        <v>5</v>
      </c>
      <c r="C362">
        <v>-59556284.039999999</v>
      </c>
      <c r="D362">
        <v>0.2</v>
      </c>
      <c r="E362">
        <v>111210191.8</v>
      </c>
      <c r="F362">
        <v>-297098527.60000002</v>
      </c>
      <c r="G362">
        <v>4</v>
      </c>
      <c r="H362">
        <v>3</v>
      </c>
      <c r="I362">
        <v>5</v>
      </c>
      <c r="J362">
        <v>3.9</v>
      </c>
      <c r="K362" t="s">
        <v>306</v>
      </c>
    </row>
    <row r="363" spans="1:11" x14ac:dyDescent="0.35">
      <c r="A363" t="s">
        <v>374</v>
      </c>
      <c r="B363">
        <v>5</v>
      </c>
      <c r="C363">
        <v>-53948808.979999997</v>
      </c>
      <c r="D363">
        <v>0</v>
      </c>
      <c r="E363">
        <v>32692901.399999999</v>
      </c>
      <c r="F363">
        <v>-71583099</v>
      </c>
      <c r="G363">
        <v>5</v>
      </c>
      <c r="H363">
        <v>2</v>
      </c>
      <c r="I363">
        <v>4</v>
      </c>
      <c r="J363">
        <v>3.9</v>
      </c>
      <c r="K363" t="s">
        <v>306</v>
      </c>
    </row>
    <row r="364" spans="1:11" x14ac:dyDescent="0.35">
      <c r="A364" t="s">
        <v>375</v>
      </c>
      <c r="B364">
        <v>5</v>
      </c>
      <c r="C364">
        <v>-59222893.159999996</v>
      </c>
      <c r="D364">
        <v>0</v>
      </c>
      <c r="E364">
        <v>33240579.219999999</v>
      </c>
      <c r="F364">
        <v>-68225124.599999994</v>
      </c>
      <c r="G364">
        <v>5</v>
      </c>
      <c r="H364">
        <v>2</v>
      </c>
      <c r="I364">
        <v>4</v>
      </c>
      <c r="J364">
        <v>3.9</v>
      </c>
      <c r="K364" t="s">
        <v>306</v>
      </c>
    </row>
    <row r="365" spans="1:11" x14ac:dyDescent="0.35">
      <c r="A365" t="s">
        <v>376</v>
      </c>
      <c r="B365">
        <v>5</v>
      </c>
      <c r="C365">
        <v>-72100700.840000004</v>
      </c>
      <c r="D365">
        <v>0</v>
      </c>
      <c r="E365">
        <v>27131736.780000001</v>
      </c>
      <c r="F365">
        <v>-68225775.400000006</v>
      </c>
      <c r="G365">
        <v>5</v>
      </c>
      <c r="H365">
        <v>2</v>
      </c>
      <c r="I365">
        <v>4</v>
      </c>
      <c r="J365">
        <v>3.9</v>
      </c>
      <c r="K365" t="s">
        <v>306</v>
      </c>
    </row>
    <row r="366" spans="1:11" x14ac:dyDescent="0.35">
      <c r="A366" t="s">
        <v>377</v>
      </c>
      <c r="B366">
        <v>5</v>
      </c>
      <c r="C366">
        <v>-60535226.579999998</v>
      </c>
      <c r="D366">
        <v>0</v>
      </c>
      <c r="E366">
        <v>27645592.559999999</v>
      </c>
      <c r="F366">
        <v>-68529611.200000003</v>
      </c>
      <c r="G366">
        <v>5</v>
      </c>
      <c r="H366">
        <v>2</v>
      </c>
      <c r="I366">
        <v>4</v>
      </c>
      <c r="J366">
        <v>3.9</v>
      </c>
      <c r="K366" t="s">
        <v>306</v>
      </c>
    </row>
    <row r="367" spans="1:11" x14ac:dyDescent="0.35">
      <c r="A367" t="s">
        <v>378</v>
      </c>
      <c r="B367">
        <v>5</v>
      </c>
      <c r="C367">
        <v>-67985446.900000006</v>
      </c>
      <c r="D367">
        <v>0</v>
      </c>
      <c r="E367">
        <v>32237452.940000001</v>
      </c>
      <c r="F367">
        <v>-69363108.200000003</v>
      </c>
      <c r="G367">
        <v>5</v>
      </c>
      <c r="H367">
        <v>2</v>
      </c>
      <c r="I367">
        <v>4</v>
      </c>
      <c r="J367">
        <v>3.9</v>
      </c>
      <c r="K367" t="s">
        <v>306</v>
      </c>
    </row>
    <row r="368" spans="1:11" x14ac:dyDescent="0.35">
      <c r="A368" t="s">
        <v>379</v>
      </c>
      <c r="B368">
        <v>5</v>
      </c>
      <c r="C368">
        <v>-104728115.40000001</v>
      </c>
      <c r="D368">
        <v>0</v>
      </c>
      <c r="E368">
        <v>33725826.219999999</v>
      </c>
      <c r="F368">
        <v>-69465753.400000006</v>
      </c>
      <c r="G368">
        <v>5</v>
      </c>
      <c r="H368">
        <v>2</v>
      </c>
      <c r="I368">
        <v>4</v>
      </c>
      <c r="J368">
        <v>3.9</v>
      </c>
      <c r="K368" t="s">
        <v>306</v>
      </c>
    </row>
    <row r="369" spans="1:11" x14ac:dyDescent="0.35">
      <c r="A369" t="s">
        <v>380</v>
      </c>
      <c r="B369">
        <v>5</v>
      </c>
      <c r="C369">
        <v>-58450410.859999999</v>
      </c>
      <c r="D369">
        <v>0</v>
      </c>
      <c r="E369">
        <v>30112746.399999999</v>
      </c>
      <c r="F369">
        <v>-69528570.900000006</v>
      </c>
      <c r="G369">
        <v>5</v>
      </c>
      <c r="H369">
        <v>2</v>
      </c>
      <c r="I369">
        <v>4</v>
      </c>
      <c r="J369">
        <v>3.9</v>
      </c>
      <c r="K369" t="s">
        <v>306</v>
      </c>
    </row>
    <row r="370" spans="1:11" x14ac:dyDescent="0.35">
      <c r="A370" t="s">
        <v>381</v>
      </c>
      <c r="B370">
        <v>5</v>
      </c>
      <c r="C370">
        <v>-33254071.440000001</v>
      </c>
      <c r="D370">
        <v>0</v>
      </c>
      <c r="E370">
        <v>24561096.800000001</v>
      </c>
      <c r="F370">
        <v>-62958535.799999997</v>
      </c>
      <c r="G370">
        <v>5</v>
      </c>
      <c r="H370">
        <v>2</v>
      </c>
      <c r="I370">
        <v>4</v>
      </c>
      <c r="J370">
        <v>3.9</v>
      </c>
      <c r="K370" t="s">
        <v>306</v>
      </c>
    </row>
    <row r="371" spans="1:11" x14ac:dyDescent="0.35">
      <c r="A371" t="s">
        <v>382</v>
      </c>
      <c r="B371">
        <v>5</v>
      </c>
      <c r="C371">
        <v>-32032217.800000001</v>
      </c>
      <c r="D371">
        <v>0</v>
      </c>
      <c r="E371">
        <v>21748007.100000001</v>
      </c>
      <c r="F371">
        <v>-61081954.5</v>
      </c>
      <c r="G371">
        <v>5</v>
      </c>
      <c r="H371">
        <v>2</v>
      </c>
      <c r="I371">
        <v>4</v>
      </c>
      <c r="J371">
        <v>3.9</v>
      </c>
      <c r="K371" t="s">
        <v>306</v>
      </c>
    </row>
    <row r="372" spans="1:11" x14ac:dyDescent="0.35">
      <c r="A372" t="s">
        <v>383</v>
      </c>
      <c r="B372">
        <v>5</v>
      </c>
      <c r="C372">
        <v>-55166410.020000003</v>
      </c>
      <c r="D372">
        <v>0</v>
      </c>
      <c r="E372">
        <v>27534688.210000001</v>
      </c>
      <c r="F372">
        <v>-59526378.5</v>
      </c>
      <c r="G372">
        <v>5</v>
      </c>
      <c r="H372">
        <v>2</v>
      </c>
      <c r="I372">
        <v>4</v>
      </c>
      <c r="J372">
        <v>3.9</v>
      </c>
      <c r="K372" t="s">
        <v>306</v>
      </c>
    </row>
    <row r="373" spans="1:11" x14ac:dyDescent="0.35">
      <c r="A373" t="s">
        <v>384</v>
      </c>
      <c r="B373">
        <v>5</v>
      </c>
      <c r="C373">
        <v>-53560076.219999999</v>
      </c>
      <c r="D373">
        <v>0</v>
      </c>
      <c r="E373">
        <v>29508674.07</v>
      </c>
      <c r="F373">
        <v>-60186202.100000001</v>
      </c>
      <c r="G373">
        <v>5</v>
      </c>
      <c r="H373">
        <v>2</v>
      </c>
      <c r="I373">
        <v>4</v>
      </c>
      <c r="J373">
        <v>3.9</v>
      </c>
      <c r="K373" t="s">
        <v>306</v>
      </c>
    </row>
    <row r="374" spans="1:11" x14ac:dyDescent="0.35">
      <c r="A374" t="s">
        <v>385</v>
      </c>
      <c r="B374">
        <v>5</v>
      </c>
      <c r="C374">
        <v>-78058596.219999999</v>
      </c>
      <c r="D374">
        <v>0</v>
      </c>
      <c r="E374">
        <v>35530215.039999999</v>
      </c>
      <c r="F374">
        <v>-59030042.100000001</v>
      </c>
      <c r="G374">
        <v>5</v>
      </c>
      <c r="H374">
        <v>2</v>
      </c>
      <c r="I374">
        <v>4</v>
      </c>
      <c r="J374">
        <v>3.9</v>
      </c>
      <c r="K374" t="s">
        <v>306</v>
      </c>
    </row>
    <row r="375" spans="1:11" x14ac:dyDescent="0.35">
      <c r="A375" t="s">
        <v>386</v>
      </c>
      <c r="B375">
        <v>5</v>
      </c>
      <c r="C375">
        <v>-116265670.3</v>
      </c>
      <c r="D375">
        <v>0</v>
      </c>
      <c r="E375">
        <v>33857764.07</v>
      </c>
      <c r="F375">
        <v>-58110626.5</v>
      </c>
      <c r="G375">
        <v>5</v>
      </c>
      <c r="H375">
        <v>2</v>
      </c>
      <c r="I375">
        <v>4</v>
      </c>
      <c r="J375">
        <v>3.9</v>
      </c>
      <c r="K375" t="s">
        <v>306</v>
      </c>
    </row>
    <row r="376" spans="1:11" x14ac:dyDescent="0.35">
      <c r="A376" t="s">
        <v>387</v>
      </c>
      <c r="B376">
        <v>5</v>
      </c>
      <c r="C376">
        <v>-20234062.84</v>
      </c>
      <c r="D376">
        <v>0</v>
      </c>
      <c r="E376">
        <v>21260143.41</v>
      </c>
      <c r="F376">
        <v>-53192554.100000001</v>
      </c>
      <c r="G376">
        <v>5</v>
      </c>
      <c r="H376">
        <v>2</v>
      </c>
      <c r="I376">
        <v>4</v>
      </c>
      <c r="J376">
        <v>3.9</v>
      </c>
      <c r="K376" t="s">
        <v>306</v>
      </c>
    </row>
    <row r="377" spans="1:11" x14ac:dyDescent="0.35">
      <c r="A377" t="s">
        <v>388</v>
      </c>
      <c r="B377">
        <v>5</v>
      </c>
      <c r="C377">
        <v>-59218520.359999999</v>
      </c>
      <c r="D377">
        <v>0</v>
      </c>
      <c r="E377">
        <v>39723701.829999998</v>
      </c>
      <c r="F377">
        <v>-53479205.100000001</v>
      </c>
      <c r="G377">
        <v>5</v>
      </c>
      <c r="H377">
        <v>2</v>
      </c>
      <c r="I377">
        <v>4</v>
      </c>
      <c r="J377">
        <v>3.9</v>
      </c>
      <c r="K377" t="s">
        <v>306</v>
      </c>
    </row>
    <row r="378" spans="1:11" x14ac:dyDescent="0.35">
      <c r="A378" t="s">
        <v>389</v>
      </c>
      <c r="B378">
        <v>5</v>
      </c>
      <c r="C378">
        <v>-120461309.40000001</v>
      </c>
      <c r="D378">
        <v>0</v>
      </c>
      <c r="E378">
        <v>33688910.299999997</v>
      </c>
      <c r="F378">
        <v>-53934887.200000003</v>
      </c>
      <c r="G378">
        <v>5</v>
      </c>
      <c r="H378">
        <v>2</v>
      </c>
      <c r="I378">
        <v>4</v>
      </c>
      <c r="J378">
        <v>3.9</v>
      </c>
      <c r="K378" t="s">
        <v>306</v>
      </c>
    </row>
    <row r="379" spans="1:11" x14ac:dyDescent="0.35">
      <c r="A379" t="s">
        <v>390</v>
      </c>
      <c r="B379">
        <v>5</v>
      </c>
      <c r="C379">
        <v>-54973375.32</v>
      </c>
      <c r="D379">
        <v>0</v>
      </c>
      <c r="E379">
        <v>21321465.399999999</v>
      </c>
      <c r="F379">
        <v>-54912786.5</v>
      </c>
      <c r="G379">
        <v>5</v>
      </c>
      <c r="H379">
        <v>2</v>
      </c>
      <c r="I379">
        <v>4</v>
      </c>
      <c r="J379">
        <v>3.9</v>
      </c>
      <c r="K379" t="s">
        <v>306</v>
      </c>
    </row>
    <row r="380" spans="1:11" x14ac:dyDescent="0.35">
      <c r="A380" t="s">
        <v>391</v>
      </c>
      <c r="B380">
        <v>5</v>
      </c>
      <c r="C380">
        <v>-48089321.460000001</v>
      </c>
      <c r="D380">
        <v>0</v>
      </c>
      <c r="E380">
        <v>30746983.82</v>
      </c>
      <c r="F380">
        <v>-55111528.299999997</v>
      </c>
      <c r="G380">
        <v>5</v>
      </c>
      <c r="H380">
        <v>2</v>
      </c>
      <c r="I380">
        <v>4</v>
      </c>
      <c r="J380">
        <v>3.9</v>
      </c>
      <c r="K380" t="s">
        <v>306</v>
      </c>
    </row>
    <row r="381" spans="1:11" x14ac:dyDescent="0.35">
      <c r="A381" t="s">
        <v>392</v>
      </c>
      <c r="B381">
        <v>5</v>
      </c>
      <c r="C381">
        <v>-46301766.280000001</v>
      </c>
      <c r="D381">
        <v>0</v>
      </c>
      <c r="E381">
        <v>37992312.909999996</v>
      </c>
      <c r="F381">
        <v>-55258957.200000003</v>
      </c>
      <c r="G381">
        <v>5</v>
      </c>
      <c r="H381">
        <v>2</v>
      </c>
      <c r="I381">
        <v>4</v>
      </c>
      <c r="J381">
        <v>3.9</v>
      </c>
      <c r="K381" t="s">
        <v>306</v>
      </c>
    </row>
    <row r="382" spans="1:11" x14ac:dyDescent="0.35">
      <c r="A382" t="s">
        <v>393</v>
      </c>
      <c r="B382">
        <v>5</v>
      </c>
      <c r="C382">
        <v>-44420411.240000002</v>
      </c>
      <c r="D382">
        <v>0</v>
      </c>
      <c r="E382">
        <v>26820929.960000001</v>
      </c>
      <c r="F382">
        <v>-56366691.100000001</v>
      </c>
      <c r="G382">
        <v>5</v>
      </c>
      <c r="H382">
        <v>2</v>
      </c>
      <c r="I382">
        <v>4</v>
      </c>
      <c r="J382">
        <v>3.9</v>
      </c>
      <c r="K382" t="s">
        <v>306</v>
      </c>
    </row>
    <row r="383" spans="1:11" x14ac:dyDescent="0.35">
      <c r="A383" t="s">
        <v>394</v>
      </c>
      <c r="B383">
        <v>5</v>
      </c>
      <c r="C383">
        <v>-16527087.18</v>
      </c>
      <c r="D383">
        <v>0</v>
      </c>
      <c r="E383">
        <v>17331036.23</v>
      </c>
      <c r="F383">
        <v>-39910488.200000003</v>
      </c>
      <c r="G383">
        <v>5</v>
      </c>
      <c r="H383">
        <v>2</v>
      </c>
      <c r="I383">
        <v>4</v>
      </c>
      <c r="J383">
        <v>3.9</v>
      </c>
      <c r="K383" t="s">
        <v>306</v>
      </c>
    </row>
    <row r="384" spans="1:11" x14ac:dyDescent="0.35">
      <c r="A384" t="s">
        <v>395</v>
      </c>
      <c r="B384">
        <v>5</v>
      </c>
      <c r="C384">
        <v>-37655424</v>
      </c>
      <c r="D384">
        <v>0</v>
      </c>
      <c r="E384">
        <v>18733236.879999999</v>
      </c>
      <c r="F384">
        <v>-37965356.200000003</v>
      </c>
      <c r="G384">
        <v>5</v>
      </c>
      <c r="H384">
        <v>2</v>
      </c>
      <c r="I384">
        <v>4</v>
      </c>
      <c r="J384">
        <v>3.9</v>
      </c>
      <c r="K384" t="s">
        <v>306</v>
      </c>
    </row>
    <row r="385" spans="1:11" x14ac:dyDescent="0.35">
      <c r="A385" t="s">
        <v>396</v>
      </c>
      <c r="B385">
        <v>5</v>
      </c>
      <c r="C385">
        <v>-53598528.259999998</v>
      </c>
      <c r="D385">
        <v>0</v>
      </c>
      <c r="E385">
        <v>42736296.990000002</v>
      </c>
      <c r="F385">
        <v>-40428109.799999997</v>
      </c>
      <c r="G385">
        <v>5</v>
      </c>
      <c r="H385">
        <v>2</v>
      </c>
      <c r="I385">
        <v>4</v>
      </c>
      <c r="J385">
        <v>3.9</v>
      </c>
      <c r="K385" t="s">
        <v>306</v>
      </c>
    </row>
    <row r="386" spans="1:11" x14ac:dyDescent="0.35">
      <c r="A386" t="s">
        <v>397</v>
      </c>
      <c r="B386">
        <v>5</v>
      </c>
      <c r="C386">
        <v>-20497502.98</v>
      </c>
      <c r="D386">
        <v>0</v>
      </c>
      <c r="E386">
        <v>17967146.530000001</v>
      </c>
      <c r="F386">
        <v>-40434301.700000003</v>
      </c>
      <c r="G386">
        <v>5</v>
      </c>
      <c r="H386">
        <v>2</v>
      </c>
      <c r="I386">
        <v>4</v>
      </c>
      <c r="J386">
        <v>3.9</v>
      </c>
      <c r="K386" t="s">
        <v>306</v>
      </c>
    </row>
    <row r="387" spans="1:11" x14ac:dyDescent="0.35">
      <c r="A387" t="s">
        <v>398</v>
      </c>
      <c r="B387">
        <v>5</v>
      </c>
      <c r="C387">
        <v>-70355064.700000003</v>
      </c>
      <c r="D387">
        <v>0</v>
      </c>
      <c r="E387">
        <v>26875440.960000001</v>
      </c>
      <c r="F387">
        <v>-42173791.299999997</v>
      </c>
      <c r="G387">
        <v>5</v>
      </c>
      <c r="H387">
        <v>2</v>
      </c>
      <c r="I387">
        <v>4</v>
      </c>
      <c r="J387">
        <v>3.9</v>
      </c>
      <c r="K387" t="s">
        <v>306</v>
      </c>
    </row>
    <row r="388" spans="1:11" x14ac:dyDescent="0.35">
      <c r="A388" t="s">
        <v>399</v>
      </c>
      <c r="B388">
        <v>5</v>
      </c>
      <c r="C388">
        <v>-105940381</v>
      </c>
      <c r="D388">
        <v>0</v>
      </c>
      <c r="E388">
        <v>24969499.43</v>
      </c>
      <c r="F388">
        <v>-43778470.5</v>
      </c>
      <c r="G388">
        <v>5</v>
      </c>
      <c r="H388">
        <v>2</v>
      </c>
      <c r="I388">
        <v>4</v>
      </c>
      <c r="J388">
        <v>3.9</v>
      </c>
      <c r="K388" t="s">
        <v>306</v>
      </c>
    </row>
    <row r="389" spans="1:11" x14ac:dyDescent="0.35">
      <c r="A389" t="s">
        <v>400</v>
      </c>
      <c r="B389">
        <v>5</v>
      </c>
      <c r="C389">
        <v>-81130881.219999999</v>
      </c>
      <c r="D389">
        <v>0</v>
      </c>
      <c r="E389">
        <v>33004636.510000002</v>
      </c>
      <c r="F389">
        <v>-46247909</v>
      </c>
      <c r="G389">
        <v>5</v>
      </c>
      <c r="H389">
        <v>2</v>
      </c>
      <c r="I389">
        <v>4</v>
      </c>
      <c r="J389">
        <v>3.9</v>
      </c>
      <c r="K389" t="s">
        <v>306</v>
      </c>
    </row>
    <row r="390" spans="1:11" x14ac:dyDescent="0.35">
      <c r="A390" t="s">
        <v>401</v>
      </c>
      <c r="B390">
        <v>5</v>
      </c>
      <c r="C390">
        <v>-45001288.200000003</v>
      </c>
      <c r="D390">
        <v>0</v>
      </c>
      <c r="E390">
        <v>16536533.49</v>
      </c>
      <c r="F390">
        <v>-45144768.899999999</v>
      </c>
      <c r="G390">
        <v>5</v>
      </c>
      <c r="H390">
        <v>2</v>
      </c>
      <c r="I390">
        <v>4</v>
      </c>
      <c r="J390">
        <v>3.9</v>
      </c>
      <c r="K390" t="s">
        <v>306</v>
      </c>
    </row>
    <row r="391" spans="1:11" x14ac:dyDescent="0.35">
      <c r="A391" t="s">
        <v>402</v>
      </c>
      <c r="B391">
        <v>5</v>
      </c>
      <c r="C391">
        <v>-22814873.579999998</v>
      </c>
      <c r="D391">
        <v>0</v>
      </c>
      <c r="E391">
        <v>17805733.780000001</v>
      </c>
      <c r="F391">
        <v>-45242435.799999997</v>
      </c>
      <c r="G391">
        <v>5</v>
      </c>
      <c r="H391">
        <v>2</v>
      </c>
      <c r="I391">
        <v>4</v>
      </c>
      <c r="J391">
        <v>3.9</v>
      </c>
      <c r="K391" t="s">
        <v>306</v>
      </c>
    </row>
    <row r="392" spans="1:11" x14ac:dyDescent="0.35">
      <c r="A392" t="s">
        <v>403</v>
      </c>
      <c r="B392">
        <v>5</v>
      </c>
      <c r="C392">
        <v>-43104912.579999998</v>
      </c>
      <c r="D392">
        <v>0</v>
      </c>
      <c r="E392">
        <v>19245108.239999998</v>
      </c>
      <c r="F392">
        <v>-49267214.200000003</v>
      </c>
      <c r="G392">
        <v>5</v>
      </c>
      <c r="H392">
        <v>2</v>
      </c>
      <c r="I392">
        <v>4</v>
      </c>
      <c r="J392">
        <v>3.9</v>
      </c>
      <c r="K392" t="s">
        <v>306</v>
      </c>
    </row>
    <row r="393" spans="1:11" x14ac:dyDescent="0.35">
      <c r="A393" t="s">
        <v>404</v>
      </c>
      <c r="B393">
        <v>5</v>
      </c>
      <c r="C393">
        <v>-86384641.420000002</v>
      </c>
      <c r="D393">
        <v>0</v>
      </c>
      <c r="E393">
        <v>25533093.940000001</v>
      </c>
      <c r="F393">
        <v>-48870863.799999997</v>
      </c>
      <c r="G393">
        <v>5</v>
      </c>
      <c r="H393">
        <v>2</v>
      </c>
      <c r="I393">
        <v>4</v>
      </c>
      <c r="J393">
        <v>3.9</v>
      </c>
      <c r="K393" t="s">
        <v>306</v>
      </c>
    </row>
    <row r="394" spans="1:11" x14ac:dyDescent="0.35">
      <c r="A394" t="s">
        <v>405</v>
      </c>
      <c r="B394">
        <v>5</v>
      </c>
      <c r="C394">
        <v>-53208318.299999997</v>
      </c>
      <c r="D394">
        <v>0</v>
      </c>
      <c r="E394">
        <v>21838007.579999998</v>
      </c>
      <c r="F394">
        <v>-46559830.5</v>
      </c>
      <c r="G394">
        <v>5</v>
      </c>
      <c r="H394">
        <v>2</v>
      </c>
      <c r="I394">
        <v>4</v>
      </c>
      <c r="J394">
        <v>3.9</v>
      </c>
      <c r="K394" t="s">
        <v>306</v>
      </c>
    </row>
    <row r="395" spans="1:11" x14ac:dyDescent="0.35">
      <c r="A395" t="s">
        <v>406</v>
      </c>
      <c r="B395">
        <v>5</v>
      </c>
      <c r="C395">
        <v>-27842922.940000001</v>
      </c>
      <c r="D395">
        <v>0</v>
      </c>
      <c r="E395">
        <v>22394272.289999999</v>
      </c>
      <c r="F395">
        <v>-46635929</v>
      </c>
      <c r="G395">
        <v>5</v>
      </c>
      <c r="H395">
        <v>2</v>
      </c>
      <c r="I395">
        <v>4</v>
      </c>
      <c r="J395">
        <v>3.9</v>
      </c>
      <c r="K395" t="s">
        <v>306</v>
      </c>
    </row>
    <row r="396" spans="1:11" x14ac:dyDescent="0.35">
      <c r="A396" t="s">
        <v>407</v>
      </c>
      <c r="B396">
        <v>5</v>
      </c>
      <c r="C396">
        <v>-40162322.799999997</v>
      </c>
      <c r="D396">
        <v>0</v>
      </c>
      <c r="E396">
        <v>20833870.059999999</v>
      </c>
      <c r="F396">
        <v>-47731615.600000001</v>
      </c>
      <c r="G396">
        <v>5</v>
      </c>
      <c r="H396">
        <v>2</v>
      </c>
      <c r="I396">
        <v>4</v>
      </c>
      <c r="J396">
        <v>3.9</v>
      </c>
      <c r="K396" t="s">
        <v>306</v>
      </c>
    </row>
    <row r="397" spans="1:11" x14ac:dyDescent="0.35">
      <c r="A397" t="s">
        <v>408</v>
      </c>
      <c r="B397">
        <v>5</v>
      </c>
      <c r="C397">
        <v>-47438732.840000004</v>
      </c>
      <c r="D397">
        <v>0</v>
      </c>
      <c r="E397">
        <v>21136743.899999999</v>
      </c>
      <c r="F397">
        <v>-47860779.200000003</v>
      </c>
      <c r="G397">
        <v>5</v>
      </c>
      <c r="H397">
        <v>2</v>
      </c>
      <c r="I397">
        <v>4</v>
      </c>
      <c r="J397">
        <v>3.9</v>
      </c>
      <c r="K397" t="s">
        <v>306</v>
      </c>
    </row>
    <row r="398" spans="1:11" x14ac:dyDescent="0.35">
      <c r="A398" t="s">
        <v>409</v>
      </c>
      <c r="B398">
        <v>5</v>
      </c>
      <c r="C398">
        <v>-50538276.460000001</v>
      </c>
      <c r="D398">
        <v>0</v>
      </c>
      <c r="E398">
        <v>27278439.350000001</v>
      </c>
      <c r="F398">
        <v>-48058856.799999997</v>
      </c>
      <c r="G398">
        <v>5</v>
      </c>
      <c r="H398">
        <v>2</v>
      </c>
      <c r="I398">
        <v>4</v>
      </c>
      <c r="J398">
        <v>3.9</v>
      </c>
      <c r="K398" t="s">
        <v>306</v>
      </c>
    </row>
    <row r="399" spans="1:11" x14ac:dyDescent="0.35">
      <c r="A399" t="s">
        <v>410</v>
      </c>
      <c r="B399">
        <v>5</v>
      </c>
      <c r="C399">
        <v>-77242548.739999995</v>
      </c>
      <c r="D399">
        <v>0</v>
      </c>
      <c r="E399">
        <v>26779240.280000001</v>
      </c>
      <c r="F399">
        <v>-49579851.100000001</v>
      </c>
      <c r="G399">
        <v>5</v>
      </c>
      <c r="H399">
        <v>2</v>
      </c>
      <c r="I399">
        <v>4</v>
      </c>
      <c r="J399">
        <v>3.9</v>
      </c>
      <c r="K399" t="s">
        <v>306</v>
      </c>
    </row>
    <row r="400" spans="1:11" x14ac:dyDescent="0.35">
      <c r="A400" t="s">
        <v>411</v>
      </c>
      <c r="B400">
        <v>5</v>
      </c>
      <c r="C400">
        <v>-34021407.200000003</v>
      </c>
      <c r="D400">
        <v>0</v>
      </c>
      <c r="E400">
        <v>21534499.579999998</v>
      </c>
      <c r="F400">
        <v>-51702540.600000001</v>
      </c>
      <c r="G400">
        <v>5</v>
      </c>
      <c r="H400">
        <v>2</v>
      </c>
      <c r="I400">
        <v>4</v>
      </c>
      <c r="J400">
        <v>3.9</v>
      </c>
      <c r="K400" t="s">
        <v>306</v>
      </c>
    </row>
    <row r="401" spans="1:11" x14ac:dyDescent="0.35">
      <c r="A401" t="s">
        <v>412</v>
      </c>
      <c r="B401">
        <v>5</v>
      </c>
      <c r="C401">
        <v>-79511929.019999996</v>
      </c>
      <c r="D401">
        <v>0.2</v>
      </c>
      <c r="E401">
        <v>69317606.120000005</v>
      </c>
      <c r="F401">
        <v>-121016088.2</v>
      </c>
      <c r="G401">
        <v>4</v>
      </c>
      <c r="H401">
        <v>3</v>
      </c>
      <c r="I401">
        <v>5</v>
      </c>
      <c r="J401">
        <v>3.9</v>
      </c>
      <c r="K401" t="s">
        <v>306</v>
      </c>
    </row>
    <row r="402" spans="1:11" x14ac:dyDescent="0.35">
      <c r="A402" t="s">
        <v>413</v>
      </c>
      <c r="B402">
        <v>5</v>
      </c>
      <c r="C402">
        <v>-68219207.299999997</v>
      </c>
      <c r="D402">
        <v>0.2</v>
      </c>
      <c r="E402">
        <v>81684149.180000007</v>
      </c>
      <c r="F402">
        <v>-116916898.5</v>
      </c>
      <c r="G402">
        <v>4</v>
      </c>
      <c r="H402">
        <v>3</v>
      </c>
      <c r="I402">
        <v>5</v>
      </c>
      <c r="J402">
        <v>3.9</v>
      </c>
      <c r="K402" t="s">
        <v>306</v>
      </c>
    </row>
    <row r="403" spans="1:11" x14ac:dyDescent="0.35">
      <c r="A403" t="s">
        <v>414</v>
      </c>
      <c r="B403">
        <v>5</v>
      </c>
      <c r="C403">
        <v>-29762183.260000002</v>
      </c>
      <c r="D403">
        <v>0.2</v>
      </c>
      <c r="E403">
        <v>99127438.390000001</v>
      </c>
      <c r="F403">
        <v>-118631001.5</v>
      </c>
      <c r="G403">
        <v>4</v>
      </c>
      <c r="H403">
        <v>3</v>
      </c>
      <c r="I403">
        <v>5</v>
      </c>
      <c r="J403">
        <v>3.9</v>
      </c>
      <c r="K403" t="s">
        <v>306</v>
      </c>
    </row>
    <row r="404" spans="1:11" x14ac:dyDescent="0.35">
      <c r="A404" t="s">
        <v>415</v>
      </c>
      <c r="B404">
        <v>5</v>
      </c>
      <c r="C404">
        <v>-35044999</v>
      </c>
      <c r="D404">
        <v>0.2</v>
      </c>
      <c r="E404">
        <v>53589421.159999996</v>
      </c>
      <c r="F404">
        <v>-119591013.5</v>
      </c>
      <c r="G404">
        <v>4</v>
      </c>
      <c r="H404">
        <v>3</v>
      </c>
      <c r="I404">
        <v>5</v>
      </c>
      <c r="J404">
        <v>3.9</v>
      </c>
      <c r="K404" t="s">
        <v>306</v>
      </c>
    </row>
    <row r="405" spans="1:11" x14ac:dyDescent="0.35">
      <c r="A405" t="s">
        <v>416</v>
      </c>
      <c r="B405">
        <v>5</v>
      </c>
      <c r="C405">
        <v>-85015148.599999994</v>
      </c>
      <c r="D405">
        <v>0</v>
      </c>
      <c r="E405">
        <v>49002510.850000001</v>
      </c>
      <c r="F405">
        <v>-99375626.099999994</v>
      </c>
      <c r="G405">
        <v>4</v>
      </c>
      <c r="H405">
        <v>3</v>
      </c>
      <c r="I405">
        <v>5</v>
      </c>
      <c r="J405">
        <v>3.9</v>
      </c>
      <c r="K405" t="s">
        <v>306</v>
      </c>
    </row>
    <row r="406" spans="1:11" x14ac:dyDescent="0.35">
      <c r="A406" t="s">
        <v>417</v>
      </c>
      <c r="B406">
        <v>5</v>
      </c>
      <c r="C406">
        <v>-54457471.100000001</v>
      </c>
      <c r="D406">
        <v>0.2</v>
      </c>
      <c r="E406">
        <v>55013624.32</v>
      </c>
      <c r="F406">
        <v>-97940376.299999997</v>
      </c>
      <c r="G406">
        <v>4</v>
      </c>
      <c r="H406">
        <v>3</v>
      </c>
      <c r="I406">
        <v>5</v>
      </c>
      <c r="J406">
        <v>3.9</v>
      </c>
      <c r="K406" t="s">
        <v>306</v>
      </c>
    </row>
    <row r="407" spans="1:11" x14ac:dyDescent="0.35">
      <c r="A407" t="s">
        <v>418</v>
      </c>
      <c r="B407">
        <v>5</v>
      </c>
      <c r="C407">
        <v>-19096732.899999999</v>
      </c>
      <c r="D407">
        <v>0.4</v>
      </c>
      <c r="E407">
        <v>76397794.930000007</v>
      </c>
      <c r="F407">
        <v>-97254883.200000003</v>
      </c>
      <c r="G407">
        <v>4</v>
      </c>
      <c r="H407">
        <v>3</v>
      </c>
      <c r="I407">
        <v>5</v>
      </c>
      <c r="J407">
        <v>3.9</v>
      </c>
      <c r="K407" t="s">
        <v>306</v>
      </c>
    </row>
    <row r="408" spans="1:11" x14ac:dyDescent="0.35">
      <c r="A408" t="s">
        <v>419</v>
      </c>
      <c r="B408">
        <v>5</v>
      </c>
      <c r="C408">
        <v>-92769967.159999996</v>
      </c>
      <c r="D408">
        <v>0.2</v>
      </c>
      <c r="E408">
        <v>90471379.459999993</v>
      </c>
      <c r="F408">
        <v>-100761416.90000001</v>
      </c>
      <c r="G408">
        <v>4</v>
      </c>
      <c r="H408">
        <v>3</v>
      </c>
      <c r="I408">
        <v>5</v>
      </c>
      <c r="J408">
        <v>3.9</v>
      </c>
      <c r="K408" t="s">
        <v>306</v>
      </c>
    </row>
    <row r="409" spans="1:11" x14ac:dyDescent="0.35">
      <c r="A409" t="s">
        <v>420</v>
      </c>
      <c r="B409">
        <v>5</v>
      </c>
      <c r="C409">
        <v>-66418970.700000003</v>
      </c>
      <c r="D409">
        <v>0.2</v>
      </c>
      <c r="E409">
        <v>69481935.420000002</v>
      </c>
      <c r="F409">
        <v>-107392241</v>
      </c>
      <c r="G409">
        <v>4</v>
      </c>
      <c r="H409">
        <v>3</v>
      </c>
      <c r="I409">
        <v>5</v>
      </c>
      <c r="J409">
        <v>3.9</v>
      </c>
      <c r="K409" t="s">
        <v>306</v>
      </c>
    </row>
    <row r="410" spans="1:11" x14ac:dyDescent="0.35">
      <c r="A410" t="s">
        <v>421</v>
      </c>
      <c r="B410">
        <v>5</v>
      </c>
      <c r="C410">
        <v>-70825256.900000006</v>
      </c>
      <c r="D410">
        <v>0</v>
      </c>
      <c r="E410">
        <v>30855994.289999999</v>
      </c>
      <c r="F410">
        <v>-75466166.799999997</v>
      </c>
      <c r="G410">
        <v>5</v>
      </c>
      <c r="H410">
        <v>2</v>
      </c>
      <c r="I410">
        <v>4</v>
      </c>
      <c r="J410">
        <v>3.9</v>
      </c>
      <c r="K410" t="s">
        <v>306</v>
      </c>
    </row>
    <row r="411" spans="1:11" x14ac:dyDescent="0.35">
      <c r="A411" t="s">
        <v>422</v>
      </c>
      <c r="B411">
        <v>5</v>
      </c>
      <c r="C411">
        <v>-73686385.439999998</v>
      </c>
      <c r="D411">
        <v>0</v>
      </c>
      <c r="E411">
        <v>28303730.579999998</v>
      </c>
      <c r="F411">
        <v>-71475856.799999997</v>
      </c>
      <c r="G411">
        <v>5</v>
      </c>
      <c r="H411">
        <v>2</v>
      </c>
      <c r="I411">
        <v>4</v>
      </c>
      <c r="J411">
        <v>3.9</v>
      </c>
      <c r="K411" t="s">
        <v>306</v>
      </c>
    </row>
    <row r="412" spans="1:11" x14ac:dyDescent="0.35">
      <c r="A412" t="s">
        <v>423</v>
      </c>
      <c r="B412">
        <v>5</v>
      </c>
      <c r="C412">
        <v>-87167448.480000004</v>
      </c>
      <c r="D412">
        <v>0</v>
      </c>
      <c r="E412">
        <v>37468752.780000001</v>
      </c>
      <c r="F412">
        <v>-72558867.400000006</v>
      </c>
      <c r="G412">
        <v>5</v>
      </c>
      <c r="H412">
        <v>2</v>
      </c>
      <c r="I412">
        <v>4</v>
      </c>
      <c r="J412">
        <v>3.9</v>
      </c>
      <c r="K412" t="s">
        <v>306</v>
      </c>
    </row>
    <row r="413" spans="1:11" x14ac:dyDescent="0.35">
      <c r="A413" t="s">
        <v>424</v>
      </c>
      <c r="B413">
        <v>5</v>
      </c>
      <c r="C413">
        <v>-55816414.979999997</v>
      </c>
      <c r="D413">
        <v>0</v>
      </c>
      <c r="E413">
        <v>35883606.030000001</v>
      </c>
      <c r="F413">
        <v>-74319824.400000006</v>
      </c>
      <c r="G413">
        <v>5</v>
      </c>
      <c r="H413">
        <v>2</v>
      </c>
      <c r="I413">
        <v>4</v>
      </c>
      <c r="J413">
        <v>3.9</v>
      </c>
      <c r="K413" t="s">
        <v>306</v>
      </c>
    </row>
    <row r="414" spans="1:11" x14ac:dyDescent="0.35">
      <c r="A414" t="s">
        <v>425</v>
      </c>
      <c r="B414">
        <v>5</v>
      </c>
      <c r="C414">
        <v>-29989934.559999999</v>
      </c>
      <c r="D414">
        <v>0.2</v>
      </c>
      <c r="E414">
        <v>60133872.060000002</v>
      </c>
      <c r="F414">
        <v>-80312588.299999997</v>
      </c>
      <c r="G414">
        <v>4</v>
      </c>
      <c r="H414">
        <v>3</v>
      </c>
      <c r="I414">
        <v>5</v>
      </c>
      <c r="J414">
        <v>3.9</v>
      </c>
      <c r="K414" t="s">
        <v>306</v>
      </c>
    </row>
    <row r="415" spans="1:11" x14ac:dyDescent="0.35">
      <c r="A415" t="s">
        <v>426</v>
      </c>
      <c r="B415">
        <v>5</v>
      </c>
      <c r="C415">
        <v>-44574580.719999999</v>
      </c>
      <c r="D415">
        <v>0.4</v>
      </c>
      <c r="E415">
        <v>65579578.649999999</v>
      </c>
      <c r="F415">
        <v>-95133764.200000003</v>
      </c>
      <c r="G415">
        <v>4</v>
      </c>
      <c r="H415">
        <v>3</v>
      </c>
      <c r="I415">
        <v>5</v>
      </c>
      <c r="J415">
        <v>3.9</v>
      </c>
      <c r="K415" t="s">
        <v>306</v>
      </c>
    </row>
    <row r="416" spans="1:11" x14ac:dyDescent="0.35">
      <c r="A416" t="s">
        <v>427</v>
      </c>
      <c r="B416">
        <v>5</v>
      </c>
      <c r="C416">
        <v>-40573111.240000002</v>
      </c>
      <c r="D416">
        <v>0.2</v>
      </c>
      <c r="E416">
        <v>45568172.43</v>
      </c>
      <c r="F416">
        <v>-83019602.599999994</v>
      </c>
      <c r="G416">
        <v>4</v>
      </c>
      <c r="H416">
        <v>3</v>
      </c>
      <c r="I416">
        <v>5</v>
      </c>
      <c r="J416">
        <v>3.9</v>
      </c>
      <c r="K416" t="s">
        <v>306</v>
      </c>
    </row>
    <row r="417" spans="1:11" x14ac:dyDescent="0.35">
      <c r="A417" t="s">
        <v>428</v>
      </c>
      <c r="B417">
        <v>5</v>
      </c>
      <c r="C417">
        <v>126501180.09999999</v>
      </c>
      <c r="D417">
        <v>0.6</v>
      </c>
      <c r="E417">
        <v>381119235</v>
      </c>
      <c r="F417">
        <v>-76286027.599999994</v>
      </c>
      <c r="G417">
        <v>3</v>
      </c>
      <c r="H417">
        <v>5</v>
      </c>
      <c r="I417">
        <v>4</v>
      </c>
      <c r="J417">
        <v>3.8</v>
      </c>
      <c r="K417" t="s">
        <v>306</v>
      </c>
    </row>
    <row r="418" spans="1:11" x14ac:dyDescent="0.35">
      <c r="A418" t="s">
        <v>429</v>
      </c>
      <c r="B418">
        <v>5</v>
      </c>
      <c r="C418">
        <v>-5167571.22</v>
      </c>
      <c r="D418">
        <v>0.6</v>
      </c>
      <c r="E418">
        <v>350802714.60000002</v>
      </c>
      <c r="F418">
        <v>-46772037.200000003</v>
      </c>
      <c r="G418">
        <v>3</v>
      </c>
      <c r="H418">
        <v>5</v>
      </c>
      <c r="I418">
        <v>4</v>
      </c>
      <c r="J418">
        <v>3.8</v>
      </c>
      <c r="K418" t="s">
        <v>306</v>
      </c>
    </row>
    <row r="419" spans="1:11" x14ac:dyDescent="0.35">
      <c r="A419" t="s">
        <v>430</v>
      </c>
      <c r="B419">
        <v>5</v>
      </c>
      <c r="C419">
        <v>-109337182.2</v>
      </c>
      <c r="D419">
        <v>0.6</v>
      </c>
      <c r="E419">
        <v>366614526.60000002</v>
      </c>
      <c r="F419">
        <v>-43416210.100000001</v>
      </c>
      <c r="G419">
        <v>3</v>
      </c>
      <c r="H419">
        <v>5</v>
      </c>
      <c r="I419">
        <v>4</v>
      </c>
      <c r="J419">
        <v>3.8</v>
      </c>
      <c r="K419" t="s">
        <v>306</v>
      </c>
    </row>
    <row r="420" spans="1:11" x14ac:dyDescent="0.35">
      <c r="A420" t="s">
        <v>431</v>
      </c>
      <c r="B420">
        <v>5</v>
      </c>
      <c r="C420">
        <v>343568024.39999998</v>
      </c>
      <c r="D420">
        <v>0.8</v>
      </c>
      <c r="E420">
        <v>503548410.39999998</v>
      </c>
      <c r="F420">
        <v>-42455088.600000001</v>
      </c>
      <c r="G420">
        <v>3</v>
      </c>
      <c r="H420">
        <v>5</v>
      </c>
      <c r="I420">
        <v>4</v>
      </c>
      <c r="J420">
        <v>3.8</v>
      </c>
      <c r="K420" t="s">
        <v>306</v>
      </c>
    </row>
    <row r="421" spans="1:11" x14ac:dyDescent="0.35">
      <c r="A421" t="s">
        <v>432</v>
      </c>
      <c r="B421">
        <v>5</v>
      </c>
      <c r="C421">
        <v>-72387904.879999995</v>
      </c>
      <c r="D421">
        <v>0.6</v>
      </c>
      <c r="E421">
        <v>381513649.19999999</v>
      </c>
      <c r="F421">
        <v>-52482522</v>
      </c>
      <c r="G421">
        <v>3</v>
      </c>
      <c r="H421">
        <v>5</v>
      </c>
      <c r="I421">
        <v>4</v>
      </c>
      <c r="J421">
        <v>3.8</v>
      </c>
      <c r="K421" t="s">
        <v>306</v>
      </c>
    </row>
    <row r="422" spans="1:11" x14ac:dyDescent="0.35">
      <c r="A422" t="s">
        <v>433</v>
      </c>
      <c r="B422">
        <v>5</v>
      </c>
      <c r="C422">
        <v>-154096496.59999999</v>
      </c>
      <c r="D422">
        <v>0.4</v>
      </c>
      <c r="E422">
        <v>418385362.39999998</v>
      </c>
      <c r="F422">
        <v>-28246252</v>
      </c>
      <c r="G422">
        <v>3</v>
      </c>
      <c r="H422">
        <v>5</v>
      </c>
      <c r="I422">
        <v>4</v>
      </c>
      <c r="J422">
        <v>3.8</v>
      </c>
      <c r="K422" t="s">
        <v>306</v>
      </c>
    </row>
    <row r="423" spans="1:11" x14ac:dyDescent="0.35">
      <c r="A423" t="s">
        <v>434</v>
      </c>
      <c r="B423">
        <v>5</v>
      </c>
      <c r="C423">
        <v>-123064849.7</v>
      </c>
      <c r="D423">
        <v>0</v>
      </c>
      <c r="E423">
        <v>69688451.840000004</v>
      </c>
      <c r="F423">
        <v>147985701.09999999</v>
      </c>
      <c r="G423">
        <v>5</v>
      </c>
      <c r="H423">
        <v>3</v>
      </c>
      <c r="I423">
        <v>2</v>
      </c>
      <c r="J423">
        <v>3.8</v>
      </c>
      <c r="K423" t="s">
        <v>306</v>
      </c>
    </row>
    <row r="424" spans="1:11" x14ac:dyDescent="0.35">
      <c r="A424" t="s">
        <v>435</v>
      </c>
      <c r="B424">
        <v>5</v>
      </c>
      <c r="C424">
        <v>-410127169.80000001</v>
      </c>
      <c r="D424">
        <v>0</v>
      </c>
      <c r="E424">
        <v>92297371.680000007</v>
      </c>
      <c r="F424">
        <v>139608213.40000001</v>
      </c>
      <c r="G424">
        <v>5</v>
      </c>
      <c r="H424">
        <v>3</v>
      </c>
      <c r="I424">
        <v>2</v>
      </c>
      <c r="J424">
        <v>3.8</v>
      </c>
      <c r="K424" t="s">
        <v>306</v>
      </c>
    </row>
    <row r="425" spans="1:11" x14ac:dyDescent="0.35">
      <c r="A425" t="s">
        <v>436</v>
      </c>
      <c r="B425">
        <v>5</v>
      </c>
      <c r="C425">
        <v>-89054576.400000006</v>
      </c>
      <c r="D425">
        <v>0</v>
      </c>
      <c r="E425">
        <v>47720773.18</v>
      </c>
      <c r="F425">
        <v>33721461.799999997</v>
      </c>
      <c r="G425">
        <v>5</v>
      </c>
      <c r="H425">
        <v>3</v>
      </c>
      <c r="I425">
        <v>2</v>
      </c>
      <c r="J425">
        <v>3.8</v>
      </c>
      <c r="K425" t="s">
        <v>306</v>
      </c>
    </row>
    <row r="426" spans="1:11" x14ac:dyDescent="0.35">
      <c r="A426" t="s">
        <v>437</v>
      </c>
      <c r="B426">
        <v>5</v>
      </c>
      <c r="C426">
        <v>-157306308.19999999</v>
      </c>
      <c r="D426">
        <v>0</v>
      </c>
      <c r="E426">
        <v>91136618.870000005</v>
      </c>
      <c r="F426">
        <v>29824768.300000001</v>
      </c>
      <c r="G426">
        <v>5</v>
      </c>
      <c r="H426">
        <v>3</v>
      </c>
      <c r="I426">
        <v>2</v>
      </c>
      <c r="J426">
        <v>3.8</v>
      </c>
      <c r="K426" t="s">
        <v>306</v>
      </c>
    </row>
    <row r="427" spans="1:11" x14ac:dyDescent="0.35">
      <c r="A427" t="s">
        <v>438</v>
      </c>
      <c r="B427">
        <v>5</v>
      </c>
      <c r="C427">
        <v>-150814889.09999999</v>
      </c>
      <c r="D427">
        <v>0</v>
      </c>
      <c r="E427">
        <v>77033622.739999995</v>
      </c>
      <c r="F427">
        <v>29262338.600000001</v>
      </c>
      <c r="G427">
        <v>5</v>
      </c>
      <c r="H427">
        <v>3</v>
      </c>
      <c r="I427">
        <v>2</v>
      </c>
      <c r="J427">
        <v>3.8</v>
      </c>
      <c r="K427" t="s">
        <v>306</v>
      </c>
    </row>
    <row r="428" spans="1:11" x14ac:dyDescent="0.35">
      <c r="A428" t="s">
        <v>439</v>
      </c>
      <c r="B428">
        <v>5</v>
      </c>
      <c r="C428">
        <v>-57300547.479999997</v>
      </c>
      <c r="D428">
        <v>0.2</v>
      </c>
      <c r="E428">
        <v>147255573.69999999</v>
      </c>
      <c r="F428">
        <v>13199396.4</v>
      </c>
      <c r="G428">
        <v>4</v>
      </c>
      <c r="H428">
        <v>4</v>
      </c>
      <c r="I428">
        <v>3</v>
      </c>
      <c r="J428">
        <v>3.8</v>
      </c>
      <c r="K428" t="s">
        <v>306</v>
      </c>
    </row>
    <row r="429" spans="1:11" x14ac:dyDescent="0.35">
      <c r="A429" t="s">
        <v>440</v>
      </c>
      <c r="B429">
        <v>5</v>
      </c>
      <c r="C429">
        <v>-188839119.69999999</v>
      </c>
      <c r="D429">
        <v>0</v>
      </c>
      <c r="E429">
        <v>48247703.939999998</v>
      </c>
      <c r="F429">
        <v>94755675.799999997</v>
      </c>
      <c r="G429">
        <v>5</v>
      </c>
      <c r="H429">
        <v>3</v>
      </c>
      <c r="I429">
        <v>2</v>
      </c>
      <c r="J429">
        <v>3.8</v>
      </c>
      <c r="K429" t="s">
        <v>306</v>
      </c>
    </row>
    <row r="430" spans="1:11" x14ac:dyDescent="0.35">
      <c r="A430" t="s">
        <v>441</v>
      </c>
      <c r="B430">
        <v>5</v>
      </c>
      <c r="C430">
        <v>-101403908.8</v>
      </c>
      <c r="D430">
        <v>0</v>
      </c>
      <c r="E430">
        <v>76558583.519999996</v>
      </c>
      <c r="F430">
        <v>44569469.299999997</v>
      </c>
      <c r="G430">
        <v>5</v>
      </c>
      <c r="H430">
        <v>3</v>
      </c>
      <c r="I430">
        <v>2</v>
      </c>
      <c r="J430">
        <v>3.8</v>
      </c>
      <c r="K430" t="s">
        <v>306</v>
      </c>
    </row>
    <row r="431" spans="1:11" x14ac:dyDescent="0.35">
      <c r="A431" t="s">
        <v>442</v>
      </c>
      <c r="B431">
        <v>5</v>
      </c>
      <c r="C431">
        <v>-184652621.80000001</v>
      </c>
      <c r="D431">
        <v>0</v>
      </c>
      <c r="E431">
        <v>54250146</v>
      </c>
      <c r="F431">
        <v>68373852.5</v>
      </c>
      <c r="G431">
        <v>5</v>
      </c>
      <c r="H431">
        <v>3</v>
      </c>
      <c r="I431">
        <v>2</v>
      </c>
      <c r="J431">
        <v>3.8</v>
      </c>
      <c r="K431" t="s">
        <v>306</v>
      </c>
    </row>
    <row r="432" spans="1:11" x14ac:dyDescent="0.35">
      <c r="A432" t="s">
        <v>443</v>
      </c>
      <c r="B432">
        <v>5</v>
      </c>
      <c r="C432">
        <v>-34942292.520000003</v>
      </c>
      <c r="D432">
        <v>0</v>
      </c>
      <c r="E432">
        <v>24970380.09</v>
      </c>
      <c r="F432">
        <v>12586640.1</v>
      </c>
      <c r="G432">
        <v>5</v>
      </c>
      <c r="H432">
        <v>2</v>
      </c>
      <c r="I432">
        <v>3</v>
      </c>
      <c r="J432">
        <v>3.7</v>
      </c>
      <c r="K432" t="s">
        <v>306</v>
      </c>
    </row>
    <row r="433" spans="1:11" x14ac:dyDescent="0.35">
      <c r="A433" t="s">
        <v>444</v>
      </c>
      <c r="B433">
        <v>5</v>
      </c>
      <c r="C433">
        <v>-216564651.90000001</v>
      </c>
      <c r="D433">
        <v>0</v>
      </c>
      <c r="E433">
        <v>33167247.859999999</v>
      </c>
      <c r="F433">
        <v>12553981.300000001</v>
      </c>
      <c r="G433">
        <v>5</v>
      </c>
      <c r="H433">
        <v>2</v>
      </c>
      <c r="I433">
        <v>3</v>
      </c>
      <c r="J433">
        <v>3.7</v>
      </c>
      <c r="K433" t="s">
        <v>306</v>
      </c>
    </row>
    <row r="434" spans="1:11" x14ac:dyDescent="0.35">
      <c r="A434" t="s">
        <v>445</v>
      </c>
      <c r="B434">
        <v>5</v>
      </c>
      <c r="C434">
        <v>-50047866.159999996</v>
      </c>
      <c r="D434">
        <v>0</v>
      </c>
      <c r="E434">
        <v>39731835.409999996</v>
      </c>
      <c r="F434">
        <v>14098142.5</v>
      </c>
      <c r="G434">
        <v>5</v>
      </c>
      <c r="H434">
        <v>2</v>
      </c>
      <c r="I434">
        <v>3</v>
      </c>
      <c r="J434">
        <v>3.7</v>
      </c>
      <c r="K434" t="s">
        <v>306</v>
      </c>
    </row>
    <row r="435" spans="1:11" x14ac:dyDescent="0.35">
      <c r="A435" t="s">
        <v>446</v>
      </c>
      <c r="B435">
        <v>5</v>
      </c>
      <c r="C435">
        <v>-284750748.30000001</v>
      </c>
      <c r="D435">
        <v>0</v>
      </c>
      <c r="E435">
        <v>37147339.659999996</v>
      </c>
      <c r="F435">
        <v>18317988.899999999</v>
      </c>
      <c r="G435">
        <v>5</v>
      </c>
      <c r="H435">
        <v>2</v>
      </c>
      <c r="I435">
        <v>3</v>
      </c>
      <c r="J435">
        <v>3.7</v>
      </c>
      <c r="K435" t="s">
        <v>306</v>
      </c>
    </row>
    <row r="436" spans="1:11" x14ac:dyDescent="0.35">
      <c r="A436" t="s">
        <v>447</v>
      </c>
      <c r="B436">
        <v>5</v>
      </c>
      <c r="C436">
        <v>-35612938.939999998</v>
      </c>
      <c r="D436">
        <v>0</v>
      </c>
      <c r="E436">
        <v>24060408.379999999</v>
      </c>
      <c r="F436">
        <v>15904442.199999999</v>
      </c>
      <c r="G436">
        <v>5</v>
      </c>
      <c r="H436">
        <v>2</v>
      </c>
      <c r="I436">
        <v>3</v>
      </c>
      <c r="J436">
        <v>3.7</v>
      </c>
      <c r="K436" t="s">
        <v>306</v>
      </c>
    </row>
    <row r="437" spans="1:11" x14ac:dyDescent="0.35">
      <c r="A437" t="s">
        <v>448</v>
      </c>
      <c r="B437">
        <v>5</v>
      </c>
      <c r="C437">
        <v>-101161891.2</v>
      </c>
      <c r="D437">
        <v>0</v>
      </c>
      <c r="E437">
        <v>33108211.66</v>
      </c>
      <c r="F437">
        <v>12056516.800000001</v>
      </c>
      <c r="G437">
        <v>5</v>
      </c>
      <c r="H437">
        <v>2</v>
      </c>
      <c r="I437">
        <v>3</v>
      </c>
      <c r="J437">
        <v>3.7</v>
      </c>
      <c r="K437" t="s">
        <v>306</v>
      </c>
    </row>
    <row r="438" spans="1:11" x14ac:dyDescent="0.35">
      <c r="A438" t="s">
        <v>449</v>
      </c>
      <c r="B438">
        <v>5</v>
      </c>
      <c r="C438">
        <v>-33690024.68</v>
      </c>
      <c r="D438">
        <v>0</v>
      </c>
      <c r="E438">
        <v>17928636.309999999</v>
      </c>
      <c r="F438">
        <v>10529997.699999999</v>
      </c>
      <c r="G438">
        <v>5</v>
      </c>
      <c r="H438">
        <v>2</v>
      </c>
      <c r="I438">
        <v>3</v>
      </c>
      <c r="J438">
        <v>3.7</v>
      </c>
      <c r="K438" t="s">
        <v>306</v>
      </c>
    </row>
    <row r="439" spans="1:11" x14ac:dyDescent="0.35">
      <c r="A439" t="s">
        <v>450</v>
      </c>
      <c r="B439">
        <v>5</v>
      </c>
      <c r="C439">
        <v>-111424714.90000001</v>
      </c>
      <c r="D439">
        <v>0</v>
      </c>
      <c r="E439">
        <v>39549016.119999997</v>
      </c>
      <c r="F439">
        <v>10228987</v>
      </c>
      <c r="G439">
        <v>5</v>
      </c>
      <c r="H439">
        <v>2</v>
      </c>
      <c r="I439">
        <v>3</v>
      </c>
      <c r="J439">
        <v>3.7</v>
      </c>
      <c r="K439" t="s">
        <v>306</v>
      </c>
    </row>
    <row r="440" spans="1:11" x14ac:dyDescent="0.35">
      <c r="A440" t="s">
        <v>451</v>
      </c>
      <c r="B440">
        <v>5</v>
      </c>
      <c r="C440">
        <v>-51418931.560000002</v>
      </c>
      <c r="D440">
        <v>0</v>
      </c>
      <c r="E440">
        <v>27433950.829999998</v>
      </c>
      <c r="F440">
        <v>9715965.4000000004</v>
      </c>
      <c r="G440">
        <v>5</v>
      </c>
      <c r="H440">
        <v>2</v>
      </c>
      <c r="I440">
        <v>3</v>
      </c>
      <c r="J440">
        <v>3.7</v>
      </c>
      <c r="K440" t="s">
        <v>306</v>
      </c>
    </row>
    <row r="441" spans="1:11" x14ac:dyDescent="0.35">
      <c r="A441" t="s">
        <v>452</v>
      </c>
      <c r="B441">
        <v>5</v>
      </c>
      <c r="C441">
        <v>-98352160.099999994</v>
      </c>
      <c r="D441">
        <v>0</v>
      </c>
      <c r="E441">
        <v>36613812.869999997</v>
      </c>
      <c r="F441">
        <v>26743025.5</v>
      </c>
      <c r="G441">
        <v>5</v>
      </c>
      <c r="H441">
        <v>2</v>
      </c>
      <c r="I441">
        <v>3</v>
      </c>
      <c r="J441">
        <v>3.7</v>
      </c>
      <c r="K441" t="s">
        <v>306</v>
      </c>
    </row>
    <row r="442" spans="1:11" x14ac:dyDescent="0.35">
      <c r="A442" t="s">
        <v>453</v>
      </c>
      <c r="B442">
        <v>5</v>
      </c>
      <c r="C442">
        <v>-33223900.32</v>
      </c>
      <c r="D442">
        <v>0</v>
      </c>
      <c r="E442">
        <v>17227458.629999999</v>
      </c>
      <c r="F442">
        <v>21582363.5</v>
      </c>
      <c r="G442">
        <v>5</v>
      </c>
      <c r="H442">
        <v>2</v>
      </c>
      <c r="I442">
        <v>3</v>
      </c>
      <c r="J442">
        <v>3.7</v>
      </c>
      <c r="K442" t="s">
        <v>306</v>
      </c>
    </row>
    <row r="443" spans="1:11" x14ac:dyDescent="0.35">
      <c r="A443" t="s">
        <v>454</v>
      </c>
      <c r="B443">
        <v>5</v>
      </c>
      <c r="C443">
        <v>-68729892.640000001</v>
      </c>
      <c r="D443">
        <v>0</v>
      </c>
      <c r="E443">
        <v>20682123.329999998</v>
      </c>
      <c r="F443">
        <v>22353319.699999999</v>
      </c>
      <c r="G443">
        <v>5</v>
      </c>
      <c r="H443">
        <v>2</v>
      </c>
      <c r="I443">
        <v>3</v>
      </c>
      <c r="J443">
        <v>3.7</v>
      </c>
      <c r="K443" t="s">
        <v>306</v>
      </c>
    </row>
    <row r="444" spans="1:11" x14ac:dyDescent="0.35">
      <c r="A444" t="s">
        <v>455</v>
      </c>
      <c r="B444">
        <v>5</v>
      </c>
      <c r="C444">
        <v>-140878898.59999999</v>
      </c>
      <c r="D444">
        <v>0</v>
      </c>
      <c r="E444">
        <v>18377717.440000001</v>
      </c>
      <c r="F444">
        <v>19736476.399999999</v>
      </c>
      <c r="G444">
        <v>5</v>
      </c>
      <c r="H444">
        <v>2</v>
      </c>
      <c r="I444">
        <v>3</v>
      </c>
      <c r="J444">
        <v>3.7</v>
      </c>
      <c r="K444" t="s">
        <v>306</v>
      </c>
    </row>
    <row r="445" spans="1:11" x14ac:dyDescent="0.35">
      <c r="A445" t="s">
        <v>456</v>
      </c>
      <c r="B445">
        <v>5</v>
      </c>
      <c r="C445">
        <v>-63078747</v>
      </c>
      <c r="D445">
        <v>0</v>
      </c>
      <c r="E445">
        <v>29231850.75</v>
      </c>
      <c r="F445">
        <v>25219551.600000001</v>
      </c>
      <c r="G445">
        <v>5</v>
      </c>
      <c r="H445">
        <v>2</v>
      </c>
      <c r="I445">
        <v>3</v>
      </c>
      <c r="J445">
        <v>3.7</v>
      </c>
      <c r="K445" t="s">
        <v>306</v>
      </c>
    </row>
    <row r="446" spans="1:11" x14ac:dyDescent="0.35">
      <c r="A446" t="s">
        <v>457</v>
      </c>
      <c r="B446">
        <v>5</v>
      </c>
      <c r="C446">
        <v>-25843477.68</v>
      </c>
      <c r="D446">
        <v>0</v>
      </c>
      <c r="E446">
        <v>16840469.989999998</v>
      </c>
      <c r="F446">
        <v>25101697.399999999</v>
      </c>
      <c r="G446">
        <v>5</v>
      </c>
      <c r="H446">
        <v>2</v>
      </c>
      <c r="I446">
        <v>3</v>
      </c>
      <c r="J446">
        <v>3.7</v>
      </c>
      <c r="K446" t="s">
        <v>306</v>
      </c>
    </row>
    <row r="447" spans="1:11" x14ac:dyDescent="0.35">
      <c r="A447" t="s">
        <v>458</v>
      </c>
      <c r="B447">
        <v>5</v>
      </c>
      <c r="C447">
        <v>-56136930.68</v>
      </c>
      <c r="D447">
        <v>0</v>
      </c>
      <c r="E447">
        <v>45152022.710000001</v>
      </c>
      <c r="F447">
        <v>24502853.399999999</v>
      </c>
      <c r="G447">
        <v>5</v>
      </c>
      <c r="H447">
        <v>2</v>
      </c>
      <c r="I447">
        <v>3</v>
      </c>
      <c r="J447">
        <v>3.7</v>
      </c>
      <c r="K447" t="s">
        <v>306</v>
      </c>
    </row>
    <row r="448" spans="1:11" x14ac:dyDescent="0.35">
      <c r="A448" t="s">
        <v>459</v>
      </c>
      <c r="B448">
        <v>5</v>
      </c>
      <c r="C448">
        <v>-65392219.840000004</v>
      </c>
      <c r="D448">
        <v>0</v>
      </c>
      <c r="E448">
        <v>19406855.489999998</v>
      </c>
      <c r="F448">
        <v>23975130.600000001</v>
      </c>
      <c r="G448">
        <v>5</v>
      </c>
      <c r="H448">
        <v>2</v>
      </c>
      <c r="I448">
        <v>3</v>
      </c>
      <c r="J448">
        <v>3.7</v>
      </c>
      <c r="K448" t="s">
        <v>306</v>
      </c>
    </row>
    <row r="449" spans="1:11" x14ac:dyDescent="0.35">
      <c r="A449" t="s">
        <v>460</v>
      </c>
      <c r="B449">
        <v>5</v>
      </c>
      <c r="C449">
        <v>-334251072.30000001</v>
      </c>
      <c r="D449">
        <v>0.4</v>
      </c>
      <c r="E449">
        <v>1423898973</v>
      </c>
      <c r="F449">
        <v>290112043.69999999</v>
      </c>
      <c r="G449">
        <v>4</v>
      </c>
      <c r="H449">
        <v>5</v>
      </c>
      <c r="I449">
        <v>1</v>
      </c>
      <c r="J449">
        <v>3.7</v>
      </c>
      <c r="K449" t="s">
        <v>306</v>
      </c>
    </row>
    <row r="450" spans="1:11" x14ac:dyDescent="0.35">
      <c r="A450" t="s">
        <v>461</v>
      </c>
      <c r="B450">
        <v>5</v>
      </c>
      <c r="C450">
        <v>-1496458121</v>
      </c>
      <c r="D450">
        <v>0.2</v>
      </c>
      <c r="E450">
        <v>1683537495</v>
      </c>
      <c r="F450">
        <v>440764546.30000001</v>
      </c>
      <c r="G450">
        <v>4</v>
      </c>
      <c r="H450">
        <v>5</v>
      </c>
      <c r="I450">
        <v>1</v>
      </c>
      <c r="J450">
        <v>3.7</v>
      </c>
      <c r="K450" t="s">
        <v>306</v>
      </c>
    </row>
    <row r="451" spans="1:11" x14ac:dyDescent="0.35">
      <c r="A451" t="s">
        <v>462</v>
      </c>
      <c r="B451">
        <v>5</v>
      </c>
      <c r="C451">
        <v>-327611482.39999998</v>
      </c>
      <c r="D451">
        <v>0.2</v>
      </c>
      <c r="E451">
        <v>576467479.20000005</v>
      </c>
      <c r="F451">
        <v>419713261.69999999</v>
      </c>
      <c r="G451">
        <v>4</v>
      </c>
      <c r="H451">
        <v>5</v>
      </c>
      <c r="I451">
        <v>1</v>
      </c>
      <c r="J451">
        <v>3.7</v>
      </c>
      <c r="K451" t="s">
        <v>306</v>
      </c>
    </row>
    <row r="452" spans="1:11" x14ac:dyDescent="0.35">
      <c r="A452" t="s">
        <v>463</v>
      </c>
      <c r="B452">
        <v>5</v>
      </c>
      <c r="C452">
        <v>-315109849.80000001</v>
      </c>
      <c r="D452">
        <v>0.4</v>
      </c>
      <c r="E452">
        <v>754119454.20000005</v>
      </c>
      <c r="F452">
        <v>400368790.5</v>
      </c>
      <c r="G452">
        <v>4</v>
      </c>
      <c r="H452">
        <v>5</v>
      </c>
      <c r="I452">
        <v>1</v>
      </c>
      <c r="J452">
        <v>3.7</v>
      </c>
      <c r="K452" t="s">
        <v>306</v>
      </c>
    </row>
    <row r="453" spans="1:11" x14ac:dyDescent="0.35">
      <c r="A453" t="s">
        <v>464</v>
      </c>
      <c r="B453">
        <v>5</v>
      </c>
      <c r="C453">
        <v>-143017628.5</v>
      </c>
      <c r="D453">
        <v>0.2</v>
      </c>
      <c r="E453">
        <v>353977630</v>
      </c>
      <c r="F453">
        <v>504811323.89999998</v>
      </c>
      <c r="G453">
        <v>4</v>
      </c>
      <c r="H453">
        <v>5</v>
      </c>
      <c r="I453">
        <v>1</v>
      </c>
      <c r="J453">
        <v>3.7</v>
      </c>
      <c r="K453" t="s">
        <v>306</v>
      </c>
    </row>
    <row r="454" spans="1:11" x14ac:dyDescent="0.35">
      <c r="A454" t="s">
        <v>465</v>
      </c>
      <c r="B454">
        <v>5</v>
      </c>
      <c r="C454">
        <v>-85392739.780000001</v>
      </c>
      <c r="D454">
        <v>0.4</v>
      </c>
      <c r="E454">
        <v>363760901.60000002</v>
      </c>
      <c r="F454">
        <v>473721657.30000001</v>
      </c>
      <c r="G454">
        <v>4</v>
      </c>
      <c r="H454">
        <v>5</v>
      </c>
      <c r="I454">
        <v>1</v>
      </c>
      <c r="J454">
        <v>3.7</v>
      </c>
      <c r="K454" t="s">
        <v>306</v>
      </c>
    </row>
    <row r="455" spans="1:11" x14ac:dyDescent="0.35">
      <c r="A455" t="s">
        <v>466</v>
      </c>
      <c r="B455">
        <v>5</v>
      </c>
      <c r="C455">
        <v>-120727894.2</v>
      </c>
      <c r="D455">
        <v>0.4</v>
      </c>
      <c r="E455">
        <v>2062817617</v>
      </c>
      <c r="F455">
        <v>580325197</v>
      </c>
      <c r="G455">
        <v>4</v>
      </c>
      <c r="H455">
        <v>5</v>
      </c>
      <c r="I455">
        <v>1</v>
      </c>
      <c r="J455">
        <v>3.7</v>
      </c>
      <c r="K455" t="s">
        <v>306</v>
      </c>
    </row>
    <row r="456" spans="1:11" x14ac:dyDescent="0.35">
      <c r="A456" t="s">
        <v>467</v>
      </c>
      <c r="B456">
        <v>5</v>
      </c>
      <c r="C456">
        <v>72270171.379999995</v>
      </c>
      <c r="D456">
        <v>0.4</v>
      </c>
      <c r="E456">
        <v>1159088448</v>
      </c>
      <c r="F456">
        <v>557275094.70000005</v>
      </c>
      <c r="G456">
        <v>4</v>
      </c>
      <c r="H456">
        <v>5</v>
      </c>
      <c r="I456">
        <v>1</v>
      </c>
      <c r="J456">
        <v>3.7</v>
      </c>
      <c r="K456" t="s">
        <v>306</v>
      </c>
    </row>
    <row r="457" spans="1:11" x14ac:dyDescent="0.35">
      <c r="A457" t="s">
        <v>468</v>
      </c>
      <c r="B457">
        <v>5</v>
      </c>
      <c r="C457">
        <v>-326165436.39999998</v>
      </c>
      <c r="D457">
        <v>0.2</v>
      </c>
      <c r="E457">
        <v>770100630.20000005</v>
      </c>
      <c r="F457">
        <v>552291778</v>
      </c>
      <c r="G457">
        <v>4</v>
      </c>
      <c r="H457">
        <v>5</v>
      </c>
      <c r="I457">
        <v>1</v>
      </c>
      <c r="J457">
        <v>3.7</v>
      </c>
      <c r="K457" t="s">
        <v>306</v>
      </c>
    </row>
    <row r="458" spans="1:11" x14ac:dyDescent="0.35">
      <c r="A458" t="s">
        <v>469</v>
      </c>
      <c r="B458">
        <v>5</v>
      </c>
      <c r="C458">
        <v>-550222693.10000002</v>
      </c>
      <c r="D458">
        <v>0.4</v>
      </c>
      <c r="E458">
        <v>976812146.79999995</v>
      </c>
      <c r="F458">
        <v>699365579.60000002</v>
      </c>
      <c r="G458">
        <v>4</v>
      </c>
      <c r="H458">
        <v>5</v>
      </c>
      <c r="I458">
        <v>1</v>
      </c>
      <c r="J458">
        <v>3.7</v>
      </c>
      <c r="K458" t="s">
        <v>306</v>
      </c>
    </row>
    <row r="459" spans="1:11" x14ac:dyDescent="0.35">
      <c r="A459" t="s">
        <v>470</v>
      </c>
      <c r="B459">
        <v>5</v>
      </c>
      <c r="C459">
        <v>-488205181.80000001</v>
      </c>
      <c r="D459">
        <v>0.2</v>
      </c>
      <c r="E459">
        <v>510370421.39999998</v>
      </c>
      <c r="F459">
        <v>773033494.79999995</v>
      </c>
      <c r="G459">
        <v>4</v>
      </c>
      <c r="H459">
        <v>5</v>
      </c>
      <c r="I459">
        <v>1</v>
      </c>
      <c r="J459">
        <v>3.7</v>
      </c>
      <c r="K459" t="s">
        <v>306</v>
      </c>
    </row>
    <row r="460" spans="1:11" x14ac:dyDescent="0.35">
      <c r="A460" t="s">
        <v>471</v>
      </c>
      <c r="B460">
        <v>5</v>
      </c>
      <c r="C460">
        <v>20450960.780000001</v>
      </c>
      <c r="D460">
        <v>0.4</v>
      </c>
      <c r="E460">
        <v>675016173.29999995</v>
      </c>
      <c r="F460">
        <v>718424795.5</v>
      </c>
      <c r="G460">
        <v>4</v>
      </c>
      <c r="H460">
        <v>5</v>
      </c>
      <c r="I460">
        <v>1</v>
      </c>
      <c r="J460">
        <v>3.7</v>
      </c>
      <c r="K460" t="s">
        <v>306</v>
      </c>
    </row>
    <row r="461" spans="1:11" x14ac:dyDescent="0.35">
      <c r="A461" t="s">
        <v>472</v>
      </c>
      <c r="B461">
        <v>5</v>
      </c>
      <c r="C461">
        <v>-298322715.39999998</v>
      </c>
      <c r="D461">
        <v>0.4</v>
      </c>
      <c r="E461">
        <v>475946162.80000001</v>
      </c>
      <c r="F461">
        <v>682890788.79999995</v>
      </c>
      <c r="G461">
        <v>4</v>
      </c>
      <c r="H461">
        <v>5</v>
      </c>
      <c r="I461">
        <v>1</v>
      </c>
      <c r="J461">
        <v>3.7</v>
      </c>
      <c r="K461" t="s">
        <v>306</v>
      </c>
    </row>
    <row r="462" spans="1:11" x14ac:dyDescent="0.35">
      <c r="A462" t="s">
        <v>473</v>
      </c>
      <c r="B462">
        <v>5</v>
      </c>
      <c r="C462">
        <v>-200708225.69999999</v>
      </c>
      <c r="D462">
        <v>0.4</v>
      </c>
      <c r="E462">
        <v>766124655.39999998</v>
      </c>
      <c r="F462">
        <v>655802129.89999998</v>
      </c>
      <c r="G462">
        <v>4</v>
      </c>
      <c r="H462">
        <v>5</v>
      </c>
      <c r="I462">
        <v>1</v>
      </c>
      <c r="J462">
        <v>3.7</v>
      </c>
      <c r="K462" t="s">
        <v>306</v>
      </c>
    </row>
    <row r="463" spans="1:11" x14ac:dyDescent="0.35">
      <c r="A463" t="s">
        <v>474</v>
      </c>
      <c r="B463">
        <v>5</v>
      </c>
      <c r="C463">
        <v>-210049792</v>
      </c>
      <c r="D463">
        <v>0.4</v>
      </c>
      <c r="E463">
        <v>469224875.30000001</v>
      </c>
      <c r="F463">
        <v>1049560460</v>
      </c>
      <c r="G463">
        <v>4</v>
      </c>
      <c r="H463">
        <v>5</v>
      </c>
      <c r="I463">
        <v>1</v>
      </c>
      <c r="J463">
        <v>3.7</v>
      </c>
      <c r="K463" t="s">
        <v>306</v>
      </c>
    </row>
    <row r="464" spans="1:11" x14ac:dyDescent="0.35">
      <c r="A464" t="s">
        <v>475</v>
      </c>
      <c r="B464">
        <v>5</v>
      </c>
      <c r="C464">
        <v>-165502759.30000001</v>
      </c>
      <c r="D464">
        <v>0.4</v>
      </c>
      <c r="E464">
        <v>462386092</v>
      </c>
      <c r="F464">
        <v>925678455.10000002</v>
      </c>
      <c r="G464">
        <v>4</v>
      </c>
      <c r="H464">
        <v>5</v>
      </c>
      <c r="I464">
        <v>1</v>
      </c>
      <c r="J464">
        <v>3.7</v>
      </c>
      <c r="K464" t="s">
        <v>306</v>
      </c>
    </row>
    <row r="465" spans="1:11" x14ac:dyDescent="0.35">
      <c r="A465" t="s">
        <v>476</v>
      </c>
      <c r="B465">
        <v>5</v>
      </c>
      <c r="C465">
        <v>-262394077.09999999</v>
      </c>
      <c r="D465">
        <v>0.2</v>
      </c>
      <c r="E465">
        <v>648810452.5</v>
      </c>
      <c r="F465">
        <v>1341226360</v>
      </c>
      <c r="G465">
        <v>4</v>
      </c>
      <c r="H465">
        <v>5</v>
      </c>
      <c r="I465">
        <v>1</v>
      </c>
      <c r="J465">
        <v>3.7</v>
      </c>
      <c r="K465" t="s">
        <v>306</v>
      </c>
    </row>
    <row r="466" spans="1:11" x14ac:dyDescent="0.35">
      <c r="A466" t="s">
        <v>477</v>
      </c>
      <c r="B466">
        <v>5</v>
      </c>
      <c r="C466">
        <v>111379003.09999999</v>
      </c>
      <c r="D466">
        <v>0.2</v>
      </c>
      <c r="E466">
        <v>943531801.89999998</v>
      </c>
      <c r="F466">
        <v>1846860555</v>
      </c>
      <c r="G466">
        <v>4</v>
      </c>
      <c r="H466">
        <v>5</v>
      </c>
      <c r="I466">
        <v>1</v>
      </c>
      <c r="J466">
        <v>3.7</v>
      </c>
      <c r="K466" t="s">
        <v>306</v>
      </c>
    </row>
    <row r="467" spans="1:11" x14ac:dyDescent="0.35">
      <c r="A467" t="s">
        <v>478</v>
      </c>
      <c r="B467">
        <v>5</v>
      </c>
      <c r="C467">
        <v>-1734119347</v>
      </c>
      <c r="D467">
        <v>0.4</v>
      </c>
      <c r="E467">
        <v>4701744237</v>
      </c>
      <c r="F467">
        <v>1820479011</v>
      </c>
      <c r="G467">
        <v>4</v>
      </c>
      <c r="H467">
        <v>5</v>
      </c>
      <c r="I467">
        <v>1</v>
      </c>
      <c r="J467">
        <v>3.7</v>
      </c>
      <c r="K467" t="s">
        <v>306</v>
      </c>
    </row>
    <row r="468" spans="1:11" x14ac:dyDescent="0.35">
      <c r="A468" t="s">
        <v>479</v>
      </c>
      <c r="B468">
        <v>5</v>
      </c>
      <c r="C468">
        <v>-411783440.69999999</v>
      </c>
      <c r="D468">
        <v>0.4</v>
      </c>
      <c r="E468">
        <v>657211327.29999995</v>
      </c>
      <c r="F468">
        <v>1608270415</v>
      </c>
      <c r="G468">
        <v>4</v>
      </c>
      <c r="H468">
        <v>5</v>
      </c>
      <c r="I468">
        <v>1</v>
      </c>
      <c r="J468">
        <v>3.7</v>
      </c>
      <c r="K468" t="s">
        <v>306</v>
      </c>
    </row>
    <row r="469" spans="1:11" x14ac:dyDescent="0.35">
      <c r="A469" t="s">
        <v>480</v>
      </c>
      <c r="B469">
        <v>5</v>
      </c>
      <c r="C469">
        <v>277920330.39999998</v>
      </c>
      <c r="D469">
        <v>0.2</v>
      </c>
      <c r="E469">
        <v>38181108369</v>
      </c>
      <c r="F469">
        <v>16334075042</v>
      </c>
      <c r="G469">
        <v>4</v>
      </c>
      <c r="H469">
        <v>5</v>
      </c>
      <c r="I469">
        <v>1</v>
      </c>
      <c r="J469">
        <v>3.7</v>
      </c>
      <c r="K469" t="s">
        <v>306</v>
      </c>
    </row>
    <row r="470" spans="1:11" x14ac:dyDescent="0.35">
      <c r="A470" t="s">
        <v>481</v>
      </c>
      <c r="B470">
        <v>5</v>
      </c>
      <c r="C470">
        <v>-1041693007</v>
      </c>
      <c r="D470">
        <v>0.4</v>
      </c>
      <c r="E470">
        <v>4126587343</v>
      </c>
      <c r="F470">
        <v>10275492094</v>
      </c>
      <c r="G470">
        <v>4</v>
      </c>
      <c r="H470">
        <v>5</v>
      </c>
      <c r="I470">
        <v>1</v>
      </c>
      <c r="J470">
        <v>3.7</v>
      </c>
      <c r="K470" t="s">
        <v>306</v>
      </c>
    </row>
    <row r="471" spans="1:11" x14ac:dyDescent="0.35">
      <c r="A471" t="s">
        <v>482</v>
      </c>
      <c r="B471">
        <v>5</v>
      </c>
      <c r="C471">
        <v>-4584671735</v>
      </c>
      <c r="D471">
        <v>0.2</v>
      </c>
      <c r="E471">
        <v>4955013722</v>
      </c>
      <c r="F471">
        <v>10062833832</v>
      </c>
      <c r="G471">
        <v>4</v>
      </c>
      <c r="H471">
        <v>5</v>
      </c>
      <c r="I471">
        <v>1</v>
      </c>
      <c r="J471">
        <v>3.7</v>
      </c>
      <c r="K471" t="s">
        <v>306</v>
      </c>
    </row>
    <row r="472" spans="1:11" x14ac:dyDescent="0.35">
      <c r="A472" t="s">
        <v>483</v>
      </c>
      <c r="B472">
        <v>5</v>
      </c>
      <c r="C472">
        <v>-3377179158</v>
      </c>
      <c r="D472">
        <v>0.2</v>
      </c>
      <c r="E472">
        <v>6704949192</v>
      </c>
      <c r="F472">
        <v>8511974364</v>
      </c>
      <c r="G472">
        <v>4</v>
      </c>
      <c r="H472">
        <v>5</v>
      </c>
      <c r="I472">
        <v>1</v>
      </c>
      <c r="J472">
        <v>3.7</v>
      </c>
      <c r="K472" t="s">
        <v>306</v>
      </c>
    </row>
    <row r="473" spans="1:11" x14ac:dyDescent="0.35">
      <c r="A473" t="s">
        <v>484</v>
      </c>
      <c r="B473">
        <v>5</v>
      </c>
      <c r="C473">
        <v>1009333960</v>
      </c>
      <c r="D473">
        <v>0.4</v>
      </c>
      <c r="E473">
        <v>3664936784</v>
      </c>
      <c r="F473">
        <v>7817193401</v>
      </c>
      <c r="G473">
        <v>4</v>
      </c>
      <c r="H473">
        <v>5</v>
      </c>
      <c r="I473">
        <v>1</v>
      </c>
      <c r="J473">
        <v>3.7</v>
      </c>
      <c r="K473" t="s">
        <v>306</v>
      </c>
    </row>
    <row r="474" spans="1:11" x14ac:dyDescent="0.35">
      <c r="A474" t="s">
        <v>485</v>
      </c>
      <c r="B474">
        <v>5</v>
      </c>
      <c r="C474">
        <v>216120783.80000001</v>
      </c>
      <c r="D474">
        <v>0.4</v>
      </c>
      <c r="E474">
        <v>3434062185</v>
      </c>
      <c r="F474">
        <v>5462139865</v>
      </c>
      <c r="G474">
        <v>4</v>
      </c>
      <c r="H474">
        <v>5</v>
      </c>
      <c r="I474">
        <v>1</v>
      </c>
      <c r="J474">
        <v>3.7</v>
      </c>
      <c r="K474" t="s">
        <v>306</v>
      </c>
    </row>
    <row r="475" spans="1:11" x14ac:dyDescent="0.35">
      <c r="A475" t="s">
        <v>486</v>
      </c>
      <c r="B475">
        <v>5</v>
      </c>
      <c r="C475">
        <v>-3587950039</v>
      </c>
      <c r="D475">
        <v>0.2</v>
      </c>
      <c r="E475">
        <v>3282013588</v>
      </c>
      <c r="F475">
        <v>6156094545</v>
      </c>
      <c r="G475">
        <v>4</v>
      </c>
      <c r="H475">
        <v>5</v>
      </c>
      <c r="I475">
        <v>1</v>
      </c>
      <c r="J475">
        <v>3.7</v>
      </c>
      <c r="K475" t="s">
        <v>306</v>
      </c>
    </row>
    <row r="476" spans="1:11" x14ac:dyDescent="0.35">
      <c r="A476" t="s">
        <v>487</v>
      </c>
      <c r="B476">
        <v>5</v>
      </c>
      <c r="C476">
        <v>-853561725.5</v>
      </c>
      <c r="D476">
        <v>0.4</v>
      </c>
      <c r="E476">
        <v>1780291944</v>
      </c>
      <c r="F476">
        <v>4392820442</v>
      </c>
      <c r="G476">
        <v>4</v>
      </c>
      <c r="H476">
        <v>5</v>
      </c>
      <c r="I476">
        <v>1</v>
      </c>
      <c r="J476">
        <v>3.7</v>
      </c>
      <c r="K476" t="s">
        <v>306</v>
      </c>
    </row>
    <row r="477" spans="1:11" x14ac:dyDescent="0.35">
      <c r="A477" t="s">
        <v>488</v>
      </c>
      <c r="B477">
        <v>5</v>
      </c>
      <c r="C477">
        <v>-365019125.89999998</v>
      </c>
      <c r="D477">
        <v>0.4</v>
      </c>
      <c r="E477">
        <v>1472700373</v>
      </c>
      <c r="F477">
        <v>3547964078</v>
      </c>
      <c r="G477">
        <v>4</v>
      </c>
      <c r="H477">
        <v>5</v>
      </c>
      <c r="I477">
        <v>1</v>
      </c>
      <c r="J477">
        <v>3.7</v>
      </c>
      <c r="K477" t="s">
        <v>306</v>
      </c>
    </row>
    <row r="478" spans="1:11" x14ac:dyDescent="0.35">
      <c r="A478" t="s">
        <v>489</v>
      </c>
      <c r="B478">
        <v>5</v>
      </c>
      <c r="C478">
        <v>-767318371.79999995</v>
      </c>
      <c r="D478">
        <v>0.2</v>
      </c>
      <c r="E478">
        <v>1391751278</v>
      </c>
      <c r="F478">
        <v>3115922114</v>
      </c>
      <c r="G478">
        <v>4</v>
      </c>
      <c r="H478">
        <v>5</v>
      </c>
      <c r="I478">
        <v>1</v>
      </c>
      <c r="J478">
        <v>3.7</v>
      </c>
      <c r="K478" t="s">
        <v>306</v>
      </c>
    </row>
    <row r="479" spans="1:11" x14ac:dyDescent="0.35">
      <c r="A479" t="s">
        <v>490</v>
      </c>
      <c r="B479">
        <v>5</v>
      </c>
      <c r="C479">
        <v>-1126388570</v>
      </c>
      <c r="D479">
        <v>0.4</v>
      </c>
      <c r="E479">
        <v>1555806103</v>
      </c>
      <c r="F479">
        <v>2428834370</v>
      </c>
      <c r="G479">
        <v>4</v>
      </c>
      <c r="H479">
        <v>5</v>
      </c>
      <c r="I479">
        <v>1</v>
      </c>
      <c r="J479">
        <v>3.7</v>
      </c>
      <c r="K479" t="s">
        <v>306</v>
      </c>
    </row>
    <row r="480" spans="1:11" x14ac:dyDescent="0.35">
      <c r="A480" t="s">
        <v>491</v>
      </c>
      <c r="B480">
        <v>5</v>
      </c>
      <c r="C480">
        <v>-28292050.640000001</v>
      </c>
      <c r="D480">
        <v>0.4</v>
      </c>
      <c r="E480">
        <v>46875544.329999998</v>
      </c>
      <c r="F480">
        <v>-27992513.199999999</v>
      </c>
      <c r="G480">
        <v>4</v>
      </c>
      <c r="H480">
        <v>3</v>
      </c>
      <c r="I480">
        <v>4</v>
      </c>
      <c r="J480">
        <v>3.7</v>
      </c>
      <c r="K480" t="s">
        <v>306</v>
      </c>
    </row>
    <row r="481" spans="1:11" x14ac:dyDescent="0.35">
      <c r="A481" t="s">
        <v>492</v>
      </c>
      <c r="B481">
        <v>5</v>
      </c>
      <c r="C481">
        <v>15829991.640000001</v>
      </c>
      <c r="D481">
        <v>0.4</v>
      </c>
      <c r="E481">
        <v>46460440.049999997</v>
      </c>
      <c r="F481">
        <v>-29292249.399999999</v>
      </c>
      <c r="G481">
        <v>4</v>
      </c>
      <c r="H481">
        <v>3</v>
      </c>
      <c r="I481">
        <v>4</v>
      </c>
      <c r="J481">
        <v>3.7</v>
      </c>
      <c r="K481" t="s">
        <v>306</v>
      </c>
    </row>
    <row r="482" spans="1:11" x14ac:dyDescent="0.35">
      <c r="A482" t="s">
        <v>493</v>
      </c>
      <c r="B482">
        <v>5</v>
      </c>
      <c r="C482">
        <v>-55103883.359999999</v>
      </c>
      <c r="D482">
        <v>0.2</v>
      </c>
      <c r="E482">
        <v>77073185.340000004</v>
      </c>
      <c r="F482">
        <v>-37632376.700000003</v>
      </c>
      <c r="G482">
        <v>4</v>
      </c>
      <c r="H482">
        <v>3</v>
      </c>
      <c r="I482">
        <v>4</v>
      </c>
      <c r="J482">
        <v>3.7</v>
      </c>
      <c r="K482" t="s">
        <v>306</v>
      </c>
    </row>
    <row r="483" spans="1:11" x14ac:dyDescent="0.35">
      <c r="A483" t="s">
        <v>494</v>
      </c>
      <c r="B483">
        <v>5</v>
      </c>
      <c r="C483">
        <v>-3783389.64</v>
      </c>
      <c r="D483">
        <v>0.4</v>
      </c>
      <c r="E483">
        <v>68614012.650000006</v>
      </c>
      <c r="F483">
        <v>-23352462.399999999</v>
      </c>
      <c r="G483">
        <v>4</v>
      </c>
      <c r="H483">
        <v>3</v>
      </c>
      <c r="I483">
        <v>4</v>
      </c>
      <c r="J483">
        <v>3.7</v>
      </c>
      <c r="K483" t="s">
        <v>306</v>
      </c>
    </row>
    <row r="484" spans="1:11" x14ac:dyDescent="0.35">
      <c r="A484" t="s">
        <v>495</v>
      </c>
      <c r="B484">
        <v>5</v>
      </c>
      <c r="C484">
        <v>-21882951.739999998</v>
      </c>
      <c r="D484">
        <v>0.4</v>
      </c>
      <c r="E484">
        <v>71552946.469999999</v>
      </c>
      <c r="F484">
        <v>-21529041.5</v>
      </c>
      <c r="G484">
        <v>4</v>
      </c>
      <c r="H484">
        <v>3</v>
      </c>
      <c r="I484">
        <v>4</v>
      </c>
      <c r="J484">
        <v>3.7</v>
      </c>
      <c r="K484" t="s">
        <v>306</v>
      </c>
    </row>
    <row r="485" spans="1:11" x14ac:dyDescent="0.35">
      <c r="A485" t="s">
        <v>496</v>
      </c>
      <c r="B485">
        <v>5</v>
      </c>
      <c r="C485">
        <v>-26191766.539999999</v>
      </c>
      <c r="D485">
        <v>0.4</v>
      </c>
      <c r="E485">
        <v>73099346.090000004</v>
      </c>
      <c r="F485">
        <v>-22189454.899999999</v>
      </c>
      <c r="G485">
        <v>4</v>
      </c>
      <c r="H485">
        <v>3</v>
      </c>
      <c r="I485">
        <v>4</v>
      </c>
      <c r="J485">
        <v>3.7</v>
      </c>
      <c r="K485" t="s">
        <v>306</v>
      </c>
    </row>
    <row r="486" spans="1:11" x14ac:dyDescent="0.35">
      <c r="A486" t="s">
        <v>497</v>
      </c>
      <c r="B486">
        <v>5</v>
      </c>
      <c r="C486">
        <v>-139633736.19999999</v>
      </c>
      <c r="D486">
        <v>0</v>
      </c>
      <c r="E486">
        <v>61850302.079999998</v>
      </c>
      <c r="F486">
        <v>-7912169.4000000004</v>
      </c>
      <c r="G486">
        <v>4</v>
      </c>
      <c r="H486">
        <v>3</v>
      </c>
      <c r="I486">
        <v>4</v>
      </c>
      <c r="J486">
        <v>3.7</v>
      </c>
      <c r="K486" t="s">
        <v>306</v>
      </c>
    </row>
    <row r="487" spans="1:11" x14ac:dyDescent="0.35">
      <c r="A487" t="s">
        <v>498</v>
      </c>
      <c r="B487">
        <v>5</v>
      </c>
      <c r="C487">
        <v>-141471692.19999999</v>
      </c>
      <c r="D487">
        <v>0</v>
      </c>
      <c r="E487">
        <v>49393442.289999999</v>
      </c>
      <c r="F487">
        <v>-10520183.6</v>
      </c>
      <c r="G487">
        <v>4</v>
      </c>
      <c r="H487">
        <v>3</v>
      </c>
      <c r="I487">
        <v>4</v>
      </c>
      <c r="J487">
        <v>3.7</v>
      </c>
      <c r="K487" t="s">
        <v>306</v>
      </c>
    </row>
    <row r="488" spans="1:11" x14ac:dyDescent="0.35">
      <c r="A488" t="s">
        <v>499</v>
      </c>
      <c r="B488">
        <v>5</v>
      </c>
      <c r="C488">
        <v>-5162472.0199999996</v>
      </c>
      <c r="D488">
        <v>0.4</v>
      </c>
      <c r="E488">
        <v>67103277.170000002</v>
      </c>
      <c r="F488">
        <v>-9064114.9000000004</v>
      </c>
      <c r="G488">
        <v>4</v>
      </c>
      <c r="H488">
        <v>3</v>
      </c>
      <c r="I488">
        <v>4</v>
      </c>
      <c r="J488">
        <v>3.7</v>
      </c>
      <c r="K488" t="s">
        <v>306</v>
      </c>
    </row>
    <row r="489" spans="1:11" x14ac:dyDescent="0.35">
      <c r="A489" t="s">
        <v>500</v>
      </c>
      <c r="B489">
        <v>5</v>
      </c>
      <c r="C489">
        <v>-76301934.340000004</v>
      </c>
      <c r="D489">
        <v>0.2</v>
      </c>
      <c r="E489">
        <v>49409132.960000001</v>
      </c>
      <c r="F489">
        <v>-14879287.199999999</v>
      </c>
      <c r="G489">
        <v>4</v>
      </c>
      <c r="H489">
        <v>3</v>
      </c>
      <c r="I489">
        <v>4</v>
      </c>
      <c r="J489">
        <v>3.7</v>
      </c>
      <c r="K489" t="s">
        <v>306</v>
      </c>
    </row>
    <row r="490" spans="1:11" x14ac:dyDescent="0.35">
      <c r="A490" t="s">
        <v>501</v>
      </c>
      <c r="B490">
        <v>5</v>
      </c>
      <c r="C490">
        <v>-67351865</v>
      </c>
      <c r="D490">
        <v>0</v>
      </c>
      <c r="E490">
        <v>22003745.510000002</v>
      </c>
      <c r="F490">
        <v>-3191377</v>
      </c>
      <c r="G490">
        <v>5</v>
      </c>
      <c r="H490">
        <v>2</v>
      </c>
      <c r="I490">
        <v>3</v>
      </c>
      <c r="J490">
        <v>3.7</v>
      </c>
      <c r="K490" t="s">
        <v>306</v>
      </c>
    </row>
    <row r="491" spans="1:11" x14ac:dyDescent="0.35">
      <c r="A491" t="s">
        <v>502</v>
      </c>
      <c r="B491">
        <v>5</v>
      </c>
      <c r="C491">
        <v>-26480171.239999998</v>
      </c>
      <c r="D491">
        <v>0</v>
      </c>
      <c r="E491">
        <v>18004580.039999999</v>
      </c>
      <c r="F491">
        <v>-937181.6</v>
      </c>
      <c r="G491">
        <v>5</v>
      </c>
      <c r="H491">
        <v>2</v>
      </c>
      <c r="I491">
        <v>3</v>
      </c>
      <c r="J491">
        <v>3.7</v>
      </c>
      <c r="K491" t="s">
        <v>306</v>
      </c>
    </row>
    <row r="492" spans="1:11" x14ac:dyDescent="0.35">
      <c r="A492" t="s">
        <v>503</v>
      </c>
      <c r="B492">
        <v>5</v>
      </c>
      <c r="C492">
        <v>-17655375.559999999</v>
      </c>
      <c r="D492">
        <v>0</v>
      </c>
      <c r="E492">
        <v>21125107.789999999</v>
      </c>
      <c r="F492">
        <v>-1380719.7</v>
      </c>
      <c r="G492">
        <v>5</v>
      </c>
      <c r="H492">
        <v>2</v>
      </c>
      <c r="I492">
        <v>3</v>
      </c>
      <c r="J492">
        <v>3.7</v>
      </c>
      <c r="K492" t="s">
        <v>306</v>
      </c>
    </row>
    <row r="493" spans="1:11" x14ac:dyDescent="0.35">
      <c r="A493" t="s">
        <v>504</v>
      </c>
      <c r="B493">
        <v>5</v>
      </c>
      <c r="C493">
        <v>-95445016.439999998</v>
      </c>
      <c r="D493">
        <v>0</v>
      </c>
      <c r="E493">
        <v>30620177.68</v>
      </c>
      <c r="F493">
        <v>-2696529.3</v>
      </c>
      <c r="G493">
        <v>5</v>
      </c>
      <c r="H493">
        <v>2</v>
      </c>
      <c r="I493">
        <v>3</v>
      </c>
      <c r="J493">
        <v>3.7</v>
      </c>
      <c r="K493" t="s">
        <v>306</v>
      </c>
    </row>
    <row r="494" spans="1:11" x14ac:dyDescent="0.35">
      <c r="A494" t="s">
        <v>505</v>
      </c>
      <c r="B494">
        <v>5</v>
      </c>
      <c r="C494">
        <v>-47236120.880000003</v>
      </c>
      <c r="D494">
        <v>0</v>
      </c>
      <c r="E494">
        <v>32353276.59</v>
      </c>
      <c r="F494">
        <v>-2780569.3</v>
      </c>
      <c r="G494">
        <v>5</v>
      </c>
      <c r="H494">
        <v>2</v>
      </c>
      <c r="I494">
        <v>3</v>
      </c>
      <c r="J494">
        <v>3.7</v>
      </c>
      <c r="K494" t="s">
        <v>306</v>
      </c>
    </row>
    <row r="495" spans="1:11" x14ac:dyDescent="0.35">
      <c r="A495" t="s">
        <v>506</v>
      </c>
      <c r="B495">
        <v>5</v>
      </c>
      <c r="C495">
        <v>-56031743.259999998</v>
      </c>
      <c r="D495">
        <v>0</v>
      </c>
      <c r="E495">
        <v>24928747.949999999</v>
      </c>
      <c r="F495">
        <v>5274914.0999999996</v>
      </c>
      <c r="G495">
        <v>5</v>
      </c>
      <c r="H495">
        <v>2</v>
      </c>
      <c r="I495">
        <v>3</v>
      </c>
      <c r="J495">
        <v>3.7</v>
      </c>
      <c r="K495" t="s">
        <v>306</v>
      </c>
    </row>
    <row r="496" spans="1:11" x14ac:dyDescent="0.35">
      <c r="A496" t="s">
        <v>507</v>
      </c>
      <c r="B496">
        <v>5</v>
      </c>
      <c r="C496">
        <v>-47582800.700000003</v>
      </c>
      <c r="D496">
        <v>0</v>
      </c>
      <c r="E496">
        <v>19583941.699999999</v>
      </c>
      <c r="F496">
        <v>3099911.8</v>
      </c>
      <c r="G496">
        <v>5</v>
      </c>
      <c r="H496">
        <v>2</v>
      </c>
      <c r="I496">
        <v>3</v>
      </c>
      <c r="J496">
        <v>3.7</v>
      </c>
      <c r="K496" t="s">
        <v>306</v>
      </c>
    </row>
    <row r="497" spans="1:11" x14ac:dyDescent="0.35">
      <c r="A497" t="s">
        <v>508</v>
      </c>
      <c r="B497">
        <v>5</v>
      </c>
      <c r="C497">
        <v>-69648696.459999993</v>
      </c>
      <c r="D497">
        <v>0</v>
      </c>
      <c r="E497">
        <v>23136736.050000001</v>
      </c>
      <c r="F497">
        <v>2849351.8</v>
      </c>
      <c r="G497">
        <v>5</v>
      </c>
      <c r="H497">
        <v>2</v>
      </c>
      <c r="I497">
        <v>3</v>
      </c>
      <c r="J497">
        <v>3.7</v>
      </c>
      <c r="K497" t="s">
        <v>306</v>
      </c>
    </row>
    <row r="498" spans="1:11" x14ac:dyDescent="0.35">
      <c r="A498" t="s">
        <v>509</v>
      </c>
      <c r="B498">
        <v>5</v>
      </c>
      <c r="C498">
        <v>-39688743.200000003</v>
      </c>
      <c r="D498">
        <v>0.2</v>
      </c>
      <c r="E498">
        <v>54581887.549999997</v>
      </c>
      <c r="F498">
        <v>-62341055.5</v>
      </c>
      <c r="G498">
        <v>4</v>
      </c>
      <c r="H498">
        <v>3</v>
      </c>
      <c r="I498">
        <v>4</v>
      </c>
      <c r="J498">
        <v>3.7</v>
      </c>
      <c r="K498" t="s">
        <v>306</v>
      </c>
    </row>
    <row r="499" spans="1:11" x14ac:dyDescent="0.35">
      <c r="A499" t="s">
        <v>510</v>
      </c>
      <c r="B499">
        <v>5</v>
      </c>
      <c r="C499">
        <v>-71020478.739999995</v>
      </c>
      <c r="D499">
        <v>0.2</v>
      </c>
      <c r="E499">
        <v>56064486.399999999</v>
      </c>
      <c r="F499">
        <v>-62749802.899999999</v>
      </c>
      <c r="G499">
        <v>4</v>
      </c>
      <c r="H499">
        <v>3</v>
      </c>
      <c r="I499">
        <v>4</v>
      </c>
      <c r="J499">
        <v>3.7</v>
      </c>
      <c r="K499" t="s">
        <v>306</v>
      </c>
    </row>
    <row r="500" spans="1:11" x14ac:dyDescent="0.35">
      <c r="A500" t="s">
        <v>511</v>
      </c>
      <c r="B500">
        <v>5</v>
      </c>
      <c r="C500">
        <v>-75984516.620000005</v>
      </c>
      <c r="D500">
        <v>0.2</v>
      </c>
      <c r="E500">
        <v>85228020.069999993</v>
      </c>
      <c r="F500">
        <v>-70940809.799999997</v>
      </c>
      <c r="G500">
        <v>4</v>
      </c>
      <c r="H500">
        <v>3</v>
      </c>
      <c r="I500">
        <v>4</v>
      </c>
      <c r="J500">
        <v>3.7</v>
      </c>
      <c r="K500" t="s">
        <v>306</v>
      </c>
    </row>
    <row r="501" spans="1:11" x14ac:dyDescent="0.35">
      <c r="A501" t="s">
        <v>512</v>
      </c>
      <c r="B501">
        <v>5</v>
      </c>
      <c r="C501">
        <v>-63797938.039999999</v>
      </c>
      <c r="D501">
        <v>0.2</v>
      </c>
      <c r="E501">
        <v>92120567.280000001</v>
      </c>
      <c r="F501">
        <v>-67994860.900000006</v>
      </c>
      <c r="G501">
        <v>4</v>
      </c>
      <c r="H501">
        <v>3</v>
      </c>
      <c r="I501">
        <v>4</v>
      </c>
      <c r="J501">
        <v>3.7</v>
      </c>
      <c r="K501" t="s">
        <v>306</v>
      </c>
    </row>
    <row r="502" spans="1:11" x14ac:dyDescent="0.35">
      <c r="A502" t="s">
        <v>513</v>
      </c>
      <c r="B502">
        <v>5</v>
      </c>
      <c r="C502">
        <v>-15966460.539999999</v>
      </c>
      <c r="D502">
        <v>0.4</v>
      </c>
      <c r="E502">
        <v>59385651.899999999</v>
      </c>
      <c r="F502">
        <v>-68027681.900000006</v>
      </c>
      <c r="G502">
        <v>4</v>
      </c>
      <c r="H502">
        <v>3</v>
      </c>
      <c r="I502">
        <v>4</v>
      </c>
      <c r="J502">
        <v>3.7</v>
      </c>
      <c r="K502" t="s">
        <v>306</v>
      </c>
    </row>
    <row r="503" spans="1:11" x14ac:dyDescent="0.35">
      <c r="A503" t="s">
        <v>514</v>
      </c>
      <c r="B503">
        <v>5</v>
      </c>
      <c r="C503">
        <v>-13241496.460000001</v>
      </c>
      <c r="D503">
        <v>0.4</v>
      </c>
      <c r="E503">
        <v>45864455.390000001</v>
      </c>
      <c r="F503">
        <v>-40299679.899999999</v>
      </c>
      <c r="G503">
        <v>4</v>
      </c>
      <c r="H503">
        <v>3</v>
      </c>
      <c r="I503">
        <v>4</v>
      </c>
      <c r="J503">
        <v>3.7</v>
      </c>
      <c r="K503" t="s">
        <v>306</v>
      </c>
    </row>
    <row r="504" spans="1:11" x14ac:dyDescent="0.35">
      <c r="A504" t="s">
        <v>515</v>
      </c>
      <c r="B504">
        <v>5</v>
      </c>
      <c r="C504">
        <v>-96116360.079999998</v>
      </c>
      <c r="D504">
        <v>0.2</v>
      </c>
      <c r="E504">
        <v>103131256.5</v>
      </c>
      <c r="F504">
        <v>-38818374.100000001</v>
      </c>
      <c r="G504">
        <v>4</v>
      </c>
      <c r="H504">
        <v>3</v>
      </c>
      <c r="I504">
        <v>4</v>
      </c>
      <c r="J504">
        <v>3.7</v>
      </c>
      <c r="K504" t="s">
        <v>306</v>
      </c>
    </row>
    <row r="505" spans="1:11" x14ac:dyDescent="0.35">
      <c r="A505" t="s">
        <v>516</v>
      </c>
      <c r="B505">
        <v>5</v>
      </c>
      <c r="C505">
        <v>-40671594.68</v>
      </c>
      <c r="D505">
        <v>0.2</v>
      </c>
      <c r="E505">
        <v>47253702.119999997</v>
      </c>
      <c r="F505">
        <v>-49418154.899999999</v>
      </c>
      <c r="G505">
        <v>4</v>
      </c>
      <c r="H505">
        <v>3</v>
      </c>
      <c r="I505">
        <v>4</v>
      </c>
      <c r="J505">
        <v>3.7</v>
      </c>
      <c r="K505" t="s">
        <v>306</v>
      </c>
    </row>
    <row r="506" spans="1:11" x14ac:dyDescent="0.35">
      <c r="A506" t="s">
        <v>517</v>
      </c>
      <c r="B506">
        <v>5</v>
      </c>
      <c r="C506">
        <v>-6753019.2400000002</v>
      </c>
      <c r="D506">
        <v>0.4</v>
      </c>
      <c r="E506">
        <v>89353445.840000004</v>
      </c>
      <c r="F506">
        <v>-52023878.100000001</v>
      </c>
      <c r="G506">
        <v>4</v>
      </c>
      <c r="H506">
        <v>3</v>
      </c>
      <c r="I506">
        <v>4</v>
      </c>
      <c r="J506">
        <v>3.7</v>
      </c>
      <c r="K506" t="s">
        <v>306</v>
      </c>
    </row>
    <row r="507" spans="1:11" x14ac:dyDescent="0.35">
      <c r="A507" t="s">
        <v>518</v>
      </c>
      <c r="B507">
        <v>5</v>
      </c>
      <c r="C507">
        <v>-56041028.159999996</v>
      </c>
      <c r="D507">
        <v>0.4</v>
      </c>
      <c r="E507">
        <v>89608933.579999998</v>
      </c>
      <c r="F507">
        <v>-50450160.899999999</v>
      </c>
      <c r="G507">
        <v>4</v>
      </c>
      <c r="H507">
        <v>3</v>
      </c>
      <c r="I507">
        <v>4</v>
      </c>
      <c r="J507">
        <v>3.7</v>
      </c>
      <c r="K507" t="s">
        <v>306</v>
      </c>
    </row>
    <row r="508" spans="1:11" x14ac:dyDescent="0.35">
      <c r="A508" t="s">
        <v>519</v>
      </c>
      <c r="B508">
        <v>5</v>
      </c>
      <c r="C508">
        <v>-42408930.259999998</v>
      </c>
      <c r="D508">
        <v>0.2</v>
      </c>
      <c r="E508">
        <v>63535771.280000001</v>
      </c>
      <c r="F508">
        <v>-74714730.799999997</v>
      </c>
      <c r="G508">
        <v>4</v>
      </c>
      <c r="H508">
        <v>3</v>
      </c>
      <c r="I508">
        <v>4</v>
      </c>
      <c r="J508">
        <v>3.7</v>
      </c>
      <c r="K508" t="s">
        <v>306</v>
      </c>
    </row>
    <row r="509" spans="1:11" x14ac:dyDescent="0.35">
      <c r="A509" t="s">
        <v>520</v>
      </c>
      <c r="B509">
        <v>5</v>
      </c>
      <c r="C509">
        <v>-260031177</v>
      </c>
      <c r="D509">
        <v>0</v>
      </c>
      <c r="E509">
        <v>55427787.280000001</v>
      </c>
      <c r="F509">
        <v>-78150955.599999994</v>
      </c>
      <c r="G509">
        <v>4</v>
      </c>
      <c r="H509">
        <v>3</v>
      </c>
      <c r="I509">
        <v>4</v>
      </c>
      <c r="J509">
        <v>3.7</v>
      </c>
      <c r="K509" t="s">
        <v>306</v>
      </c>
    </row>
    <row r="510" spans="1:11" x14ac:dyDescent="0.35">
      <c r="A510" t="s">
        <v>521</v>
      </c>
      <c r="B510">
        <v>5</v>
      </c>
      <c r="C510">
        <v>-14188310.619999999</v>
      </c>
      <c r="D510">
        <v>0.4</v>
      </c>
      <c r="E510">
        <v>58718265.289999999</v>
      </c>
      <c r="F510">
        <v>-76964961.099999994</v>
      </c>
      <c r="G510">
        <v>4</v>
      </c>
      <c r="H510">
        <v>3</v>
      </c>
      <c r="I510">
        <v>4</v>
      </c>
      <c r="J510">
        <v>3.7</v>
      </c>
      <c r="K510" t="s">
        <v>306</v>
      </c>
    </row>
    <row r="511" spans="1:11" x14ac:dyDescent="0.35">
      <c r="A511" t="s">
        <v>522</v>
      </c>
      <c r="B511">
        <v>5</v>
      </c>
      <c r="C511">
        <v>-14052794.98</v>
      </c>
      <c r="D511">
        <v>0.6</v>
      </c>
      <c r="E511">
        <v>147770632.19999999</v>
      </c>
      <c r="F511">
        <v>-100296632.3</v>
      </c>
      <c r="G511">
        <v>3</v>
      </c>
      <c r="H511">
        <v>4</v>
      </c>
      <c r="I511">
        <v>5</v>
      </c>
      <c r="J511">
        <v>3.7</v>
      </c>
      <c r="K511" t="s">
        <v>306</v>
      </c>
    </row>
    <row r="512" spans="1:11" x14ac:dyDescent="0.35">
      <c r="A512" t="s">
        <v>523</v>
      </c>
      <c r="B512">
        <v>5</v>
      </c>
      <c r="C512">
        <v>112915210.09999999</v>
      </c>
      <c r="D512">
        <v>0.6</v>
      </c>
      <c r="E512">
        <v>206562395.59999999</v>
      </c>
      <c r="F512">
        <v>-94491363.599999994</v>
      </c>
      <c r="G512">
        <v>3</v>
      </c>
      <c r="H512">
        <v>4</v>
      </c>
      <c r="I512">
        <v>5</v>
      </c>
      <c r="J512">
        <v>3.7</v>
      </c>
      <c r="K512" t="s">
        <v>306</v>
      </c>
    </row>
    <row r="513" spans="1:11" x14ac:dyDescent="0.35">
      <c r="A513" t="s">
        <v>524</v>
      </c>
      <c r="B513">
        <v>5</v>
      </c>
      <c r="C513">
        <v>73267028.719999999</v>
      </c>
      <c r="D513">
        <v>0.6</v>
      </c>
      <c r="E513">
        <v>139946451.40000001</v>
      </c>
      <c r="F513">
        <v>-117565780.3</v>
      </c>
      <c r="G513">
        <v>3</v>
      </c>
      <c r="H513">
        <v>4</v>
      </c>
      <c r="I513">
        <v>5</v>
      </c>
      <c r="J513">
        <v>3.7</v>
      </c>
      <c r="K513" t="s">
        <v>306</v>
      </c>
    </row>
    <row r="514" spans="1:11" x14ac:dyDescent="0.35">
      <c r="A514" t="s">
        <v>525</v>
      </c>
      <c r="B514">
        <v>5</v>
      </c>
      <c r="C514">
        <v>63993597.280000001</v>
      </c>
      <c r="D514">
        <v>0.8</v>
      </c>
      <c r="E514">
        <v>157752403.5</v>
      </c>
      <c r="F514">
        <v>-121693043.90000001</v>
      </c>
      <c r="G514">
        <v>3</v>
      </c>
      <c r="H514">
        <v>4</v>
      </c>
      <c r="I514">
        <v>5</v>
      </c>
      <c r="J514">
        <v>3.7</v>
      </c>
      <c r="K514" t="s">
        <v>306</v>
      </c>
    </row>
    <row r="515" spans="1:11" x14ac:dyDescent="0.35">
      <c r="A515" t="s">
        <v>526</v>
      </c>
      <c r="B515">
        <v>5</v>
      </c>
      <c r="C515">
        <v>134446718.30000001</v>
      </c>
      <c r="D515">
        <v>0.8</v>
      </c>
      <c r="E515">
        <v>111648824</v>
      </c>
      <c r="F515">
        <v>-120647346.8</v>
      </c>
      <c r="G515">
        <v>3</v>
      </c>
      <c r="H515">
        <v>4</v>
      </c>
      <c r="I515">
        <v>5</v>
      </c>
      <c r="J515">
        <v>3.7</v>
      </c>
      <c r="K515" t="s">
        <v>306</v>
      </c>
    </row>
    <row r="516" spans="1:11" x14ac:dyDescent="0.35">
      <c r="A516" t="s">
        <v>527</v>
      </c>
      <c r="B516">
        <v>5</v>
      </c>
      <c r="C516">
        <v>-55864860.640000001</v>
      </c>
      <c r="D516">
        <v>0.6</v>
      </c>
      <c r="E516">
        <v>162525298</v>
      </c>
      <c r="F516">
        <v>-115482274.5</v>
      </c>
      <c r="G516">
        <v>3</v>
      </c>
      <c r="H516">
        <v>4</v>
      </c>
      <c r="I516">
        <v>5</v>
      </c>
      <c r="J516">
        <v>3.7</v>
      </c>
      <c r="K516" t="s">
        <v>306</v>
      </c>
    </row>
    <row r="517" spans="1:11" x14ac:dyDescent="0.35">
      <c r="A517" t="s">
        <v>528</v>
      </c>
      <c r="B517">
        <v>5</v>
      </c>
      <c r="C517">
        <v>36046468.240000002</v>
      </c>
      <c r="D517">
        <v>0.6</v>
      </c>
      <c r="E517">
        <v>201314038.09999999</v>
      </c>
      <c r="F517">
        <v>-320272633.19999999</v>
      </c>
      <c r="G517">
        <v>3</v>
      </c>
      <c r="H517">
        <v>4</v>
      </c>
      <c r="I517">
        <v>5</v>
      </c>
      <c r="J517">
        <v>3.7</v>
      </c>
      <c r="K517" t="s">
        <v>306</v>
      </c>
    </row>
    <row r="518" spans="1:11" x14ac:dyDescent="0.35">
      <c r="A518" t="s">
        <v>529</v>
      </c>
      <c r="B518">
        <v>5</v>
      </c>
      <c r="C518">
        <v>109180989.5</v>
      </c>
      <c r="D518">
        <v>0.6</v>
      </c>
      <c r="E518">
        <v>128546639.5</v>
      </c>
      <c r="F518">
        <v>-268240893.19999999</v>
      </c>
      <c r="G518">
        <v>3</v>
      </c>
      <c r="H518">
        <v>4</v>
      </c>
      <c r="I518">
        <v>5</v>
      </c>
      <c r="J518">
        <v>3.7</v>
      </c>
      <c r="K518" t="s">
        <v>306</v>
      </c>
    </row>
    <row r="519" spans="1:11" x14ac:dyDescent="0.35">
      <c r="A519" t="s">
        <v>530</v>
      </c>
      <c r="B519">
        <v>5</v>
      </c>
      <c r="C519">
        <v>-19103683.34</v>
      </c>
      <c r="D519">
        <v>0.8</v>
      </c>
      <c r="E519">
        <v>147208187.69999999</v>
      </c>
      <c r="F519">
        <v>-277276033.89999998</v>
      </c>
      <c r="G519">
        <v>3</v>
      </c>
      <c r="H519">
        <v>4</v>
      </c>
      <c r="I519">
        <v>5</v>
      </c>
      <c r="J519">
        <v>3.7</v>
      </c>
      <c r="K519" t="s">
        <v>306</v>
      </c>
    </row>
    <row r="520" spans="1:11" x14ac:dyDescent="0.35">
      <c r="A520" t="s">
        <v>531</v>
      </c>
      <c r="B520">
        <v>5</v>
      </c>
      <c r="C520">
        <v>223335681.69999999</v>
      </c>
      <c r="D520">
        <v>0.8</v>
      </c>
      <c r="E520">
        <v>324916552.60000002</v>
      </c>
      <c r="F520">
        <v>-397437551.69999999</v>
      </c>
      <c r="G520">
        <v>3</v>
      </c>
      <c r="H520">
        <v>4</v>
      </c>
      <c r="I520">
        <v>5</v>
      </c>
      <c r="J520">
        <v>3.7</v>
      </c>
      <c r="K520" t="s">
        <v>306</v>
      </c>
    </row>
    <row r="521" spans="1:11" x14ac:dyDescent="0.35">
      <c r="A521" t="s">
        <v>532</v>
      </c>
      <c r="B521">
        <v>5</v>
      </c>
      <c r="C521">
        <v>87635579.120000005</v>
      </c>
      <c r="D521">
        <v>0.6</v>
      </c>
      <c r="E521">
        <v>152247684.69999999</v>
      </c>
      <c r="F521">
        <v>-372714834.80000001</v>
      </c>
      <c r="G521">
        <v>3</v>
      </c>
      <c r="H521">
        <v>4</v>
      </c>
      <c r="I521">
        <v>5</v>
      </c>
      <c r="J521">
        <v>3.7</v>
      </c>
      <c r="K521" t="s">
        <v>306</v>
      </c>
    </row>
    <row r="522" spans="1:11" x14ac:dyDescent="0.35">
      <c r="A522" t="s">
        <v>533</v>
      </c>
      <c r="B522">
        <v>5</v>
      </c>
      <c r="C522">
        <v>-67198952.420000002</v>
      </c>
      <c r="D522">
        <v>0.6</v>
      </c>
      <c r="E522">
        <v>214043744.40000001</v>
      </c>
      <c r="F522">
        <v>-389389839.10000002</v>
      </c>
      <c r="G522">
        <v>3</v>
      </c>
      <c r="H522">
        <v>4</v>
      </c>
      <c r="I522">
        <v>5</v>
      </c>
      <c r="J522">
        <v>3.7</v>
      </c>
      <c r="K522" t="s">
        <v>306</v>
      </c>
    </row>
    <row r="523" spans="1:11" x14ac:dyDescent="0.35">
      <c r="A523" t="s">
        <v>534</v>
      </c>
      <c r="B523">
        <v>5</v>
      </c>
      <c r="C523">
        <v>69874354.840000004</v>
      </c>
      <c r="D523">
        <v>0.8</v>
      </c>
      <c r="E523">
        <v>161146512</v>
      </c>
      <c r="F523">
        <v>-352851085.39999998</v>
      </c>
      <c r="G523">
        <v>3</v>
      </c>
      <c r="H523">
        <v>4</v>
      </c>
      <c r="I523">
        <v>5</v>
      </c>
      <c r="J523">
        <v>3.7</v>
      </c>
      <c r="K523" t="s">
        <v>306</v>
      </c>
    </row>
    <row r="524" spans="1:11" x14ac:dyDescent="0.35">
      <c r="A524" t="s">
        <v>535</v>
      </c>
      <c r="B524">
        <v>5</v>
      </c>
      <c r="C524">
        <v>66797097.039999999</v>
      </c>
      <c r="D524">
        <v>0.6</v>
      </c>
      <c r="E524">
        <v>227404686.09999999</v>
      </c>
      <c r="F524">
        <v>-354897842.69999999</v>
      </c>
      <c r="G524">
        <v>3</v>
      </c>
      <c r="H524">
        <v>4</v>
      </c>
      <c r="I524">
        <v>5</v>
      </c>
      <c r="J524">
        <v>3.7</v>
      </c>
      <c r="K524" t="s">
        <v>306</v>
      </c>
    </row>
    <row r="525" spans="1:11" x14ac:dyDescent="0.35">
      <c r="A525" t="s">
        <v>536</v>
      </c>
      <c r="B525">
        <v>5</v>
      </c>
      <c r="C525">
        <v>225505435.40000001</v>
      </c>
      <c r="D525">
        <v>0.8</v>
      </c>
      <c r="E525">
        <v>206793642.59999999</v>
      </c>
      <c r="F525">
        <v>-444095087.19999999</v>
      </c>
      <c r="G525">
        <v>3</v>
      </c>
      <c r="H525">
        <v>4</v>
      </c>
      <c r="I525">
        <v>5</v>
      </c>
      <c r="J525">
        <v>3.7</v>
      </c>
      <c r="K525" t="s">
        <v>306</v>
      </c>
    </row>
    <row r="526" spans="1:11" x14ac:dyDescent="0.35">
      <c r="A526" t="s">
        <v>537</v>
      </c>
      <c r="B526">
        <v>5</v>
      </c>
      <c r="C526">
        <v>56612662.380000003</v>
      </c>
      <c r="D526">
        <v>0.4</v>
      </c>
      <c r="E526">
        <v>174677095.19999999</v>
      </c>
      <c r="F526">
        <v>-419641894.10000002</v>
      </c>
      <c r="G526">
        <v>3</v>
      </c>
      <c r="H526">
        <v>4</v>
      </c>
      <c r="I526">
        <v>5</v>
      </c>
      <c r="J526">
        <v>3.7</v>
      </c>
      <c r="K526" t="s">
        <v>306</v>
      </c>
    </row>
    <row r="527" spans="1:11" x14ac:dyDescent="0.35">
      <c r="A527" t="s">
        <v>538</v>
      </c>
      <c r="B527">
        <v>5</v>
      </c>
      <c r="C527">
        <v>109578122</v>
      </c>
      <c r="D527">
        <v>0.8</v>
      </c>
      <c r="E527">
        <v>159252253.5</v>
      </c>
      <c r="F527">
        <v>-420626542.30000001</v>
      </c>
      <c r="G527">
        <v>3</v>
      </c>
      <c r="H527">
        <v>4</v>
      </c>
      <c r="I527">
        <v>5</v>
      </c>
      <c r="J527">
        <v>3.7</v>
      </c>
      <c r="K527" t="s">
        <v>306</v>
      </c>
    </row>
    <row r="528" spans="1:11" x14ac:dyDescent="0.35">
      <c r="A528" t="s">
        <v>539</v>
      </c>
      <c r="B528">
        <v>5</v>
      </c>
      <c r="C528">
        <v>202704504.40000001</v>
      </c>
      <c r="D528">
        <v>0.8</v>
      </c>
      <c r="E528">
        <v>197047837.90000001</v>
      </c>
      <c r="F528">
        <v>-429101291</v>
      </c>
      <c r="G528">
        <v>3</v>
      </c>
      <c r="H528">
        <v>4</v>
      </c>
      <c r="I528">
        <v>5</v>
      </c>
      <c r="J528">
        <v>3.7</v>
      </c>
      <c r="K528" t="s">
        <v>306</v>
      </c>
    </row>
    <row r="529" spans="1:11" x14ac:dyDescent="0.35">
      <c r="A529" t="s">
        <v>540</v>
      </c>
      <c r="B529">
        <v>5</v>
      </c>
      <c r="C529">
        <v>162227589.30000001</v>
      </c>
      <c r="D529">
        <v>0.6</v>
      </c>
      <c r="E529">
        <v>242358554.80000001</v>
      </c>
      <c r="F529">
        <v>-461480520.5</v>
      </c>
      <c r="G529">
        <v>3</v>
      </c>
      <c r="H529">
        <v>4</v>
      </c>
      <c r="I529">
        <v>5</v>
      </c>
      <c r="J529">
        <v>3.7</v>
      </c>
      <c r="K529" t="s">
        <v>306</v>
      </c>
    </row>
    <row r="530" spans="1:11" x14ac:dyDescent="0.35">
      <c r="A530" t="s">
        <v>541</v>
      </c>
      <c r="B530">
        <v>5</v>
      </c>
      <c r="C530">
        <v>216385922.5</v>
      </c>
      <c r="D530">
        <v>0.8</v>
      </c>
      <c r="E530">
        <v>247420781.19999999</v>
      </c>
      <c r="F530">
        <v>-409982072</v>
      </c>
      <c r="G530">
        <v>3</v>
      </c>
      <c r="H530">
        <v>4</v>
      </c>
      <c r="I530">
        <v>5</v>
      </c>
      <c r="J530">
        <v>3.7</v>
      </c>
      <c r="K530" t="s">
        <v>306</v>
      </c>
    </row>
    <row r="531" spans="1:11" x14ac:dyDescent="0.35">
      <c r="A531" t="s">
        <v>542</v>
      </c>
      <c r="B531">
        <v>5</v>
      </c>
      <c r="C531">
        <v>17016481.899999999</v>
      </c>
      <c r="D531">
        <v>0.6</v>
      </c>
      <c r="E531">
        <v>192602367.30000001</v>
      </c>
      <c r="F531">
        <v>-468270129.30000001</v>
      </c>
      <c r="G531">
        <v>3</v>
      </c>
      <c r="H531">
        <v>4</v>
      </c>
      <c r="I531">
        <v>5</v>
      </c>
      <c r="J531">
        <v>3.7</v>
      </c>
      <c r="K531" t="s">
        <v>306</v>
      </c>
    </row>
    <row r="532" spans="1:11" x14ac:dyDescent="0.35">
      <c r="A532" t="s">
        <v>543</v>
      </c>
      <c r="B532">
        <v>5</v>
      </c>
      <c r="C532">
        <v>-130472789.7</v>
      </c>
      <c r="D532">
        <v>0.6</v>
      </c>
      <c r="E532">
        <v>263881383.09999999</v>
      </c>
      <c r="F532">
        <v>-599967695</v>
      </c>
      <c r="G532">
        <v>3</v>
      </c>
      <c r="H532">
        <v>4</v>
      </c>
      <c r="I532">
        <v>5</v>
      </c>
      <c r="J532">
        <v>3.7</v>
      </c>
      <c r="K532" t="s">
        <v>306</v>
      </c>
    </row>
    <row r="533" spans="1:11" x14ac:dyDescent="0.35">
      <c r="A533" t="s">
        <v>544</v>
      </c>
      <c r="B533">
        <v>5</v>
      </c>
      <c r="C533">
        <v>94460723.719999999</v>
      </c>
      <c r="D533">
        <v>0.8</v>
      </c>
      <c r="E533">
        <v>249244803.80000001</v>
      </c>
      <c r="F533">
        <v>-548300515.39999998</v>
      </c>
      <c r="G533">
        <v>3</v>
      </c>
      <c r="H533">
        <v>4</v>
      </c>
      <c r="I533">
        <v>5</v>
      </c>
      <c r="J533">
        <v>3.7</v>
      </c>
      <c r="K533" t="s">
        <v>306</v>
      </c>
    </row>
    <row r="534" spans="1:11" x14ac:dyDescent="0.35">
      <c r="A534" t="s">
        <v>545</v>
      </c>
      <c r="B534">
        <v>5</v>
      </c>
      <c r="C534">
        <v>-34176187.299999997</v>
      </c>
      <c r="D534">
        <v>0.6</v>
      </c>
      <c r="E534">
        <v>237993957.90000001</v>
      </c>
      <c r="F534">
        <v>-571691722.5</v>
      </c>
      <c r="G534">
        <v>3</v>
      </c>
      <c r="H534">
        <v>4</v>
      </c>
      <c r="I534">
        <v>5</v>
      </c>
      <c r="J534">
        <v>3.7</v>
      </c>
      <c r="K534" t="s">
        <v>306</v>
      </c>
    </row>
    <row r="535" spans="1:11" x14ac:dyDescent="0.35">
      <c r="A535" t="s">
        <v>546</v>
      </c>
      <c r="B535">
        <v>5</v>
      </c>
      <c r="C535">
        <v>138761974.80000001</v>
      </c>
      <c r="D535">
        <v>0.6</v>
      </c>
      <c r="E535">
        <v>249163875.30000001</v>
      </c>
      <c r="F535">
        <v>-166088912.19999999</v>
      </c>
      <c r="G535">
        <v>3</v>
      </c>
      <c r="H535">
        <v>4</v>
      </c>
      <c r="I535">
        <v>5</v>
      </c>
      <c r="J535">
        <v>3.7</v>
      </c>
      <c r="K535" t="s">
        <v>306</v>
      </c>
    </row>
    <row r="536" spans="1:11" x14ac:dyDescent="0.35">
      <c r="A536" t="s">
        <v>547</v>
      </c>
      <c r="B536">
        <v>5</v>
      </c>
      <c r="C536">
        <v>322142339.60000002</v>
      </c>
      <c r="D536">
        <v>0.8</v>
      </c>
      <c r="E536">
        <v>279569070</v>
      </c>
      <c r="F536">
        <v>-159123917.09999999</v>
      </c>
      <c r="G536">
        <v>3</v>
      </c>
      <c r="H536">
        <v>4</v>
      </c>
      <c r="I536">
        <v>5</v>
      </c>
      <c r="J536">
        <v>3.7</v>
      </c>
      <c r="K536" t="s">
        <v>306</v>
      </c>
    </row>
    <row r="537" spans="1:11" x14ac:dyDescent="0.35">
      <c r="A537" t="s">
        <v>548</v>
      </c>
      <c r="B537">
        <v>5</v>
      </c>
      <c r="C537">
        <v>-16152518.439999999</v>
      </c>
      <c r="D537">
        <v>0.6</v>
      </c>
      <c r="E537">
        <v>142158025.90000001</v>
      </c>
      <c r="F537">
        <v>-160302257.80000001</v>
      </c>
      <c r="G537">
        <v>3</v>
      </c>
      <c r="H537">
        <v>4</v>
      </c>
      <c r="I537">
        <v>5</v>
      </c>
      <c r="J537">
        <v>3.7</v>
      </c>
      <c r="K537" t="s">
        <v>306</v>
      </c>
    </row>
    <row r="538" spans="1:11" x14ac:dyDescent="0.35">
      <c r="A538" t="s">
        <v>549</v>
      </c>
      <c r="B538">
        <v>5</v>
      </c>
      <c r="C538">
        <v>152392205.69999999</v>
      </c>
      <c r="D538">
        <v>0.8</v>
      </c>
      <c r="E538">
        <v>137683924.40000001</v>
      </c>
      <c r="F538">
        <v>-128836917.09999999</v>
      </c>
      <c r="G538">
        <v>3</v>
      </c>
      <c r="H538">
        <v>4</v>
      </c>
      <c r="I538">
        <v>5</v>
      </c>
      <c r="J538">
        <v>3.7</v>
      </c>
      <c r="K538" t="s">
        <v>306</v>
      </c>
    </row>
    <row r="539" spans="1:11" x14ac:dyDescent="0.35">
      <c r="A539" t="s">
        <v>550</v>
      </c>
      <c r="B539">
        <v>5</v>
      </c>
      <c r="C539">
        <v>244709720.80000001</v>
      </c>
      <c r="D539">
        <v>0.8</v>
      </c>
      <c r="E539">
        <v>277490782.69999999</v>
      </c>
      <c r="F539">
        <v>-132860548.5</v>
      </c>
      <c r="G539">
        <v>3</v>
      </c>
      <c r="H539">
        <v>4</v>
      </c>
      <c r="I539">
        <v>5</v>
      </c>
      <c r="J539">
        <v>3.7</v>
      </c>
      <c r="K539" t="s">
        <v>306</v>
      </c>
    </row>
    <row r="540" spans="1:11" x14ac:dyDescent="0.35">
      <c r="A540" t="s">
        <v>551</v>
      </c>
      <c r="B540">
        <v>5</v>
      </c>
      <c r="C540">
        <v>56808491.159999996</v>
      </c>
      <c r="D540">
        <v>0.6</v>
      </c>
      <c r="E540">
        <v>128204195.2</v>
      </c>
      <c r="F540">
        <v>-139288515.5</v>
      </c>
      <c r="G540">
        <v>3</v>
      </c>
      <c r="H540">
        <v>4</v>
      </c>
      <c r="I540">
        <v>5</v>
      </c>
      <c r="J540">
        <v>3.7</v>
      </c>
      <c r="K540" t="s">
        <v>306</v>
      </c>
    </row>
    <row r="541" spans="1:11" x14ac:dyDescent="0.35">
      <c r="A541" t="s">
        <v>552</v>
      </c>
      <c r="B541">
        <v>5</v>
      </c>
      <c r="C541">
        <v>-16695217.220000001</v>
      </c>
      <c r="D541">
        <v>0.6</v>
      </c>
      <c r="E541">
        <v>173263565.19999999</v>
      </c>
      <c r="F541">
        <v>-130899564.40000001</v>
      </c>
      <c r="G541">
        <v>3</v>
      </c>
      <c r="H541">
        <v>4</v>
      </c>
      <c r="I541">
        <v>5</v>
      </c>
      <c r="J541">
        <v>3.7</v>
      </c>
      <c r="K541" t="s">
        <v>306</v>
      </c>
    </row>
    <row r="542" spans="1:11" x14ac:dyDescent="0.35">
      <c r="A542" t="s">
        <v>553</v>
      </c>
      <c r="B542">
        <v>5</v>
      </c>
      <c r="C542">
        <v>-32909807.300000001</v>
      </c>
      <c r="D542">
        <v>0.4</v>
      </c>
      <c r="E542">
        <v>136277226.59999999</v>
      </c>
      <c r="F542">
        <v>-170252148.69999999</v>
      </c>
      <c r="G542">
        <v>3</v>
      </c>
      <c r="H542">
        <v>4</v>
      </c>
      <c r="I542">
        <v>5</v>
      </c>
      <c r="J542">
        <v>3.7</v>
      </c>
      <c r="K542" t="s">
        <v>306</v>
      </c>
    </row>
    <row r="543" spans="1:11" x14ac:dyDescent="0.35">
      <c r="A543" t="s">
        <v>554</v>
      </c>
      <c r="B543">
        <v>5</v>
      </c>
      <c r="C543">
        <v>35096834.840000004</v>
      </c>
      <c r="D543">
        <v>0.6</v>
      </c>
      <c r="E543">
        <v>187587993.90000001</v>
      </c>
      <c r="F543">
        <v>-176819764.5</v>
      </c>
      <c r="G543">
        <v>3</v>
      </c>
      <c r="H543">
        <v>4</v>
      </c>
      <c r="I543">
        <v>5</v>
      </c>
      <c r="J543">
        <v>3.7</v>
      </c>
      <c r="K543" t="s">
        <v>306</v>
      </c>
    </row>
    <row r="544" spans="1:11" x14ac:dyDescent="0.35">
      <c r="A544" t="s">
        <v>555</v>
      </c>
      <c r="B544">
        <v>5</v>
      </c>
      <c r="C544">
        <v>91724229.579999998</v>
      </c>
      <c r="D544">
        <v>0.6</v>
      </c>
      <c r="E544">
        <v>239311710</v>
      </c>
      <c r="F544">
        <v>-182063699.5</v>
      </c>
      <c r="G544">
        <v>3</v>
      </c>
      <c r="H544">
        <v>4</v>
      </c>
      <c r="I544">
        <v>5</v>
      </c>
      <c r="J544">
        <v>3.7</v>
      </c>
      <c r="K544" t="s">
        <v>306</v>
      </c>
    </row>
    <row r="545" spans="1:11" x14ac:dyDescent="0.35">
      <c r="A545" t="s">
        <v>556</v>
      </c>
      <c r="B545">
        <v>5</v>
      </c>
      <c r="C545">
        <v>29349702.100000001</v>
      </c>
      <c r="D545">
        <v>0.6</v>
      </c>
      <c r="E545">
        <v>114041150.7</v>
      </c>
      <c r="F545">
        <v>-208611090.80000001</v>
      </c>
      <c r="G545">
        <v>3</v>
      </c>
      <c r="H545">
        <v>4</v>
      </c>
      <c r="I545">
        <v>5</v>
      </c>
      <c r="J545">
        <v>3.7</v>
      </c>
      <c r="K545" t="s">
        <v>306</v>
      </c>
    </row>
    <row r="546" spans="1:11" x14ac:dyDescent="0.35">
      <c r="A546" t="s">
        <v>557</v>
      </c>
      <c r="B546">
        <v>5</v>
      </c>
      <c r="C546">
        <v>-23869866.66</v>
      </c>
      <c r="D546">
        <v>0.6</v>
      </c>
      <c r="E546">
        <v>159671223.09999999</v>
      </c>
      <c r="F546">
        <v>-224465524.59999999</v>
      </c>
      <c r="G546">
        <v>3</v>
      </c>
      <c r="H546">
        <v>4</v>
      </c>
      <c r="I546">
        <v>5</v>
      </c>
      <c r="J546">
        <v>3.7</v>
      </c>
      <c r="K546" t="s">
        <v>306</v>
      </c>
    </row>
    <row r="547" spans="1:11" x14ac:dyDescent="0.35">
      <c r="A547" t="s">
        <v>558</v>
      </c>
      <c r="B547">
        <v>5</v>
      </c>
      <c r="C547">
        <v>-41719011.920000002</v>
      </c>
      <c r="D547">
        <v>0.4</v>
      </c>
      <c r="E547">
        <v>138302024.90000001</v>
      </c>
      <c r="F547">
        <v>-237565858.59999999</v>
      </c>
      <c r="G547">
        <v>3</v>
      </c>
      <c r="H547">
        <v>4</v>
      </c>
      <c r="I547">
        <v>5</v>
      </c>
      <c r="J547">
        <v>3.7</v>
      </c>
      <c r="K547" t="s">
        <v>306</v>
      </c>
    </row>
    <row r="548" spans="1:11" x14ac:dyDescent="0.35">
      <c r="A548" t="s">
        <v>559</v>
      </c>
      <c r="B548">
        <v>5</v>
      </c>
      <c r="C548">
        <v>-8719597.3399999999</v>
      </c>
      <c r="D548">
        <v>0.4</v>
      </c>
      <c r="E548">
        <v>36379377.060000002</v>
      </c>
      <c r="F548">
        <v>-98629787.200000003</v>
      </c>
      <c r="G548">
        <v>4</v>
      </c>
      <c r="H548">
        <v>2</v>
      </c>
      <c r="I548">
        <v>5</v>
      </c>
      <c r="J548">
        <v>3.6</v>
      </c>
      <c r="K548" t="s">
        <v>306</v>
      </c>
    </row>
    <row r="549" spans="1:11" x14ac:dyDescent="0.35">
      <c r="A549" t="s">
        <v>560</v>
      </c>
      <c r="B549">
        <v>5</v>
      </c>
      <c r="C549">
        <v>-17004849.100000001</v>
      </c>
      <c r="D549">
        <v>0.4</v>
      </c>
      <c r="E549">
        <v>40231173.68</v>
      </c>
      <c r="F549">
        <v>-107864745.90000001</v>
      </c>
      <c r="G549">
        <v>4</v>
      </c>
      <c r="H549">
        <v>2</v>
      </c>
      <c r="I549">
        <v>5</v>
      </c>
      <c r="J549">
        <v>3.6</v>
      </c>
      <c r="K549" t="s">
        <v>306</v>
      </c>
    </row>
    <row r="550" spans="1:11" x14ac:dyDescent="0.35">
      <c r="A550" t="s">
        <v>561</v>
      </c>
      <c r="B550">
        <v>5</v>
      </c>
      <c r="C550">
        <v>-66399002.899999999</v>
      </c>
      <c r="D550">
        <v>0</v>
      </c>
      <c r="E550">
        <v>41790077.060000002</v>
      </c>
      <c r="F550">
        <v>-105772703.09999999</v>
      </c>
      <c r="G550">
        <v>4</v>
      </c>
      <c r="H550">
        <v>2</v>
      </c>
      <c r="I550">
        <v>5</v>
      </c>
      <c r="J550">
        <v>3.6</v>
      </c>
      <c r="K550" t="s">
        <v>306</v>
      </c>
    </row>
    <row r="551" spans="1:11" x14ac:dyDescent="0.35">
      <c r="A551" t="s">
        <v>562</v>
      </c>
      <c r="B551">
        <v>5</v>
      </c>
      <c r="C551">
        <v>-70446034.680000007</v>
      </c>
      <c r="D551">
        <v>0</v>
      </c>
      <c r="E551">
        <v>39548415.710000001</v>
      </c>
      <c r="F551">
        <v>-85970597.5</v>
      </c>
      <c r="G551">
        <v>4</v>
      </c>
      <c r="H551">
        <v>2</v>
      </c>
      <c r="I551">
        <v>5</v>
      </c>
      <c r="J551">
        <v>3.6</v>
      </c>
      <c r="K551" t="s">
        <v>306</v>
      </c>
    </row>
    <row r="552" spans="1:11" x14ac:dyDescent="0.35">
      <c r="A552" t="s">
        <v>563</v>
      </c>
      <c r="B552">
        <v>5</v>
      </c>
      <c r="C552">
        <v>-24149761.640000001</v>
      </c>
      <c r="D552">
        <v>0.2</v>
      </c>
      <c r="E552">
        <v>34008284.600000001</v>
      </c>
      <c r="F552">
        <v>-86196292.900000006</v>
      </c>
      <c r="G552">
        <v>4</v>
      </c>
      <c r="H552">
        <v>2</v>
      </c>
      <c r="I552">
        <v>5</v>
      </c>
      <c r="J552">
        <v>3.6</v>
      </c>
      <c r="K552" t="s">
        <v>306</v>
      </c>
    </row>
    <row r="553" spans="1:11" x14ac:dyDescent="0.35">
      <c r="A553" t="s">
        <v>564</v>
      </c>
      <c r="B553">
        <v>5</v>
      </c>
      <c r="C553">
        <v>-80503610.219999999</v>
      </c>
      <c r="D553">
        <v>0</v>
      </c>
      <c r="E553">
        <v>40045477.399999999</v>
      </c>
      <c r="F553">
        <v>-86365452.599999994</v>
      </c>
      <c r="G553">
        <v>4</v>
      </c>
      <c r="H553">
        <v>2</v>
      </c>
      <c r="I553">
        <v>5</v>
      </c>
      <c r="J553">
        <v>3.6</v>
      </c>
      <c r="K553" t="s">
        <v>306</v>
      </c>
    </row>
    <row r="554" spans="1:11" x14ac:dyDescent="0.35">
      <c r="A554" t="s">
        <v>565</v>
      </c>
      <c r="B554">
        <v>5</v>
      </c>
      <c r="C554">
        <v>-30370825.84</v>
      </c>
      <c r="D554">
        <v>0.2</v>
      </c>
      <c r="E554">
        <v>35409265.649999999</v>
      </c>
      <c r="F554">
        <v>-82772895.299999997</v>
      </c>
      <c r="G554">
        <v>4</v>
      </c>
      <c r="H554">
        <v>2</v>
      </c>
      <c r="I554">
        <v>5</v>
      </c>
      <c r="J554">
        <v>3.6</v>
      </c>
      <c r="K554" t="s">
        <v>306</v>
      </c>
    </row>
    <row r="555" spans="1:11" x14ac:dyDescent="0.35">
      <c r="A555" t="s">
        <v>566</v>
      </c>
      <c r="B555">
        <v>5</v>
      </c>
      <c r="C555">
        <v>-160636731.5</v>
      </c>
      <c r="D555">
        <v>0</v>
      </c>
      <c r="E555">
        <v>42234914.140000001</v>
      </c>
      <c r="F555">
        <v>-90533530.200000003</v>
      </c>
      <c r="G555">
        <v>4</v>
      </c>
      <c r="H555">
        <v>2</v>
      </c>
      <c r="I555">
        <v>5</v>
      </c>
      <c r="J555">
        <v>3.6</v>
      </c>
      <c r="K555" t="s">
        <v>306</v>
      </c>
    </row>
    <row r="556" spans="1:11" x14ac:dyDescent="0.35">
      <c r="A556" t="s">
        <v>567</v>
      </c>
      <c r="B556">
        <v>5</v>
      </c>
      <c r="C556">
        <v>-101365819.09999999</v>
      </c>
      <c r="D556">
        <v>0</v>
      </c>
      <c r="E556">
        <v>35976955.829999998</v>
      </c>
      <c r="F556">
        <v>-91565037.900000006</v>
      </c>
      <c r="G556">
        <v>4</v>
      </c>
      <c r="H556">
        <v>2</v>
      </c>
      <c r="I556">
        <v>5</v>
      </c>
      <c r="J556">
        <v>3.6</v>
      </c>
      <c r="K556" t="s">
        <v>306</v>
      </c>
    </row>
    <row r="557" spans="1:11" x14ac:dyDescent="0.35">
      <c r="A557" t="s">
        <v>568</v>
      </c>
      <c r="B557">
        <v>5</v>
      </c>
      <c r="C557">
        <v>-28760143.52</v>
      </c>
      <c r="D557">
        <v>0</v>
      </c>
      <c r="E557">
        <v>15350671.210000001</v>
      </c>
      <c r="F557">
        <v>-40887513.200000003</v>
      </c>
      <c r="G557">
        <v>5</v>
      </c>
      <c r="H557">
        <v>1</v>
      </c>
      <c r="I557">
        <v>4</v>
      </c>
      <c r="J557">
        <v>3.6</v>
      </c>
      <c r="K557" t="s">
        <v>306</v>
      </c>
    </row>
    <row r="558" spans="1:11" x14ac:dyDescent="0.35">
      <c r="A558" t="s">
        <v>569</v>
      </c>
      <c r="B558">
        <v>5</v>
      </c>
      <c r="C558">
        <v>-4491467.3600000003</v>
      </c>
      <c r="D558">
        <v>0</v>
      </c>
      <c r="E558">
        <v>2888899.7370000002</v>
      </c>
      <c r="F558">
        <v>-6662190</v>
      </c>
      <c r="G558">
        <v>5</v>
      </c>
      <c r="H558">
        <v>1</v>
      </c>
      <c r="I558">
        <v>4</v>
      </c>
      <c r="J558">
        <v>3.6</v>
      </c>
      <c r="K558" t="s">
        <v>306</v>
      </c>
    </row>
    <row r="559" spans="1:11" x14ac:dyDescent="0.35">
      <c r="A559" t="s">
        <v>570</v>
      </c>
      <c r="B559">
        <v>5</v>
      </c>
      <c r="C559">
        <v>-13215834.279999999</v>
      </c>
      <c r="D559">
        <v>0</v>
      </c>
      <c r="E559">
        <v>14699647.35</v>
      </c>
      <c r="F559">
        <v>-5952358.2999999998</v>
      </c>
      <c r="G559">
        <v>5</v>
      </c>
      <c r="H559">
        <v>1</v>
      </c>
      <c r="I559">
        <v>4</v>
      </c>
      <c r="J559">
        <v>3.6</v>
      </c>
      <c r="K559" t="s">
        <v>306</v>
      </c>
    </row>
    <row r="560" spans="1:11" x14ac:dyDescent="0.35">
      <c r="A560" t="s">
        <v>571</v>
      </c>
      <c r="B560">
        <v>5</v>
      </c>
      <c r="C560">
        <v>-6760960.0999999996</v>
      </c>
      <c r="D560">
        <v>0</v>
      </c>
      <c r="E560">
        <v>2403220.4160000002</v>
      </c>
      <c r="F560">
        <v>-5866982.2999999998</v>
      </c>
      <c r="G560">
        <v>5</v>
      </c>
      <c r="H560">
        <v>1</v>
      </c>
      <c r="I560">
        <v>4</v>
      </c>
      <c r="J560">
        <v>3.6</v>
      </c>
      <c r="K560" t="s">
        <v>306</v>
      </c>
    </row>
    <row r="561" spans="1:11" x14ac:dyDescent="0.35">
      <c r="A561" t="s">
        <v>572</v>
      </c>
      <c r="B561">
        <v>5</v>
      </c>
      <c r="C561">
        <v>-7562062.2999999998</v>
      </c>
      <c r="D561">
        <v>0</v>
      </c>
      <c r="E561">
        <v>5405629.7989999996</v>
      </c>
      <c r="F561">
        <v>-5923703.5999999996</v>
      </c>
      <c r="G561">
        <v>5</v>
      </c>
      <c r="H561">
        <v>1</v>
      </c>
      <c r="I561">
        <v>4</v>
      </c>
      <c r="J561">
        <v>3.6</v>
      </c>
      <c r="K561" t="s">
        <v>306</v>
      </c>
    </row>
    <row r="562" spans="1:11" x14ac:dyDescent="0.35">
      <c r="A562" t="s">
        <v>573</v>
      </c>
      <c r="B562">
        <v>5</v>
      </c>
      <c r="C562">
        <v>-5310971.96</v>
      </c>
      <c r="D562">
        <v>0</v>
      </c>
      <c r="E562">
        <v>3068655.9879999999</v>
      </c>
      <c r="F562">
        <v>-5703550.0999999996</v>
      </c>
      <c r="G562">
        <v>5</v>
      </c>
      <c r="H562">
        <v>1</v>
      </c>
      <c r="I562">
        <v>4</v>
      </c>
      <c r="J562">
        <v>3.6</v>
      </c>
      <c r="K562" t="s">
        <v>306</v>
      </c>
    </row>
    <row r="563" spans="1:11" x14ac:dyDescent="0.35">
      <c r="A563" t="s">
        <v>574</v>
      </c>
      <c r="B563">
        <v>5</v>
      </c>
      <c r="C563">
        <v>-52237326.200000003</v>
      </c>
      <c r="D563">
        <v>0</v>
      </c>
      <c r="E563">
        <v>3687266.4180000001</v>
      </c>
      <c r="F563">
        <v>-5346848.3</v>
      </c>
      <c r="G563">
        <v>5</v>
      </c>
      <c r="H563">
        <v>1</v>
      </c>
      <c r="I563">
        <v>4</v>
      </c>
      <c r="J563">
        <v>3.6</v>
      </c>
      <c r="K563" t="s">
        <v>306</v>
      </c>
    </row>
    <row r="564" spans="1:11" x14ac:dyDescent="0.35">
      <c r="A564" t="s">
        <v>575</v>
      </c>
      <c r="B564">
        <v>5</v>
      </c>
      <c r="C564">
        <v>-21151258.539999999</v>
      </c>
      <c r="D564">
        <v>0</v>
      </c>
      <c r="E564">
        <v>2318277.1469999999</v>
      </c>
      <c r="F564">
        <v>-5356484.2</v>
      </c>
      <c r="G564">
        <v>5</v>
      </c>
      <c r="H564">
        <v>1</v>
      </c>
      <c r="I564">
        <v>4</v>
      </c>
      <c r="J564">
        <v>3.6</v>
      </c>
      <c r="K564" t="s">
        <v>306</v>
      </c>
    </row>
    <row r="565" spans="1:11" x14ac:dyDescent="0.35">
      <c r="A565" t="s">
        <v>576</v>
      </c>
      <c r="B565">
        <v>5</v>
      </c>
      <c r="C565">
        <v>-28960224.859999999</v>
      </c>
      <c r="D565">
        <v>0</v>
      </c>
      <c r="E565">
        <v>8923213.8959999997</v>
      </c>
      <c r="F565">
        <v>-14538602.199999999</v>
      </c>
      <c r="G565">
        <v>5</v>
      </c>
      <c r="H565">
        <v>1</v>
      </c>
      <c r="I565">
        <v>4</v>
      </c>
      <c r="J565">
        <v>3.6</v>
      </c>
      <c r="K565" t="s">
        <v>306</v>
      </c>
    </row>
    <row r="566" spans="1:11" x14ac:dyDescent="0.35">
      <c r="A566" t="s">
        <v>577</v>
      </c>
      <c r="B566">
        <v>5</v>
      </c>
      <c r="C566">
        <v>-46740433.100000001</v>
      </c>
      <c r="D566">
        <v>0</v>
      </c>
      <c r="E566">
        <v>6454519.3109999998</v>
      </c>
      <c r="F566">
        <v>-14570931.6</v>
      </c>
      <c r="G566">
        <v>5</v>
      </c>
      <c r="H566">
        <v>1</v>
      </c>
      <c r="I566">
        <v>4</v>
      </c>
      <c r="J566">
        <v>3.6</v>
      </c>
      <c r="K566" t="s">
        <v>306</v>
      </c>
    </row>
    <row r="567" spans="1:11" x14ac:dyDescent="0.35">
      <c r="A567" t="s">
        <v>578</v>
      </c>
      <c r="B567">
        <v>5</v>
      </c>
      <c r="C567">
        <v>-37409915.920000002</v>
      </c>
      <c r="D567">
        <v>0</v>
      </c>
      <c r="E567">
        <v>14648745.25</v>
      </c>
      <c r="F567">
        <v>-14014834.699999999</v>
      </c>
      <c r="G567">
        <v>5</v>
      </c>
      <c r="H567">
        <v>1</v>
      </c>
      <c r="I567">
        <v>4</v>
      </c>
      <c r="J567">
        <v>3.6</v>
      </c>
      <c r="K567" t="s">
        <v>306</v>
      </c>
    </row>
    <row r="568" spans="1:11" x14ac:dyDescent="0.35">
      <c r="A568" t="s">
        <v>579</v>
      </c>
      <c r="B568">
        <v>5</v>
      </c>
      <c r="C568">
        <v>-13102327.199999999</v>
      </c>
      <c r="D568">
        <v>0</v>
      </c>
      <c r="E568">
        <v>12538172.199999999</v>
      </c>
      <c r="F568">
        <v>-14736912.4</v>
      </c>
      <c r="G568">
        <v>5</v>
      </c>
      <c r="H568">
        <v>1</v>
      </c>
      <c r="I568">
        <v>4</v>
      </c>
      <c r="J568">
        <v>3.6</v>
      </c>
      <c r="K568" t="s">
        <v>306</v>
      </c>
    </row>
    <row r="569" spans="1:11" x14ac:dyDescent="0.35">
      <c r="A569" t="s">
        <v>580</v>
      </c>
      <c r="B569">
        <v>5</v>
      </c>
      <c r="C569">
        <v>-8340363.5199999996</v>
      </c>
      <c r="D569">
        <v>0</v>
      </c>
      <c r="E569">
        <v>8153687.8470000001</v>
      </c>
      <c r="F569">
        <v>-14205140.5</v>
      </c>
      <c r="G569">
        <v>5</v>
      </c>
      <c r="H569">
        <v>1</v>
      </c>
      <c r="I569">
        <v>4</v>
      </c>
      <c r="J569">
        <v>3.6</v>
      </c>
      <c r="K569" t="s">
        <v>306</v>
      </c>
    </row>
    <row r="570" spans="1:11" x14ac:dyDescent="0.35">
      <c r="A570" t="s">
        <v>581</v>
      </c>
      <c r="B570">
        <v>5</v>
      </c>
      <c r="C570">
        <v>-38110932.659999996</v>
      </c>
      <c r="D570">
        <v>0</v>
      </c>
      <c r="E570">
        <v>9570323.6270000003</v>
      </c>
      <c r="F570">
        <v>-13685368</v>
      </c>
      <c r="G570">
        <v>5</v>
      </c>
      <c r="H570">
        <v>1</v>
      </c>
      <c r="I570">
        <v>4</v>
      </c>
      <c r="J570">
        <v>3.6</v>
      </c>
      <c r="K570" t="s">
        <v>306</v>
      </c>
    </row>
    <row r="571" spans="1:11" x14ac:dyDescent="0.35">
      <c r="A571" t="s">
        <v>582</v>
      </c>
      <c r="B571">
        <v>5</v>
      </c>
      <c r="C571">
        <v>-41343295.219999999</v>
      </c>
      <c r="D571">
        <v>0</v>
      </c>
      <c r="E571">
        <v>11168821.66</v>
      </c>
      <c r="F571">
        <v>-13877698</v>
      </c>
      <c r="G571">
        <v>5</v>
      </c>
      <c r="H571">
        <v>1</v>
      </c>
      <c r="I571">
        <v>4</v>
      </c>
      <c r="J571">
        <v>3.6</v>
      </c>
      <c r="K571" t="s">
        <v>306</v>
      </c>
    </row>
    <row r="572" spans="1:11" x14ac:dyDescent="0.35">
      <c r="A572" t="s">
        <v>583</v>
      </c>
      <c r="B572">
        <v>5</v>
      </c>
      <c r="C572">
        <v>-10213913.26</v>
      </c>
      <c r="D572">
        <v>0</v>
      </c>
      <c r="E572">
        <v>5790582.7800000003</v>
      </c>
      <c r="F572">
        <v>-13172302</v>
      </c>
      <c r="G572">
        <v>5</v>
      </c>
      <c r="H572">
        <v>1</v>
      </c>
      <c r="I572">
        <v>4</v>
      </c>
      <c r="J572">
        <v>3.6</v>
      </c>
      <c r="K572" t="s">
        <v>306</v>
      </c>
    </row>
    <row r="573" spans="1:11" x14ac:dyDescent="0.35">
      <c r="A573" t="s">
        <v>584</v>
      </c>
      <c r="B573">
        <v>5</v>
      </c>
      <c r="C573">
        <v>-27506482.18</v>
      </c>
      <c r="D573">
        <v>0</v>
      </c>
      <c r="E573">
        <v>11784016.25</v>
      </c>
      <c r="F573">
        <v>-13725291.800000001</v>
      </c>
      <c r="G573">
        <v>5</v>
      </c>
      <c r="H573">
        <v>1</v>
      </c>
      <c r="I573">
        <v>4</v>
      </c>
      <c r="J573">
        <v>3.6</v>
      </c>
      <c r="K573" t="s">
        <v>306</v>
      </c>
    </row>
    <row r="574" spans="1:11" x14ac:dyDescent="0.35">
      <c r="A574" t="s">
        <v>585</v>
      </c>
      <c r="B574">
        <v>5</v>
      </c>
      <c r="C574">
        <v>-19941165.199999999</v>
      </c>
      <c r="D574">
        <v>0</v>
      </c>
      <c r="E574">
        <v>5154231.727</v>
      </c>
      <c r="F574">
        <v>-12913167.6</v>
      </c>
      <c r="G574">
        <v>5</v>
      </c>
      <c r="H574">
        <v>1</v>
      </c>
      <c r="I574">
        <v>4</v>
      </c>
      <c r="J574">
        <v>3.6</v>
      </c>
      <c r="K574" t="s">
        <v>306</v>
      </c>
    </row>
    <row r="575" spans="1:11" x14ac:dyDescent="0.35">
      <c r="A575" t="s">
        <v>586</v>
      </c>
      <c r="B575">
        <v>5</v>
      </c>
      <c r="C575">
        <v>-19161328.620000001</v>
      </c>
      <c r="D575">
        <v>0</v>
      </c>
      <c r="E575">
        <v>6958193.2050000001</v>
      </c>
      <c r="F575">
        <v>-16701139.9</v>
      </c>
      <c r="G575">
        <v>5</v>
      </c>
      <c r="H575">
        <v>1</v>
      </c>
      <c r="I575">
        <v>4</v>
      </c>
      <c r="J575">
        <v>3.6</v>
      </c>
      <c r="K575" t="s">
        <v>306</v>
      </c>
    </row>
    <row r="576" spans="1:11" x14ac:dyDescent="0.35">
      <c r="A576" t="s">
        <v>587</v>
      </c>
      <c r="B576">
        <v>5</v>
      </c>
      <c r="C576">
        <v>-21438357</v>
      </c>
      <c r="D576">
        <v>0</v>
      </c>
      <c r="E576">
        <v>12329109.25</v>
      </c>
      <c r="F576">
        <v>-16883447.199999999</v>
      </c>
      <c r="G576">
        <v>5</v>
      </c>
      <c r="H576">
        <v>1</v>
      </c>
      <c r="I576">
        <v>4</v>
      </c>
      <c r="J576">
        <v>3.6</v>
      </c>
      <c r="K576" t="s">
        <v>306</v>
      </c>
    </row>
    <row r="577" spans="1:11" x14ac:dyDescent="0.35">
      <c r="A577" t="s">
        <v>588</v>
      </c>
      <c r="B577">
        <v>5</v>
      </c>
      <c r="C577">
        <v>-24374666.699999999</v>
      </c>
      <c r="D577">
        <v>0</v>
      </c>
      <c r="E577">
        <v>8766722.4039999992</v>
      </c>
      <c r="F577">
        <v>-16894875.899999999</v>
      </c>
      <c r="G577">
        <v>5</v>
      </c>
      <c r="H577">
        <v>1</v>
      </c>
      <c r="I577">
        <v>4</v>
      </c>
      <c r="J577">
        <v>3.6</v>
      </c>
      <c r="K577" t="s">
        <v>306</v>
      </c>
    </row>
    <row r="578" spans="1:11" x14ac:dyDescent="0.35">
      <c r="A578" t="s">
        <v>589</v>
      </c>
      <c r="B578">
        <v>5</v>
      </c>
      <c r="C578">
        <v>-24850682.859999999</v>
      </c>
      <c r="D578">
        <v>0</v>
      </c>
      <c r="E578">
        <v>8786079.6219999995</v>
      </c>
      <c r="F578">
        <v>-17189800.199999999</v>
      </c>
      <c r="G578">
        <v>5</v>
      </c>
      <c r="H578">
        <v>1</v>
      </c>
      <c r="I578">
        <v>4</v>
      </c>
      <c r="J578">
        <v>3.6</v>
      </c>
      <c r="K578" t="s">
        <v>306</v>
      </c>
    </row>
    <row r="579" spans="1:11" x14ac:dyDescent="0.35">
      <c r="A579" t="s">
        <v>590</v>
      </c>
      <c r="B579">
        <v>5</v>
      </c>
      <c r="C579">
        <v>-17271881.379999999</v>
      </c>
      <c r="D579">
        <v>0</v>
      </c>
      <c r="E579">
        <v>8814810.8129999992</v>
      </c>
      <c r="F579">
        <v>-17221491</v>
      </c>
      <c r="G579">
        <v>5</v>
      </c>
      <c r="H579">
        <v>1</v>
      </c>
      <c r="I579">
        <v>4</v>
      </c>
      <c r="J579">
        <v>3.6</v>
      </c>
      <c r="K579" t="s">
        <v>306</v>
      </c>
    </row>
    <row r="580" spans="1:11" x14ac:dyDescent="0.35">
      <c r="A580" t="s">
        <v>591</v>
      </c>
      <c r="B580">
        <v>5</v>
      </c>
      <c r="C580">
        <v>-13172861.859999999</v>
      </c>
      <c r="D580">
        <v>0</v>
      </c>
      <c r="E580">
        <v>7220437.2539999997</v>
      </c>
      <c r="F580">
        <v>-17378827</v>
      </c>
      <c r="G580">
        <v>5</v>
      </c>
      <c r="H580">
        <v>1</v>
      </c>
      <c r="I580">
        <v>4</v>
      </c>
      <c r="J580">
        <v>3.6</v>
      </c>
      <c r="K580" t="s">
        <v>306</v>
      </c>
    </row>
    <row r="581" spans="1:11" x14ac:dyDescent="0.35">
      <c r="A581" t="s">
        <v>592</v>
      </c>
      <c r="B581">
        <v>5</v>
      </c>
      <c r="C581">
        <v>-42311562.060000002</v>
      </c>
      <c r="D581">
        <v>0</v>
      </c>
      <c r="E581">
        <v>11473612.59</v>
      </c>
      <c r="F581">
        <v>-15905809.800000001</v>
      </c>
      <c r="G581">
        <v>5</v>
      </c>
      <c r="H581">
        <v>1</v>
      </c>
      <c r="I581">
        <v>4</v>
      </c>
      <c r="J581">
        <v>3.6</v>
      </c>
      <c r="K581" t="s">
        <v>306</v>
      </c>
    </row>
    <row r="582" spans="1:11" x14ac:dyDescent="0.35">
      <c r="A582" t="s">
        <v>593</v>
      </c>
      <c r="B582">
        <v>5</v>
      </c>
      <c r="C582">
        <v>-11641859.380000001</v>
      </c>
      <c r="D582">
        <v>0</v>
      </c>
      <c r="E582">
        <v>11554740.380000001</v>
      </c>
      <c r="F582">
        <v>-15959322</v>
      </c>
      <c r="G582">
        <v>5</v>
      </c>
      <c r="H582">
        <v>1</v>
      </c>
      <c r="I582">
        <v>4</v>
      </c>
      <c r="J582">
        <v>3.6</v>
      </c>
      <c r="K582" t="s">
        <v>306</v>
      </c>
    </row>
    <row r="583" spans="1:11" x14ac:dyDescent="0.35">
      <c r="A583" t="s">
        <v>594</v>
      </c>
      <c r="B583">
        <v>5</v>
      </c>
      <c r="C583">
        <v>-16522473</v>
      </c>
      <c r="D583">
        <v>0</v>
      </c>
      <c r="E583">
        <v>7725065.949</v>
      </c>
      <c r="F583">
        <v>-15589324.699999999</v>
      </c>
      <c r="G583">
        <v>5</v>
      </c>
      <c r="H583">
        <v>1</v>
      </c>
      <c r="I583">
        <v>4</v>
      </c>
      <c r="J583">
        <v>3.6</v>
      </c>
      <c r="K583" t="s">
        <v>306</v>
      </c>
    </row>
    <row r="584" spans="1:11" x14ac:dyDescent="0.35">
      <c r="A584" t="s">
        <v>595</v>
      </c>
      <c r="B584">
        <v>5</v>
      </c>
      <c r="C584">
        <v>-21110954.18</v>
      </c>
      <c r="D584">
        <v>0</v>
      </c>
      <c r="E584">
        <v>7304752.3849999998</v>
      </c>
      <c r="F584">
        <v>-15652044.6</v>
      </c>
      <c r="G584">
        <v>5</v>
      </c>
      <c r="H584">
        <v>1</v>
      </c>
      <c r="I584">
        <v>4</v>
      </c>
      <c r="J584">
        <v>3.6</v>
      </c>
      <c r="K584" t="s">
        <v>306</v>
      </c>
    </row>
    <row r="585" spans="1:11" x14ac:dyDescent="0.35">
      <c r="A585" t="s">
        <v>596</v>
      </c>
      <c r="B585">
        <v>5</v>
      </c>
      <c r="C585">
        <v>-15465167.4</v>
      </c>
      <c r="D585">
        <v>0</v>
      </c>
      <c r="E585">
        <v>7144357.0939999996</v>
      </c>
      <c r="F585">
        <v>-15120334.300000001</v>
      </c>
      <c r="G585">
        <v>5</v>
      </c>
      <c r="H585">
        <v>1</v>
      </c>
      <c r="I585">
        <v>4</v>
      </c>
      <c r="J585">
        <v>3.6</v>
      </c>
      <c r="K585" t="s">
        <v>306</v>
      </c>
    </row>
    <row r="586" spans="1:11" x14ac:dyDescent="0.35">
      <c r="A586" t="s">
        <v>597</v>
      </c>
      <c r="B586">
        <v>5</v>
      </c>
      <c r="C586">
        <v>-18453867.739999998</v>
      </c>
      <c r="D586">
        <v>0</v>
      </c>
      <c r="E586">
        <v>7876348.6189999999</v>
      </c>
      <c r="F586">
        <v>-15167231.300000001</v>
      </c>
      <c r="G586">
        <v>5</v>
      </c>
      <c r="H586">
        <v>1</v>
      </c>
      <c r="I586">
        <v>4</v>
      </c>
      <c r="J586">
        <v>3.6</v>
      </c>
      <c r="K586" t="s">
        <v>306</v>
      </c>
    </row>
    <row r="587" spans="1:11" x14ac:dyDescent="0.35">
      <c r="A587" t="s">
        <v>598</v>
      </c>
      <c r="B587">
        <v>5</v>
      </c>
      <c r="C587">
        <v>-16539792.140000001</v>
      </c>
      <c r="D587">
        <v>0</v>
      </c>
      <c r="E587">
        <v>6651065.1289999997</v>
      </c>
      <c r="F587">
        <v>-15274361.5</v>
      </c>
      <c r="G587">
        <v>5</v>
      </c>
      <c r="H587">
        <v>1</v>
      </c>
      <c r="I587">
        <v>4</v>
      </c>
      <c r="J587">
        <v>3.6</v>
      </c>
      <c r="K587" t="s">
        <v>306</v>
      </c>
    </row>
    <row r="588" spans="1:11" x14ac:dyDescent="0.35">
      <c r="A588" t="s">
        <v>599</v>
      </c>
      <c r="B588">
        <v>5</v>
      </c>
      <c r="C588">
        <v>-11513782.32</v>
      </c>
      <c r="D588">
        <v>0</v>
      </c>
      <c r="E588">
        <v>7049591.1030000001</v>
      </c>
      <c r="F588">
        <v>-9191104.3000000007</v>
      </c>
      <c r="G588">
        <v>5</v>
      </c>
      <c r="H588">
        <v>1</v>
      </c>
      <c r="I588">
        <v>4</v>
      </c>
      <c r="J588">
        <v>3.6</v>
      </c>
      <c r="K588" t="s">
        <v>306</v>
      </c>
    </row>
    <row r="589" spans="1:11" x14ac:dyDescent="0.35">
      <c r="A589" t="s">
        <v>600</v>
      </c>
      <c r="B589">
        <v>5</v>
      </c>
      <c r="C589">
        <v>-22794469.100000001</v>
      </c>
      <c r="D589">
        <v>0</v>
      </c>
      <c r="E589">
        <v>9716435.5840000007</v>
      </c>
      <c r="F589">
        <v>-9592938.6999999993</v>
      </c>
      <c r="G589">
        <v>5</v>
      </c>
      <c r="H589">
        <v>1</v>
      </c>
      <c r="I589">
        <v>4</v>
      </c>
      <c r="J589">
        <v>3.6</v>
      </c>
      <c r="K589" t="s">
        <v>306</v>
      </c>
    </row>
    <row r="590" spans="1:11" x14ac:dyDescent="0.35">
      <c r="A590" t="s">
        <v>601</v>
      </c>
      <c r="B590">
        <v>5</v>
      </c>
      <c r="C590">
        <v>-24829216.68</v>
      </c>
      <c r="D590">
        <v>0</v>
      </c>
      <c r="E590">
        <v>11888565.49</v>
      </c>
      <c r="F590">
        <v>-10248641.6</v>
      </c>
      <c r="G590">
        <v>5</v>
      </c>
      <c r="H590">
        <v>1</v>
      </c>
      <c r="I590">
        <v>4</v>
      </c>
      <c r="J590">
        <v>3.6</v>
      </c>
      <c r="K590" t="s">
        <v>306</v>
      </c>
    </row>
    <row r="591" spans="1:11" x14ac:dyDescent="0.35">
      <c r="A591" t="s">
        <v>602</v>
      </c>
      <c r="B591">
        <v>5</v>
      </c>
      <c r="C591">
        <v>-23747996.600000001</v>
      </c>
      <c r="D591">
        <v>0</v>
      </c>
      <c r="E591">
        <v>5943069.5099999998</v>
      </c>
      <c r="F591">
        <v>-10378511.800000001</v>
      </c>
      <c r="G591">
        <v>5</v>
      </c>
      <c r="H591">
        <v>1</v>
      </c>
      <c r="I591">
        <v>4</v>
      </c>
      <c r="J591">
        <v>3.6</v>
      </c>
      <c r="K591" t="s">
        <v>306</v>
      </c>
    </row>
    <row r="592" spans="1:11" x14ac:dyDescent="0.35">
      <c r="A592" t="s">
        <v>603</v>
      </c>
      <c r="B592">
        <v>5</v>
      </c>
      <c r="C592">
        <v>-22533920.739999998</v>
      </c>
      <c r="D592">
        <v>0</v>
      </c>
      <c r="E592">
        <v>5060766.4579999996</v>
      </c>
      <c r="F592">
        <v>-10681415</v>
      </c>
      <c r="G592">
        <v>5</v>
      </c>
      <c r="H592">
        <v>1</v>
      </c>
      <c r="I592">
        <v>4</v>
      </c>
      <c r="J592">
        <v>3.6</v>
      </c>
      <c r="K592" t="s">
        <v>306</v>
      </c>
    </row>
    <row r="593" spans="1:11" x14ac:dyDescent="0.35">
      <c r="A593" t="s">
        <v>604</v>
      </c>
      <c r="B593">
        <v>5</v>
      </c>
      <c r="C593">
        <v>-10302502.42</v>
      </c>
      <c r="D593">
        <v>0</v>
      </c>
      <c r="E593">
        <v>7088772.6639999999</v>
      </c>
      <c r="F593">
        <v>-11594098.800000001</v>
      </c>
      <c r="G593">
        <v>5</v>
      </c>
      <c r="H593">
        <v>1</v>
      </c>
      <c r="I593">
        <v>4</v>
      </c>
      <c r="J593">
        <v>3.6</v>
      </c>
      <c r="K593" t="s">
        <v>306</v>
      </c>
    </row>
    <row r="594" spans="1:11" x14ac:dyDescent="0.35">
      <c r="A594" t="s">
        <v>605</v>
      </c>
      <c r="B594">
        <v>5</v>
      </c>
      <c r="C594">
        <v>-9747458.0199999996</v>
      </c>
      <c r="D594">
        <v>0</v>
      </c>
      <c r="E594">
        <v>4625667.432</v>
      </c>
      <c r="F594">
        <v>-7959032</v>
      </c>
      <c r="G594">
        <v>5</v>
      </c>
      <c r="H594">
        <v>1</v>
      </c>
      <c r="I594">
        <v>4</v>
      </c>
      <c r="J594">
        <v>3.6</v>
      </c>
      <c r="K594" t="s">
        <v>306</v>
      </c>
    </row>
    <row r="595" spans="1:11" x14ac:dyDescent="0.35">
      <c r="A595" t="s">
        <v>606</v>
      </c>
      <c r="B595">
        <v>5</v>
      </c>
      <c r="C595">
        <v>-24959283.879999999</v>
      </c>
      <c r="D595">
        <v>0</v>
      </c>
      <c r="E595">
        <v>15275483.68</v>
      </c>
      <c r="F595">
        <v>-8067412.5</v>
      </c>
      <c r="G595">
        <v>5</v>
      </c>
      <c r="H595">
        <v>1</v>
      </c>
      <c r="I595">
        <v>4</v>
      </c>
      <c r="J595">
        <v>3.6</v>
      </c>
      <c r="K595" t="s">
        <v>306</v>
      </c>
    </row>
    <row r="596" spans="1:11" x14ac:dyDescent="0.35">
      <c r="A596" t="s">
        <v>607</v>
      </c>
      <c r="B596">
        <v>5</v>
      </c>
      <c r="C596">
        <v>-15549530.76</v>
      </c>
      <c r="D596">
        <v>0</v>
      </c>
      <c r="E596">
        <v>3705214.6910000001</v>
      </c>
      <c r="F596">
        <v>-8129700.5999999996</v>
      </c>
      <c r="G596">
        <v>5</v>
      </c>
      <c r="H596">
        <v>1</v>
      </c>
      <c r="I596">
        <v>4</v>
      </c>
      <c r="J596">
        <v>3.6</v>
      </c>
      <c r="K596" t="s">
        <v>306</v>
      </c>
    </row>
    <row r="597" spans="1:11" x14ac:dyDescent="0.35">
      <c r="A597" t="s">
        <v>608</v>
      </c>
      <c r="B597">
        <v>5</v>
      </c>
      <c r="C597">
        <v>-5935633.5800000001</v>
      </c>
      <c r="D597">
        <v>0</v>
      </c>
      <c r="E597">
        <v>4178657.4810000001</v>
      </c>
      <c r="F597">
        <v>-8245876.7000000002</v>
      </c>
      <c r="G597">
        <v>5</v>
      </c>
      <c r="H597">
        <v>1</v>
      </c>
      <c r="I597">
        <v>4</v>
      </c>
      <c r="J597">
        <v>3.6</v>
      </c>
      <c r="K597" t="s">
        <v>306</v>
      </c>
    </row>
    <row r="598" spans="1:11" x14ac:dyDescent="0.35">
      <c r="A598" t="s">
        <v>609</v>
      </c>
      <c r="B598">
        <v>5</v>
      </c>
      <c r="C598">
        <v>-16341819.42</v>
      </c>
      <c r="D598">
        <v>0</v>
      </c>
      <c r="E598">
        <v>6337090.5980000002</v>
      </c>
      <c r="F598">
        <v>-8282362.4000000004</v>
      </c>
      <c r="G598">
        <v>5</v>
      </c>
      <c r="H598">
        <v>1</v>
      </c>
      <c r="I598">
        <v>4</v>
      </c>
      <c r="J598">
        <v>3.6</v>
      </c>
      <c r="K598" t="s">
        <v>306</v>
      </c>
    </row>
    <row r="599" spans="1:11" x14ac:dyDescent="0.35">
      <c r="A599" t="s">
        <v>610</v>
      </c>
      <c r="B599">
        <v>5</v>
      </c>
      <c r="C599">
        <v>-33783071.119999997</v>
      </c>
      <c r="D599">
        <v>0</v>
      </c>
      <c r="E599">
        <v>12696627.859999999</v>
      </c>
      <c r="F599">
        <v>-8298373.2999999998</v>
      </c>
      <c r="G599">
        <v>5</v>
      </c>
      <c r="H599">
        <v>1</v>
      </c>
      <c r="I599">
        <v>4</v>
      </c>
      <c r="J599">
        <v>3.6</v>
      </c>
      <c r="K599" t="s">
        <v>306</v>
      </c>
    </row>
    <row r="600" spans="1:11" x14ac:dyDescent="0.35">
      <c r="A600" t="s">
        <v>611</v>
      </c>
      <c r="B600">
        <v>5</v>
      </c>
      <c r="C600">
        <v>-52582748.340000004</v>
      </c>
      <c r="D600">
        <v>0</v>
      </c>
      <c r="E600">
        <v>8402120.4140000008</v>
      </c>
      <c r="F600">
        <v>-8418195.8000000007</v>
      </c>
      <c r="G600">
        <v>5</v>
      </c>
      <c r="H600">
        <v>1</v>
      </c>
      <c r="I600">
        <v>4</v>
      </c>
      <c r="J600">
        <v>3.6</v>
      </c>
      <c r="K600" t="s">
        <v>306</v>
      </c>
    </row>
    <row r="601" spans="1:11" x14ac:dyDescent="0.35">
      <c r="A601" t="s">
        <v>612</v>
      </c>
      <c r="B601">
        <v>5</v>
      </c>
      <c r="C601">
        <v>-13732147.539999999</v>
      </c>
      <c r="D601">
        <v>0</v>
      </c>
      <c r="E601">
        <v>3110202.3930000002</v>
      </c>
      <c r="F601">
        <v>-8456710.1999999993</v>
      </c>
      <c r="G601">
        <v>5</v>
      </c>
      <c r="H601">
        <v>1</v>
      </c>
      <c r="I601">
        <v>4</v>
      </c>
      <c r="J601">
        <v>3.6</v>
      </c>
      <c r="K601" t="s">
        <v>306</v>
      </c>
    </row>
    <row r="602" spans="1:11" x14ac:dyDescent="0.35">
      <c r="A602" t="s">
        <v>613</v>
      </c>
      <c r="B602">
        <v>5</v>
      </c>
      <c r="C602">
        <v>-16647889.98</v>
      </c>
      <c r="D602">
        <v>0</v>
      </c>
      <c r="E602">
        <v>4278621.3859999999</v>
      </c>
      <c r="F602">
        <v>-7887530.9000000004</v>
      </c>
      <c r="G602">
        <v>5</v>
      </c>
      <c r="H602">
        <v>1</v>
      </c>
      <c r="I602">
        <v>4</v>
      </c>
      <c r="J602">
        <v>3.6</v>
      </c>
      <c r="K602" t="s">
        <v>306</v>
      </c>
    </row>
    <row r="603" spans="1:11" x14ac:dyDescent="0.35">
      <c r="A603" t="s">
        <v>614</v>
      </c>
      <c r="B603">
        <v>5</v>
      </c>
      <c r="C603">
        <v>-65167738.119999997</v>
      </c>
      <c r="D603">
        <v>0</v>
      </c>
      <c r="E603">
        <v>11600059.57</v>
      </c>
      <c r="F603">
        <v>-7706347.5</v>
      </c>
      <c r="G603">
        <v>5</v>
      </c>
      <c r="H603">
        <v>1</v>
      </c>
      <c r="I603">
        <v>4</v>
      </c>
      <c r="J603">
        <v>3.6</v>
      </c>
      <c r="K603" t="s">
        <v>306</v>
      </c>
    </row>
    <row r="604" spans="1:11" x14ac:dyDescent="0.35">
      <c r="A604" t="s">
        <v>615</v>
      </c>
      <c r="B604">
        <v>5</v>
      </c>
      <c r="C604">
        <v>-16334445.220000001</v>
      </c>
      <c r="D604">
        <v>0</v>
      </c>
      <c r="E604">
        <v>2816622.6009999998</v>
      </c>
      <c r="F604">
        <v>-7268277.2000000002</v>
      </c>
      <c r="G604">
        <v>5</v>
      </c>
      <c r="H604">
        <v>1</v>
      </c>
      <c r="I604">
        <v>4</v>
      </c>
      <c r="J604">
        <v>3.6</v>
      </c>
      <c r="K604" t="s">
        <v>306</v>
      </c>
    </row>
    <row r="605" spans="1:11" x14ac:dyDescent="0.35">
      <c r="A605" t="s">
        <v>616</v>
      </c>
      <c r="B605">
        <v>5</v>
      </c>
      <c r="C605">
        <v>-11661224.18</v>
      </c>
      <c r="D605">
        <v>0</v>
      </c>
      <c r="E605">
        <v>9440244.9210000001</v>
      </c>
      <c r="F605">
        <v>-21379441.699999999</v>
      </c>
      <c r="G605">
        <v>5</v>
      </c>
      <c r="H605">
        <v>1</v>
      </c>
      <c r="I605">
        <v>4</v>
      </c>
      <c r="J605">
        <v>3.6</v>
      </c>
      <c r="K605" t="s">
        <v>306</v>
      </c>
    </row>
    <row r="606" spans="1:11" x14ac:dyDescent="0.35">
      <c r="A606" t="s">
        <v>617</v>
      </c>
      <c r="B606">
        <v>5</v>
      </c>
      <c r="C606">
        <v>-23200964.66</v>
      </c>
      <c r="D606">
        <v>0</v>
      </c>
      <c r="E606">
        <v>10514133.92</v>
      </c>
      <c r="F606">
        <v>-21436041</v>
      </c>
      <c r="G606">
        <v>5</v>
      </c>
      <c r="H606">
        <v>1</v>
      </c>
      <c r="I606">
        <v>4</v>
      </c>
      <c r="J606">
        <v>3.6</v>
      </c>
      <c r="K606" t="s">
        <v>306</v>
      </c>
    </row>
    <row r="607" spans="1:11" x14ac:dyDescent="0.35">
      <c r="A607" t="s">
        <v>618</v>
      </c>
      <c r="B607">
        <v>5</v>
      </c>
      <c r="C607">
        <v>-39333515.18</v>
      </c>
      <c r="D607">
        <v>0</v>
      </c>
      <c r="E607">
        <v>14930939.9</v>
      </c>
      <c r="F607">
        <v>-22565723.899999999</v>
      </c>
      <c r="G607">
        <v>5</v>
      </c>
      <c r="H607">
        <v>1</v>
      </c>
      <c r="I607">
        <v>4</v>
      </c>
      <c r="J607">
        <v>3.6</v>
      </c>
      <c r="K607" t="s">
        <v>306</v>
      </c>
    </row>
    <row r="608" spans="1:11" x14ac:dyDescent="0.35">
      <c r="A608" t="s">
        <v>619</v>
      </c>
      <c r="B608">
        <v>5</v>
      </c>
      <c r="C608">
        <v>-21587253.699999999</v>
      </c>
      <c r="D608">
        <v>0</v>
      </c>
      <c r="E608">
        <v>11102486.630000001</v>
      </c>
      <c r="F608">
        <v>-22565732</v>
      </c>
      <c r="G608">
        <v>5</v>
      </c>
      <c r="H608">
        <v>1</v>
      </c>
      <c r="I608">
        <v>4</v>
      </c>
      <c r="J608">
        <v>3.6</v>
      </c>
      <c r="K608" t="s">
        <v>306</v>
      </c>
    </row>
    <row r="609" spans="1:11" x14ac:dyDescent="0.35">
      <c r="A609" t="s">
        <v>620</v>
      </c>
      <c r="B609">
        <v>5</v>
      </c>
      <c r="C609">
        <v>-28406283</v>
      </c>
      <c r="D609">
        <v>0</v>
      </c>
      <c r="E609">
        <v>9786458.9729999993</v>
      </c>
      <c r="F609">
        <v>-18728600.600000001</v>
      </c>
      <c r="G609">
        <v>5</v>
      </c>
      <c r="H609">
        <v>1</v>
      </c>
      <c r="I609">
        <v>4</v>
      </c>
      <c r="J609">
        <v>3.6</v>
      </c>
      <c r="K609" t="s">
        <v>306</v>
      </c>
    </row>
    <row r="610" spans="1:11" x14ac:dyDescent="0.35">
      <c r="A610" t="s">
        <v>621</v>
      </c>
      <c r="B610">
        <v>5</v>
      </c>
      <c r="C610">
        <v>-20345330.18</v>
      </c>
      <c r="D610">
        <v>0</v>
      </c>
      <c r="E610">
        <v>11089054.199999999</v>
      </c>
      <c r="F610">
        <v>-16664732.1</v>
      </c>
      <c r="G610">
        <v>5</v>
      </c>
      <c r="H610">
        <v>1</v>
      </c>
      <c r="I610">
        <v>4</v>
      </c>
      <c r="J610">
        <v>3.6</v>
      </c>
      <c r="K610" t="s">
        <v>306</v>
      </c>
    </row>
    <row r="611" spans="1:11" x14ac:dyDescent="0.35">
      <c r="A611" t="s">
        <v>622</v>
      </c>
      <c r="B611">
        <v>5</v>
      </c>
      <c r="C611">
        <v>-6682727.0199999996</v>
      </c>
      <c r="D611">
        <v>0</v>
      </c>
      <c r="E611">
        <v>8618429.6089999992</v>
      </c>
      <c r="F611">
        <v>-18320039.899999999</v>
      </c>
      <c r="G611">
        <v>5</v>
      </c>
      <c r="H611">
        <v>1</v>
      </c>
      <c r="I611">
        <v>4</v>
      </c>
      <c r="J611">
        <v>3.6</v>
      </c>
      <c r="K611" t="s">
        <v>306</v>
      </c>
    </row>
    <row r="612" spans="1:11" x14ac:dyDescent="0.35">
      <c r="A612" t="s">
        <v>623</v>
      </c>
      <c r="B612">
        <v>5</v>
      </c>
      <c r="C612">
        <v>-87937560.579999998</v>
      </c>
      <c r="D612">
        <v>0</v>
      </c>
      <c r="E612">
        <v>15124406.550000001</v>
      </c>
      <c r="F612">
        <v>-18358755.699999999</v>
      </c>
      <c r="G612">
        <v>5</v>
      </c>
      <c r="H612">
        <v>1</v>
      </c>
      <c r="I612">
        <v>4</v>
      </c>
      <c r="J612">
        <v>3.6</v>
      </c>
      <c r="K612" t="s">
        <v>306</v>
      </c>
    </row>
    <row r="613" spans="1:11" x14ac:dyDescent="0.35">
      <c r="A613" t="s">
        <v>624</v>
      </c>
      <c r="B613">
        <v>5</v>
      </c>
      <c r="C613">
        <v>-12979664.18</v>
      </c>
      <c r="D613">
        <v>0</v>
      </c>
      <c r="E613">
        <v>9162839.8289999999</v>
      </c>
      <c r="F613">
        <v>-19861038.800000001</v>
      </c>
      <c r="G613">
        <v>5</v>
      </c>
      <c r="H613">
        <v>1</v>
      </c>
      <c r="I613">
        <v>4</v>
      </c>
      <c r="J613">
        <v>3.6</v>
      </c>
      <c r="K613" t="s">
        <v>306</v>
      </c>
    </row>
    <row r="614" spans="1:11" x14ac:dyDescent="0.35">
      <c r="A614" t="s">
        <v>625</v>
      </c>
      <c r="B614">
        <v>5</v>
      </c>
      <c r="C614">
        <v>-45082986.840000004</v>
      </c>
      <c r="D614">
        <v>0</v>
      </c>
      <c r="E614">
        <v>14575516.130000001</v>
      </c>
      <c r="F614">
        <v>-23488354.199999999</v>
      </c>
      <c r="G614">
        <v>5</v>
      </c>
      <c r="H614">
        <v>1</v>
      </c>
      <c r="I614">
        <v>4</v>
      </c>
      <c r="J614">
        <v>3.6</v>
      </c>
      <c r="K614" t="s">
        <v>306</v>
      </c>
    </row>
    <row r="615" spans="1:11" x14ac:dyDescent="0.35">
      <c r="A615" t="s">
        <v>626</v>
      </c>
      <c r="B615">
        <v>5</v>
      </c>
      <c r="C615">
        <v>-37522196.619999997</v>
      </c>
      <c r="D615">
        <v>0</v>
      </c>
      <c r="E615">
        <v>10353587.619999999</v>
      </c>
      <c r="F615">
        <v>-23054535.5</v>
      </c>
      <c r="G615">
        <v>5</v>
      </c>
      <c r="H615">
        <v>1</v>
      </c>
      <c r="I615">
        <v>4</v>
      </c>
      <c r="J615">
        <v>3.6</v>
      </c>
      <c r="K615" t="s">
        <v>306</v>
      </c>
    </row>
    <row r="616" spans="1:11" x14ac:dyDescent="0.35">
      <c r="A616" t="s">
        <v>627</v>
      </c>
      <c r="B616">
        <v>5</v>
      </c>
      <c r="C616">
        <v>-48072377.719999999</v>
      </c>
      <c r="D616">
        <v>0</v>
      </c>
      <c r="E616">
        <v>14017976.119999999</v>
      </c>
      <c r="F616">
        <v>-23636764.600000001</v>
      </c>
      <c r="G616">
        <v>5</v>
      </c>
      <c r="H616">
        <v>1</v>
      </c>
      <c r="I616">
        <v>4</v>
      </c>
      <c r="J616">
        <v>3.6</v>
      </c>
      <c r="K616" t="s">
        <v>306</v>
      </c>
    </row>
    <row r="617" spans="1:11" x14ac:dyDescent="0.35">
      <c r="A617" t="s">
        <v>628</v>
      </c>
      <c r="B617">
        <v>5</v>
      </c>
      <c r="C617">
        <v>-29848877.32</v>
      </c>
      <c r="D617">
        <v>0</v>
      </c>
      <c r="E617">
        <v>10193163.060000001</v>
      </c>
      <c r="F617">
        <v>-24134776.199999999</v>
      </c>
      <c r="G617">
        <v>5</v>
      </c>
      <c r="H617">
        <v>1</v>
      </c>
      <c r="I617">
        <v>4</v>
      </c>
      <c r="J617">
        <v>3.6</v>
      </c>
      <c r="K617" t="s">
        <v>306</v>
      </c>
    </row>
    <row r="618" spans="1:11" x14ac:dyDescent="0.35">
      <c r="A618" t="s">
        <v>629</v>
      </c>
      <c r="B618">
        <v>5</v>
      </c>
      <c r="C618">
        <v>-24099247.940000001</v>
      </c>
      <c r="D618">
        <v>0</v>
      </c>
      <c r="E618">
        <v>10318239.359999999</v>
      </c>
      <c r="F618">
        <v>-24314129.699999999</v>
      </c>
      <c r="G618">
        <v>5</v>
      </c>
      <c r="H618">
        <v>1</v>
      </c>
      <c r="I618">
        <v>4</v>
      </c>
      <c r="J618">
        <v>3.6</v>
      </c>
      <c r="K618" t="s">
        <v>306</v>
      </c>
    </row>
    <row r="619" spans="1:11" x14ac:dyDescent="0.35">
      <c r="A619" t="s">
        <v>630</v>
      </c>
      <c r="B619">
        <v>5</v>
      </c>
      <c r="C619">
        <v>-29093914.460000001</v>
      </c>
      <c r="D619">
        <v>0</v>
      </c>
      <c r="E619">
        <v>11176590.859999999</v>
      </c>
      <c r="F619">
        <v>-25430495.600000001</v>
      </c>
      <c r="G619">
        <v>5</v>
      </c>
      <c r="H619">
        <v>1</v>
      </c>
      <c r="I619">
        <v>4</v>
      </c>
      <c r="J619">
        <v>3.6</v>
      </c>
      <c r="K619" t="s">
        <v>306</v>
      </c>
    </row>
    <row r="620" spans="1:11" x14ac:dyDescent="0.35">
      <c r="A620" t="s">
        <v>631</v>
      </c>
      <c r="B620">
        <v>5</v>
      </c>
      <c r="C620">
        <v>-22700116.84</v>
      </c>
      <c r="D620">
        <v>0</v>
      </c>
      <c r="E620">
        <v>13905346.32</v>
      </c>
      <c r="F620">
        <v>-25727541</v>
      </c>
      <c r="G620">
        <v>5</v>
      </c>
      <c r="H620">
        <v>1</v>
      </c>
      <c r="I620">
        <v>4</v>
      </c>
      <c r="J620">
        <v>3.6</v>
      </c>
      <c r="K620" t="s">
        <v>306</v>
      </c>
    </row>
    <row r="621" spans="1:11" x14ac:dyDescent="0.35">
      <c r="A621" t="s">
        <v>632</v>
      </c>
      <c r="B621">
        <v>5</v>
      </c>
      <c r="C621">
        <v>-31823269.359999999</v>
      </c>
      <c r="D621">
        <v>0</v>
      </c>
      <c r="E621">
        <v>10442019.42</v>
      </c>
      <c r="F621">
        <v>-25774281.199999999</v>
      </c>
      <c r="G621">
        <v>5</v>
      </c>
      <c r="H621">
        <v>1</v>
      </c>
      <c r="I621">
        <v>4</v>
      </c>
      <c r="J621">
        <v>3.6</v>
      </c>
      <c r="K621" t="s">
        <v>306</v>
      </c>
    </row>
    <row r="622" spans="1:11" x14ac:dyDescent="0.35">
      <c r="A622" t="s">
        <v>633</v>
      </c>
      <c r="B622">
        <v>5</v>
      </c>
      <c r="C622">
        <v>-34092440.460000001</v>
      </c>
      <c r="D622">
        <v>0</v>
      </c>
      <c r="E622">
        <v>14151679.310000001</v>
      </c>
      <c r="F622">
        <v>-24767836.800000001</v>
      </c>
      <c r="G622">
        <v>5</v>
      </c>
      <c r="H622">
        <v>1</v>
      </c>
      <c r="I622">
        <v>4</v>
      </c>
      <c r="J622">
        <v>3.6</v>
      </c>
      <c r="K622" t="s">
        <v>306</v>
      </c>
    </row>
    <row r="623" spans="1:11" x14ac:dyDescent="0.35">
      <c r="A623" t="s">
        <v>634</v>
      </c>
      <c r="B623">
        <v>5</v>
      </c>
      <c r="C623">
        <v>-8428986</v>
      </c>
      <c r="D623">
        <v>0</v>
      </c>
      <c r="E623">
        <v>12299660.470000001</v>
      </c>
      <c r="F623">
        <v>-29274678.699999999</v>
      </c>
      <c r="G623">
        <v>5</v>
      </c>
      <c r="H623">
        <v>1</v>
      </c>
      <c r="I623">
        <v>4</v>
      </c>
      <c r="J623">
        <v>3.6</v>
      </c>
      <c r="K623" t="s">
        <v>306</v>
      </c>
    </row>
    <row r="624" spans="1:11" x14ac:dyDescent="0.35">
      <c r="A624" t="s">
        <v>635</v>
      </c>
      <c r="B624">
        <v>5</v>
      </c>
      <c r="C624">
        <v>-28523082.940000001</v>
      </c>
      <c r="D624">
        <v>0</v>
      </c>
      <c r="E624">
        <v>10829986.439999999</v>
      </c>
      <c r="F624">
        <v>-28680503.199999999</v>
      </c>
      <c r="G624">
        <v>5</v>
      </c>
      <c r="H624">
        <v>1</v>
      </c>
      <c r="I624">
        <v>4</v>
      </c>
      <c r="J624">
        <v>3.6</v>
      </c>
      <c r="K624" t="s">
        <v>306</v>
      </c>
    </row>
    <row r="625" spans="1:11" x14ac:dyDescent="0.35">
      <c r="A625" t="s">
        <v>636</v>
      </c>
      <c r="B625">
        <v>5</v>
      </c>
      <c r="C625">
        <v>-28233714.899999999</v>
      </c>
      <c r="D625">
        <v>0</v>
      </c>
      <c r="E625">
        <v>13095041.470000001</v>
      </c>
      <c r="F625">
        <v>-27983434.899999999</v>
      </c>
      <c r="G625">
        <v>5</v>
      </c>
      <c r="H625">
        <v>1</v>
      </c>
      <c r="I625">
        <v>4</v>
      </c>
      <c r="J625">
        <v>3.6</v>
      </c>
      <c r="K625" t="s">
        <v>306</v>
      </c>
    </row>
    <row r="626" spans="1:11" x14ac:dyDescent="0.35">
      <c r="A626" t="s">
        <v>637</v>
      </c>
      <c r="B626">
        <v>5</v>
      </c>
      <c r="C626">
        <v>-34085114.780000001</v>
      </c>
      <c r="D626">
        <v>0</v>
      </c>
      <c r="E626">
        <v>13408756.23</v>
      </c>
      <c r="F626">
        <v>-30243965.100000001</v>
      </c>
      <c r="G626">
        <v>5</v>
      </c>
      <c r="H626">
        <v>1</v>
      </c>
      <c r="I626">
        <v>4</v>
      </c>
      <c r="J626">
        <v>3.6</v>
      </c>
      <c r="K626" t="s">
        <v>306</v>
      </c>
    </row>
    <row r="627" spans="1:11" x14ac:dyDescent="0.35">
      <c r="A627" t="s">
        <v>638</v>
      </c>
      <c r="B627">
        <v>5</v>
      </c>
      <c r="C627">
        <v>-16888253.739999998</v>
      </c>
      <c r="D627">
        <v>0</v>
      </c>
      <c r="E627">
        <v>14277235.4</v>
      </c>
      <c r="F627">
        <v>-31934143.899999999</v>
      </c>
      <c r="G627">
        <v>5</v>
      </c>
      <c r="H627">
        <v>1</v>
      </c>
      <c r="I627">
        <v>4</v>
      </c>
      <c r="J627">
        <v>3.6</v>
      </c>
      <c r="K627" t="s">
        <v>306</v>
      </c>
    </row>
    <row r="628" spans="1:11" x14ac:dyDescent="0.35">
      <c r="A628" t="s">
        <v>639</v>
      </c>
      <c r="B628">
        <v>5</v>
      </c>
      <c r="C628">
        <v>-586805248.60000002</v>
      </c>
      <c r="D628">
        <v>0</v>
      </c>
      <c r="E628">
        <v>122138167.7</v>
      </c>
      <c r="F628">
        <v>130152312.7</v>
      </c>
      <c r="G628">
        <v>4</v>
      </c>
      <c r="H628">
        <v>4</v>
      </c>
      <c r="I628">
        <v>2</v>
      </c>
      <c r="J628">
        <v>3.6</v>
      </c>
      <c r="K628" t="s">
        <v>306</v>
      </c>
    </row>
    <row r="629" spans="1:11" x14ac:dyDescent="0.35">
      <c r="A629" t="s">
        <v>640</v>
      </c>
      <c r="B629">
        <v>5</v>
      </c>
      <c r="C629">
        <v>-33573169.68</v>
      </c>
      <c r="D629">
        <v>0.2</v>
      </c>
      <c r="E629">
        <v>146367688.80000001</v>
      </c>
      <c r="F629">
        <v>146299165.59999999</v>
      </c>
      <c r="G629">
        <v>4</v>
      </c>
      <c r="H629">
        <v>4</v>
      </c>
      <c r="I629">
        <v>2</v>
      </c>
      <c r="J629">
        <v>3.6</v>
      </c>
      <c r="K629" t="s">
        <v>306</v>
      </c>
    </row>
    <row r="630" spans="1:11" x14ac:dyDescent="0.35">
      <c r="A630" t="s">
        <v>641</v>
      </c>
      <c r="B630">
        <v>5</v>
      </c>
      <c r="C630">
        <v>28439935.719999999</v>
      </c>
      <c r="D630">
        <v>0.4</v>
      </c>
      <c r="E630">
        <v>171294384.69999999</v>
      </c>
      <c r="F630">
        <v>146255547.30000001</v>
      </c>
      <c r="G630">
        <v>4</v>
      </c>
      <c r="H630">
        <v>4</v>
      </c>
      <c r="I630">
        <v>2</v>
      </c>
      <c r="J630">
        <v>3.6</v>
      </c>
      <c r="K630" t="s">
        <v>306</v>
      </c>
    </row>
    <row r="631" spans="1:11" x14ac:dyDescent="0.35">
      <c r="A631" t="s">
        <v>642</v>
      </c>
      <c r="B631">
        <v>5</v>
      </c>
      <c r="C631">
        <v>-513196639.19999999</v>
      </c>
      <c r="D631">
        <v>0</v>
      </c>
      <c r="E631">
        <v>112576736.5</v>
      </c>
      <c r="F631">
        <v>149972833.90000001</v>
      </c>
      <c r="G631">
        <v>4</v>
      </c>
      <c r="H631">
        <v>4</v>
      </c>
      <c r="I631">
        <v>2</v>
      </c>
      <c r="J631">
        <v>3.6</v>
      </c>
      <c r="K631" t="s">
        <v>306</v>
      </c>
    </row>
    <row r="632" spans="1:11" x14ac:dyDescent="0.35">
      <c r="A632" t="s">
        <v>643</v>
      </c>
      <c r="B632">
        <v>5</v>
      </c>
      <c r="C632">
        <v>-56501432.780000001</v>
      </c>
      <c r="D632">
        <v>0.4</v>
      </c>
      <c r="E632">
        <v>154348989.5</v>
      </c>
      <c r="F632">
        <v>173614931</v>
      </c>
      <c r="G632">
        <v>4</v>
      </c>
      <c r="H632">
        <v>4</v>
      </c>
      <c r="I632">
        <v>2</v>
      </c>
      <c r="J632">
        <v>3.6</v>
      </c>
      <c r="K632" t="s">
        <v>306</v>
      </c>
    </row>
    <row r="633" spans="1:11" x14ac:dyDescent="0.35">
      <c r="A633" t="s">
        <v>644</v>
      </c>
      <c r="B633">
        <v>5</v>
      </c>
      <c r="C633">
        <v>-141833643.69999999</v>
      </c>
      <c r="D633">
        <v>0.2</v>
      </c>
      <c r="E633">
        <v>136746136</v>
      </c>
      <c r="F633">
        <v>172225253.59999999</v>
      </c>
      <c r="G633">
        <v>4</v>
      </c>
      <c r="H633">
        <v>4</v>
      </c>
      <c r="I633">
        <v>2</v>
      </c>
      <c r="J633">
        <v>3.6</v>
      </c>
      <c r="K633" t="s">
        <v>306</v>
      </c>
    </row>
    <row r="634" spans="1:11" x14ac:dyDescent="0.35">
      <c r="A634" t="s">
        <v>645</v>
      </c>
      <c r="B634">
        <v>5</v>
      </c>
      <c r="C634">
        <v>-98858123.079999998</v>
      </c>
      <c r="D634">
        <v>0.2</v>
      </c>
      <c r="E634">
        <v>150359926.90000001</v>
      </c>
      <c r="F634">
        <v>155452350.09999999</v>
      </c>
      <c r="G634">
        <v>4</v>
      </c>
      <c r="H634">
        <v>4</v>
      </c>
      <c r="I634">
        <v>2</v>
      </c>
      <c r="J634">
        <v>3.6</v>
      </c>
      <c r="K634" t="s">
        <v>306</v>
      </c>
    </row>
    <row r="635" spans="1:11" x14ac:dyDescent="0.35">
      <c r="A635" t="s">
        <v>646</v>
      </c>
      <c r="B635">
        <v>5</v>
      </c>
      <c r="C635">
        <v>-137077269.90000001</v>
      </c>
      <c r="D635">
        <v>0.2</v>
      </c>
      <c r="E635">
        <v>162222664.69999999</v>
      </c>
      <c r="F635">
        <v>187948386.30000001</v>
      </c>
      <c r="G635">
        <v>4</v>
      </c>
      <c r="H635">
        <v>4</v>
      </c>
      <c r="I635">
        <v>2</v>
      </c>
      <c r="J635">
        <v>3.6</v>
      </c>
      <c r="K635" t="s">
        <v>306</v>
      </c>
    </row>
    <row r="636" spans="1:11" x14ac:dyDescent="0.35">
      <c r="A636" t="s">
        <v>647</v>
      </c>
      <c r="B636">
        <v>5</v>
      </c>
      <c r="C636">
        <v>12836449.880000001</v>
      </c>
      <c r="D636">
        <v>0.4</v>
      </c>
      <c r="E636">
        <v>114303693.5</v>
      </c>
      <c r="F636">
        <v>195801983.69999999</v>
      </c>
      <c r="G636">
        <v>4</v>
      </c>
      <c r="H636">
        <v>4</v>
      </c>
      <c r="I636">
        <v>2</v>
      </c>
      <c r="J636">
        <v>3.6</v>
      </c>
      <c r="K636" t="s">
        <v>306</v>
      </c>
    </row>
    <row r="637" spans="1:11" x14ac:dyDescent="0.35">
      <c r="A637" t="s">
        <v>648</v>
      </c>
      <c r="B637">
        <v>5</v>
      </c>
      <c r="C637">
        <v>-205855456</v>
      </c>
      <c r="D637">
        <v>0.2</v>
      </c>
      <c r="E637">
        <v>140118824.59999999</v>
      </c>
      <c r="F637">
        <v>186385034.5</v>
      </c>
      <c r="G637">
        <v>4</v>
      </c>
      <c r="H637">
        <v>4</v>
      </c>
      <c r="I637">
        <v>2</v>
      </c>
      <c r="J637">
        <v>3.6</v>
      </c>
      <c r="K637" t="s">
        <v>306</v>
      </c>
    </row>
    <row r="638" spans="1:11" x14ac:dyDescent="0.35">
      <c r="A638" t="s">
        <v>649</v>
      </c>
      <c r="B638">
        <v>5</v>
      </c>
      <c r="C638">
        <v>-257247986.09999999</v>
      </c>
      <c r="D638">
        <v>0</v>
      </c>
      <c r="E638">
        <v>74653690.810000002</v>
      </c>
      <c r="F638">
        <v>209845314.69999999</v>
      </c>
      <c r="G638">
        <v>5</v>
      </c>
      <c r="H638">
        <v>3</v>
      </c>
      <c r="I638">
        <v>1</v>
      </c>
      <c r="J638">
        <v>3.6</v>
      </c>
      <c r="K638" t="s">
        <v>306</v>
      </c>
    </row>
    <row r="639" spans="1:11" x14ac:dyDescent="0.35">
      <c r="A639" t="s">
        <v>650</v>
      </c>
      <c r="B639">
        <v>5</v>
      </c>
      <c r="C639">
        <v>-103656750.7</v>
      </c>
      <c r="D639">
        <v>0.6</v>
      </c>
      <c r="E639">
        <v>350796814.39999998</v>
      </c>
      <c r="F639">
        <v>25791735.699999999</v>
      </c>
      <c r="G639">
        <v>3</v>
      </c>
      <c r="H639">
        <v>5</v>
      </c>
      <c r="I639">
        <v>3</v>
      </c>
      <c r="J639">
        <v>3.6</v>
      </c>
      <c r="K639" t="s">
        <v>306</v>
      </c>
    </row>
    <row r="640" spans="1:11" x14ac:dyDescent="0.35">
      <c r="A640" t="s">
        <v>651</v>
      </c>
      <c r="B640">
        <v>5</v>
      </c>
      <c r="C640">
        <v>50818270.240000002</v>
      </c>
      <c r="D640">
        <v>0.4</v>
      </c>
      <c r="E640">
        <v>113778080.7</v>
      </c>
      <c r="F640">
        <v>27595016.100000001</v>
      </c>
      <c r="G640">
        <v>4</v>
      </c>
      <c r="H640">
        <v>4</v>
      </c>
      <c r="I640">
        <v>2</v>
      </c>
      <c r="J640">
        <v>3.6</v>
      </c>
      <c r="K640" t="s">
        <v>306</v>
      </c>
    </row>
    <row r="641" spans="1:11" x14ac:dyDescent="0.35">
      <c r="A641" t="s">
        <v>652</v>
      </c>
      <c r="B641">
        <v>5</v>
      </c>
      <c r="C641">
        <v>-48471147.68</v>
      </c>
      <c r="D641">
        <v>0.2</v>
      </c>
      <c r="E641">
        <v>132432308.8</v>
      </c>
      <c r="F641">
        <v>32015191.399999999</v>
      </c>
      <c r="G641">
        <v>4</v>
      </c>
      <c r="H641">
        <v>4</v>
      </c>
      <c r="I641">
        <v>2</v>
      </c>
      <c r="J641">
        <v>3.6</v>
      </c>
      <c r="K641" t="s">
        <v>306</v>
      </c>
    </row>
    <row r="642" spans="1:11" x14ac:dyDescent="0.35">
      <c r="A642" t="s">
        <v>653</v>
      </c>
      <c r="B642">
        <v>5</v>
      </c>
      <c r="C642">
        <v>9532834.3800000008</v>
      </c>
      <c r="D642">
        <v>0.4</v>
      </c>
      <c r="E642">
        <v>198966355.30000001</v>
      </c>
      <c r="F642">
        <v>35583148.299999997</v>
      </c>
      <c r="G642">
        <v>4</v>
      </c>
      <c r="H642">
        <v>4</v>
      </c>
      <c r="I642">
        <v>2</v>
      </c>
      <c r="J642">
        <v>3.6</v>
      </c>
      <c r="K642" t="s">
        <v>306</v>
      </c>
    </row>
    <row r="643" spans="1:11" x14ac:dyDescent="0.35">
      <c r="A643" t="s">
        <v>654</v>
      </c>
      <c r="B643">
        <v>5</v>
      </c>
      <c r="C643">
        <v>-42861444.140000001</v>
      </c>
      <c r="D643">
        <v>0.4</v>
      </c>
      <c r="E643">
        <v>116169187.59999999</v>
      </c>
      <c r="F643">
        <v>68082599.5</v>
      </c>
      <c r="G643">
        <v>4</v>
      </c>
      <c r="H643">
        <v>4</v>
      </c>
      <c r="I643">
        <v>2</v>
      </c>
      <c r="J643">
        <v>3.6</v>
      </c>
      <c r="K643" t="s">
        <v>306</v>
      </c>
    </row>
    <row r="644" spans="1:11" x14ac:dyDescent="0.35">
      <c r="A644" t="s">
        <v>655</v>
      </c>
      <c r="B644">
        <v>5</v>
      </c>
      <c r="C644">
        <v>-21725551.66</v>
      </c>
      <c r="D644">
        <v>0.4</v>
      </c>
      <c r="E644">
        <v>127885478.59999999</v>
      </c>
      <c r="F644">
        <v>71276705.700000003</v>
      </c>
      <c r="G644">
        <v>4</v>
      </c>
      <c r="H644">
        <v>4</v>
      </c>
      <c r="I644">
        <v>2</v>
      </c>
      <c r="J644">
        <v>3.6</v>
      </c>
      <c r="K644" t="s">
        <v>306</v>
      </c>
    </row>
    <row r="645" spans="1:11" x14ac:dyDescent="0.35">
      <c r="A645" t="s">
        <v>656</v>
      </c>
      <c r="B645">
        <v>5</v>
      </c>
      <c r="C645">
        <v>-99595839.420000002</v>
      </c>
      <c r="D645">
        <v>0.2</v>
      </c>
      <c r="E645">
        <v>160168289.5</v>
      </c>
      <c r="F645">
        <v>60025597.600000001</v>
      </c>
      <c r="G645">
        <v>4</v>
      </c>
      <c r="H645">
        <v>4</v>
      </c>
      <c r="I645">
        <v>2</v>
      </c>
      <c r="J645">
        <v>3.6</v>
      </c>
      <c r="K645" t="s">
        <v>306</v>
      </c>
    </row>
    <row r="646" spans="1:11" x14ac:dyDescent="0.35">
      <c r="A646" t="s">
        <v>657</v>
      </c>
      <c r="B646">
        <v>5</v>
      </c>
      <c r="C646">
        <v>-50810162</v>
      </c>
      <c r="D646">
        <v>0.4</v>
      </c>
      <c r="E646">
        <v>134523385</v>
      </c>
      <c r="F646">
        <v>56573719.100000001</v>
      </c>
      <c r="G646">
        <v>4</v>
      </c>
      <c r="H646">
        <v>4</v>
      </c>
      <c r="I646">
        <v>2</v>
      </c>
      <c r="J646">
        <v>3.6</v>
      </c>
      <c r="K646" t="s">
        <v>306</v>
      </c>
    </row>
    <row r="647" spans="1:11" x14ac:dyDescent="0.35">
      <c r="A647" t="s">
        <v>658</v>
      </c>
      <c r="B647">
        <v>5</v>
      </c>
      <c r="C647">
        <v>-170123129.19999999</v>
      </c>
      <c r="D647">
        <v>0.2</v>
      </c>
      <c r="E647">
        <v>150885938.30000001</v>
      </c>
      <c r="F647">
        <v>55148469.700000003</v>
      </c>
      <c r="G647">
        <v>4</v>
      </c>
      <c r="H647">
        <v>4</v>
      </c>
      <c r="I647">
        <v>2</v>
      </c>
      <c r="J647">
        <v>3.6</v>
      </c>
      <c r="K647" t="s">
        <v>306</v>
      </c>
    </row>
    <row r="648" spans="1:11" x14ac:dyDescent="0.35">
      <c r="A648" t="s">
        <v>659</v>
      </c>
      <c r="B648">
        <v>5</v>
      </c>
      <c r="C648">
        <v>6793214.0800000001</v>
      </c>
      <c r="D648">
        <v>0.4</v>
      </c>
      <c r="E648">
        <v>168793604.09999999</v>
      </c>
      <c r="F648">
        <v>43273007.299999997</v>
      </c>
      <c r="G648">
        <v>4</v>
      </c>
      <c r="H648">
        <v>4</v>
      </c>
      <c r="I648">
        <v>2</v>
      </c>
      <c r="J648">
        <v>3.6</v>
      </c>
      <c r="K648" t="s">
        <v>306</v>
      </c>
    </row>
    <row r="649" spans="1:11" x14ac:dyDescent="0.35">
      <c r="A649" t="s">
        <v>660</v>
      </c>
      <c r="B649">
        <v>5</v>
      </c>
      <c r="C649">
        <v>-111907102.40000001</v>
      </c>
      <c r="D649">
        <v>0</v>
      </c>
      <c r="E649">
        <v>124737609.5</v>
      </c>
      <c r="F649">
        <v>41234733</v>
      </c>
      <c r="G649">
        <v>4</v>
      </c>
      <c r="H649">
        <v>4</v>
      </c>
      <c r="I649">
        <v>2</v>
      </c>
      <c r="J649">
        <v>3.6</v>
      </c>
      <c r="K649" t="s">
        <v>306</v>
      </c>
    </row>
    <row r="650" spans="1:11" x14ac:dyDescent="0.35">
      <c r="A650" t="s">
        <v>661</v>
      </c>
      <c r="B650">
        <v>5</v>
      </c>
      <c r="C650">
        <v>-124095923.8</v>
      </c>
      <c r="D650">
        <v>0.2</v>
      </c>
      <c r="E650">
        <v>285945591.69999999</v>
      </c>
      <c r="F650">
        <v>39759359.5</v>
      </c>
      <c r="G650">
        <v>4</v>
      </c>
      <c r="H650">
        <v>4</v>
      </c>
      <c r="I650">
        <v>2</v>
      </c>
      <c r="J650">
        <v>3.6</v>
      </c>
      <c r="K650" t="s">
        <v>306</v>
      </c>
    </row>
    <row r="651" spans="1:11" x14ac:dyDescent="0.35">
      <c r="A651" t="s">
        <v>662</v>
      </c>
      <c r="B651">
        <v>5</v>
      </c>
      <c r="C651">
        <v>-326684936.69999999</v>
      </c>
      <c r="D651">
        <v>0</v>
      </c>
      <c r="E651">
        <v>135379234.80000001</v>
      </c>
      <c r="F651">
        <v>38746572.799999997</v>
      </c>
      <c r="G651">
        <v>4</v>
      </c>
      <c r="H651">
        <v>4</v>
      </c>
      <c r="I651">
        <v>2</v>
      </c>
      <c r="J651">
        <v>3.6</v>
      </c>
      <c r="K651" t="s">
        <v>306</v>
      </c>
    </row>
    <row r="652" spans="1:11" x14ac:dyDescent="0.35">
      <c r="A652" t="s">
        <v>663</v>
      </c>
      <c r="B652">
        <v>5</v>
      </c>
      <c r="C652">
        <v>-112860012.59999999</v>
      </c>
      <c r="D652">
        <v>0.2</v>
      </c>
      <c r="E652">
        <v>279594152.89999998</v>
      </c>
      <c r="F652">
        <v>89680513.200000003</v>
      </c>
      <c r="G652">
        <v>4</v>
      </c>
      <c r="H652">
        <v>4</v>
      </c>
      <c r="I652">
        <v>2</v>
      </c>
      <c r="J652">
        <v>3.6</v>
      </c>
      <c r="K652" t="s">
        <v>306</v>
      </c>
    </row>
    <row r="653" spans="1:11" x14ac:dyDescent="0.35">
      <c r="A653" t="s">
        <v>664</v>
      </c>
      <c r="B653">
        <v>5</v>
      </c>
      <c r="C653">
        <v>-116687796</v>
      </c>
      <c r="D653">
        <v>0.2</v>
      </c>
      <c r="E653">
        <v>271544223</v>
      </c>
      <c r="F653">
        <v>85854505.299999997</v>
      </c>
      <c r="G653">
        <v>4</v>
      </c>
      <c r="H653">
        <v>4</v>
      </c>
      <c r="I653">
        <v>2</v>
      </c>
      <c r="J653">
        <v>3.6</v>
      </c>
      <c r="K653" t="s">
        <v>306</v>
      </c>
    </row>
    <row r="654" spans="1:11" x14ac:dyDescent="0.35">
      <c r="A654" t="s">
        <v>665</v>
      </c>
      <c r="B654">
        <v>5</v>
      </c>
      <c r="C654">
        <v>-136638607.59999999</v>
      </c>
      <c r="D654">
        <v>0.2</v>
      </c>
      <c r="E654">
        <v>137900579.30000001</v>
      </c>
      <c r="F654">
        <v>77992996.599999994</v>
      </c>
      <c r="G654">
        <v>4</v>
      </c>
      <c r="H654">
        <v>4</v>
      </c>
      <c r="I654">
        <v>2</v>
      </c>
      <c r="J654">
        <v>3.6</v>
      </c>
      <c r="K654" t="s">
        <v>306</v>
      </c>
    </row>
    <row r="655" spans="1:11" x14ac:dyDescent="0.35">
      <c r="A655" t="s">
        <v>666</v>
      </c>
      <c r="B655">
        <v>5</v>
      </c>
      <c r="C655">
        <v>-162900376.80000001</v>
      </c>
      <c r="D655">
        <v>0.2</v>
      </c>
      <c r="E655">
        <v>160128024.30000001</v>
      </c>
      <c r="F655">
        <v>127086750.7</v>
      </c>
      <c r="G655">
        <v>4</v>
      </c>
      <c r="H655">
        <v>4</v>
      </c>
      <c r="I655">
        <v>2</v>
      </c>
      <c r="J655">
        <v>3.6</v>
      </c>
      <c r="K655" t="s">
        <v>306</v>
      </c>
    </row>
    <row r="656" spans="1:11" x14ac:dyDescent="0.35">
      <c r="A656" t="s">
        <v>667</v>
      </c>
      <c r="B656">
        <v>5</v>
      </c>
      <c r="C656">
        <v>-60717385.380000003</v>
      </c>
      <c r="D656">
        <v>0</v>
      </c>
      <c r="E656">
        <v>43120320.240000002</v>
      </c>
      <c r="F656">
        <v>115771634.40000001</v>
      </c>
      <c r="G656">
        <v>5</v>
      </c>
      <c r="H656">
        <v>2</v>
      </c>
      <c r="I656">
        <v>2</v>
      </c>
      <c r="J656">
        <v>3.5</v>
      </c>
      <c r="K656" t="s">
        <v>306</v>
      </c>
    </row>
    <row r="657" spans="1:11" x14ac:dyDescent="0.35">
      <c r="A657" t="s">
        <v>668</v>
      </c>
      <c r="B657">
        <v>5</v>
      </c>
      <c r="C657">
        <v>-85789667.5</v>
      </c>
      <c r="D657">
        <v>0</v>
      </c>
      <c r="E657">
        <v>39532438.380000003</v>
      </c>
      <c r="F657">
        <v>80615462.099999994</v>
      </c>
      <c r="G657">
        <v>5</v>
      </c>
      <c r="H657">
        <v>2</v>
      </c>
      <c r="I657">
        <v>2</v>
      </c>
      <c r="J657">
        <v>3.5</v>
      </c>
      <c r="K657" t="s">
        <v>306</v>
      </c>
    </row>
    <row r="658" spans="1:11" x14ac:dyDescent="0.35">
      <c r="A658" t="s">
        <v>669</v>
      </c>
      <c r="B658">
        <v>5</v>
      </c>
      <c r="C658">
        <v>-57252592.140000001</v>
      </c>
      <c r="D658">
        <v>0</v>
      </c>
      <c r="E658">
        <v>31028173.41</v>
      </c>
      <c r="F658">
        <v>75948404</v>
      </c>
      <c r="G658">
        <v>5</v>
      </c>
      <c r="H658">
        <v>2</v>
      </c>
      <c r="I658">
        <v>2</v>
      </c>
      <c r="J658">
        <v>3.5</v>
      </c>
      <c r="K658" t="s">
        <v>306</v>
      </c>
    </row>
    <row r="659" spans="1:11" x14ac:dyDescent="0.35">
      <c r="A659" t="s">
        <v>670</v>
      </c>
      <c r="B659">
        <v>5</v>
      </c>
      <c r="C659">
        <v>-82420614.680000007</v>
      </c>
      <c r="D659">
        <v>0</v>
      </c>
      <c r="E659">
        <v>30094620.07</v>
      </c>
      <c r="F659">
        <v>77787975.599999994</v>
      </c>
      <c r="G659">
        <v>5</v>
      </c>
      <c r="H659">
        <v>2</v>
      </c>
      <c r="I659">
        <v>2</v>
      </c>
      <c r="J659">
        <v>3.5</v>
      </c>
      <c r="K659" t="s">
        <v>306</v>
      </c>
    </row>
    <row r="660" spans="1:11" x14ac:dyDescent="0.35">
      <c r="A660" t="s">
        <v>671</v>
      </c>
      <c r="B660">
        <v>5</v>
      </c>
      <c r="C660">
        <v>-98261091.900000006</v>
      </c>
      <c r="D660">
        <v>0</v>
      </c>
      <c r="E660">
        <v>41654242.920000002</v>
      </c>
      <c r="F660">
        <v>74594025.299999997</v>
      </c>
      <c r="G660">
        <v>5</v>
      </c>
      <c r="H660">
        <v>2</v>
      </c>
      <c r="I660">
        <v>2</v>
      </c>
      <c r="J660">
        <v>3.5</v>
      </c>
      <c r="K660" t="s">
        <v>306</v>
      </c>
    </row>
    <row r="661" spans="1:11" x14ac:dyDescent="0.35">
      <c r="A661" t="s">
        <v>672</v>
      </c>
      <c r="B661">
        <v>5</v>
      </c>
      <c r="C661">
        <v>-114476376.3</v>
      </c>
      <c r="D661">
        <v>0</v>
      </c>
      <c r="E661">
        <v>42410029.390000001</v>
      </c>
      <c r="F661">
        <v>72997904.200000003</v>
      </c>
      <c r="G661">
        <v>5</v>
      </c>
      <c r="H661">
        <v>2</v>
      </c>
      <c r="I661">
        <v>2</v>
      </c>
      <c r="J661">
        <v>3.5</v>
      </c>
      <c r="K661" t="s">
        <v>306</v>
      </c>
    </row>
    <row r="662" spans="1:11" x14ac:dyDescent="0.35">
      <c r="A662" t="s">
        <v>673</v>
      </c>
      <c r="B662">
        <v>5</v>
      </c>
      <c r="C662">
        <v>-86396962.659999996</v>
      </c>
      <c r="D662">
        <v>0</v>
      </c>
      <c r="E662">
        <v>37602957.130000003</v>
      </c>
      <c r="F662">
        <v>82564887.200000003</v>
      </c>
      <c r="G662">
        <v>5</v>
      </c>
      <c r="H662">
        <v>2</v>
      </c>
      <c r="I662">
        <v>2</v>
      </c>
      <c r="J662">
        <v>3.5</v>
      </c>
      <c r="K662" t="s">
        <v>306</v>
      </c>
    </row>
    <row r="663" spans="1:11" x14ac:dyDescent="0.35">
      <c r="A663" t="s">
        <v>674</v>
      </c>
      <c r="B663">
        <v>5</v>
      </c>
      <c r="C663">
        <v>-29359394.620000001</v>
      </c>
      <c r="D663">
        <v>0</v>
      </c>
      <c r="E663">
        <v>21422031.329999998</v>
      </c>
      <c r="F663">
        <v>41034107.899999999</v>
      </c>
      <c r="G663">
        <v>5</v>
      </c>
      <c r="H663">
        <v>2</v>
      </c>
      <c r="I663">
        <v>2</v>
      </c>
      <c r="J663">
        <v>3.5</v>
      </c>
      <c r="K663" t="s">
        <v>306</v>
      </c>
    </row>
    <row r="664" spans="1:11" x14ac:dyDescent="0.35">
      <c r="A664" t="s">
        <v>675</v>
      </c>
      <c r="B664">
        <v>5</v>
      </c>
      <c r="C664">
        <v>-39157840.859999999</v>
      </c>
      <c r="D664">
        <v>0</v>
      </c>
      <c r="E664">
        <v>21306204.210000001</v>
      </c>
      <c r="F664">
        <v>42265569.5</v>
      </c>
      <c r="G664">
        <v>5</v>
      </c>
      <c r="H664">
        <v>2</v>
      </c>
      <c r="I664">
        <v>2</v>
      </c>
      <c r="J664">
        <v>3.5</v>
      </c>
      <c r="K664" t="s">
        <v>306</v>
      </c>
    </row>
    <row r="665" spans="1:11" x14ac:dyDescent="0.35">
      <c r="A665" t="s">
        <v>676</v>
      </c>
      <c r="B665">
        <v>5</v>
      </c>
      <c r="C665">
        <v>-89247691.540000007</v>
      </c>
      <c r="D665">
        <v>0</v>
      </c>
      <c r="E665">
        <v>29217462.25</v>
      </c>
      <c r="F665">
        <v>41810442.5</v>
      </c>
      <c r="G665">
        <v>5</v>
      </c>
      <c r="H665">
        <v>2</v>
      </c>
      <c r="I665">
        <v>2</v>
      </c>
      <c r="J665">
        <v>3.5</v>
      </c>
      <c r="K665" t="s">
        <v>306</v>
      </c>
    </row>
    <row r="666" spans="1:11" x14ac:dyDescent="0.35">
      <c r="A666" t="s">
        <v>677</v>
      </c>
      <c r="B666">
        <v>5</v>
      </c>
      <c r="C666">
        <v>-100219055.8</v>
      </c>
      <c r="D666">
        <v>0</v>
      </c>
      <c r="E666">
        <v>17265580.52</v>
      </c>
      <c r="F666">
        <v>43923910.600000001</v>
      </c>
      <c r="G666">
        <v>5</v>
      </c>
      <c r="H666">
        <v>2</v>
      </c>
      <c r="I666">
        <v>2</v>
      </c>
      <c r="J666">
        <v>3.5</v>
      </c>
      <c r="K666" t="s">
        <v>306</v>
      </c>
    </row>
    <row r="667" spans="1:11" x14ac:dyDescent="0.35">
      <c r="A667" t="s">
        <v>678</v>
      </c>
      <c r="B667">
        <v>5</v>
      </c>
      <c r="C667">
        <v>-56205203.68</v>
      </c>
      <c r="D667">
        <v>0</v>
      </c>
      <c r="E667">
        <v>36106627.93</v>
      </c>
      <c r="F667">
        <v>46047882</v>
      </c>
      <c r="G667">
        <v>5</v>
      </c>
      <c r="H667">
        <v>2</v>
      </c>
      <c r="I667">
        <v>2</v>
      </c>
      <c r="J667">
        <v>3.5</v>
      </c>
      <c r="K667" t="s">
        <v>306</v>
      </c>
    </row>
    <row r="668" spans="1:11" x14ac:dyDescent="0.35">
      <c r="A668" t="s">
        <v>679</v>
      </c>
      <c r="B668">
        <v>5</v>
      </c>
      <c r="C668">
        <v>-166994425.69999999</v>
      </c>
      <c r="D668">
        <v>0</v>
      </c>
      <c r="E668">
        <v>35769678.700000003</v>
      </c>
      <c r="F668">
        <v>55412996.200000003</v>
      </c>
      <c r="G668">
        <v>5</v>
      </c>
      <c r="H668">
        <v>2</v>
      </c>
      <c r="I668">
        <v>2</v>
      </c>
      <c r="J668">
        <v>3.5</v>
      </c>
      <c r="K668" t="s">
        <v>306</v>
      </c>
    </row>
    <row r="669" spans="1:11" x14ac:dyDescent="0.35">
      <c r="A669" t="s">
        <v>680</v>
      </c>
      <c r="B669">
        <v>5</v>
      </c>
      <c r="C669">
        <v>-86401005.920000002</v>
      </c>
      <c r="D669">
        <v>0</v>
      </c>
      <c r="E669">
        <v>44323401.890000001</v>
      </c>
      <c r="F669">
        <v>52761185.899999999</v>
      </c>
      <c r="G669">
        <v>5</v>
      </c>
      <c r="H669">
        <v>2</v>
      </c>
      <c r="I669">
        <v>2</v>
      </c>
      <c r="J669">
        <v>3.5</v>
      </c>
      <c r="K669" t="s">
        <v>306</v>
      </c>
    </row>
    <row r="670" spans="1:11" x14ac:dyDescent="0.35">
      <c r="A670" t="s">
        <v>681</v>
      </c>
      <c r="B670">
        <v>5</v>
      </c>
      <c r="C670">
        <v>-53057934.840000004</v>
      </c>
      <c r="D670">
        <v>0</v>
      </c>
      <c r="E670">
        <v>26905728.010000002</v>
      </c>
      <c r="F670">
        <v>52756242</v>
      </c>
      <c r="G670">
        <v>5</v>
      </c>
      <c r="H670">
        <v>2</v>
      </c>
      <c r="I670">
        <v>2</v>
      </c>
      <c r="J670">
        <v>3.5</v>
      </c>
      <c r="K670" t="s">
        <v>306</v>
      </c>
    </row>
    <row r="671" spans="1:11" x14ac:dyDescent="0.35">
      <c r="A671" t="s">
        <v>682</v>
      </c>
      <c r="B671">
        <v>5</v>
      </c>
      <c r="C671">
        <v>-50686975.799999997</v>
      </c>
      <c r="D671">
        <v>0</v>
      </c>
      <c r="E671">
        <v>24513956.98</v>
      </c>
      <c r="F671">
        <v>57087843.5</v>
      </c>
      <c r="G671">
        <v>5</v>
      </c>
      <c r="H671">
        <v>2</v>
      </c>
      <c r="I671">
        <v>2</v>
      </c>
      <c r="J671">
        <v>3.5</v>
      </c>
      <c r="K671" t="s">
        <v>306</v>
      </c>
    </row>
    <row r="672" spans="1:11" x14ac:dyDescent="0.35">
      <c r="A672" t="s">
        <v>683</v>
      </c>
      <c r="B672">
        <v>5</v>
      </c>
      <c r="C672">
        <v>-113114346.2</v>
      </c>
      <c r="D672">
        <v>0</v>
      </c>
      <c r="E672">
        <v>38129909.18</v>
      </c>
      <c r="F672">
        <v>71555901.5</v>
      </c>
      <c r="G672">
        <v>5</v>
      </c>
      <c r="H672">
        <v>2</v>
      </c>
      <c r="I672">
        <v>2</v>
      </c>
      <c r="J672">
        <v>3.5</v>
      </c>
      <c r="K672" t="s">
        <v>306</v>
      </c>
    </row>
    <row r="673" spans="1:11" x14ac:dyDescent="0.35">
      <c r="A673" t="s">
        <v>684</v>
      </c>
      <c r="B673">
        <v>5</v>
      </c>
      <c r="C673">
        <v>-65204515.039999999</v>
      </c>
      <c r="D673">
        <v>0</v>
      </c>
      <c r="E673">
        <v>30465404.02</v>
      </c>
      <c r="F673">
        <v>65491113.299999997</v>
      </c>
      <c r="G673">
        <v>5</v>
      </c>
      <c r="H673">
        <v>2</v>
      </c>
      <c r="I673">
        <v>2</v>
      </c>
      <c r="J673">
        <v>3.5</v>
      </c>
      <c r="K673" t="s">
        <v>306</v>
      </c>
    </row>
    <row r="674" spans="1:11" x14ac:dyDescent="0.35">
      <c r="A674" t="s">
        <v>685</v>
      </c>
      <c r="B674">
        <v>5</v>
      </c>
      <c r="C674">
        <v>-57506838.799999997</v>
      </c>
      <c r="D674">
        <v>0</v>
      </c>
      <c r="E674">
        <v>29408388.879999999</v>
      </c>
      <c r="F674">
        <v>37493121</v>
      </c>
      <c r="G674">
        <v>5</v>
      </c>
      <c r="H674">
        <v>2</v>
      </c>
      <c r="I674">
        <v>2</v>
      </c>
      <c r="J674">
        <v>3.5</v>
      </c>
      <c r="K674" t="s">
        <v>306</v>
      </c>
    </row>
    <row r="675" spans="1:11" x14ac:dyDescent="0.35">
      <c r="A675" t="s">
        <v>686</v>
      </c>
      <c r="B675">
        <v>5</v>
      </c>
      <c r="C675">
        <v>-49625390.740000002</v>
      </c>
      <c r="D675">
        <v>0</v>
      </c>
      <c r="E675">
        <v>15688899.34</v>
      </c>
      <c r="F675">
        <v>32794106.399999999</v>
      </c>
      <c r="G675">
        <v>5</v>
      </c>
      <c r="H675">
        <v>2</v>
      </c>
      <c r="I675">
        <v>2</v>
      </c>
      <c r="J675">
        <v>3.5</v>
      </c>
      <c r="K675" t="s">
        <v>306</v>
      </c>
    </row>
    <row r="676" spans="1:11" x14ac:dyDescent="0.35">
      <c r="A676" t="s">
        <v>687</v>
      </c>
      <c r="B676">
        <v>5</v>
      </c>
      <c r="C676">
        <v>-81139458.859999999</v>
      </c>
      <c r="D676">
        <v>0</v>
      </c>
      <c r="E676">
        <v>33536624.440000001</v>
      </c>
      <c r="F676">
        <v>31776119.699999999</v>
      </c>
      <c r="G676">
        <v>5</v>
      </c>
      <c r="H676">
        <v>2</v>
      </c>
      <c r="I676">
        <v>2</v>
      </c>
      <c r="J676">
        <v>3.5</v>
      </c>
      <c r="K676" t="s">
        <v>306</v>
      </c>
    </row>
    <row r="677" spans="1:11" x14ac:dyDescent="0.35">
      <c r="A677" t="s">
        <v>688</v>
      </c>
      <c r="B677">
        <v>5</v>
      </c>
      <c r="C677">
        <v>-20609094.539999999</v>
      </c>
      <c r="D677">
        <v>0</v>
      </c>
      <c r="E677">
        <v>25938091.52</v>
      </c>
      <c r="F677">
        <v>30485821</v>
      </c>
      <c r="G677">
        <v>5</v>
      </c>
      <c r="H677">
        <v>2</v>
      </c>
      <c r="I677">
        <v>2</v>
      </c>
      <c r="J677">
        <v>3.5</v>
      </c>
      <c r="K677" t="s">
        <v>306</v>
      </c>
    </row>
    <row r="678" spans="1:11" x14ac:dyDescent="0.35">
      <c r="A678" t="s">
        <v>689</v>
      </c>
      <c r="B678">
        <v>5</v>
      </c>
      <c r="C678">
        <v>-51626848.640000001</v>
      </c>
      <c r="D678">
        <v>0.2</v>
      </c>
      <c r="E678">
        <v>103523640.8</v>
      </c>
      <c r="F678">
        <v>7885919.5999999996</v>
      </c>
      <c r="G678">
        <v>4</v>
      </c>
      <c r="H678">
        <v>3</v>
      </c>
      <c r="I678">
        <v>3</v>
      </c>
      <c r="J678">
        <v>3.5</v>
      </c>
      <c r="K678" t="s">
        <v>306</v>
      </c>
    </row>
    <row r="679" spans="1:11" x14ac:dyDescent="0.35">
      <c r="A679" t="s">
        <v>690</v>
      </c>
      <c r="B679">
        <v>5</v>
      </c>
      <c r="C679">
        <v>-83862450.819999993</v>
      </c>
      <c r="D679">
        <v>0.2</v>
      </c>
      <c r="E679">
        <v>52234672.090000004</v>
      </c>
      <c r="F679">
        <v>10957978.4</v>
      </c>
      <c r="G679">
        <v>4</v>
      </c>
      <c r="H679">
        <v>3</v>
      </c>
      <c r="I679">
        <v>3</v>
      </c>
      <c r="J679">
        <v>3.5</v>
      </c>
      <c r="K679" t="s">
        <v>306</v>
      </c>
    </row>
    <row r="680" spans="1:11" x14ac:dyDescent="0.35">
      <c r="A680" t="s">
        <v>691</v>
      </c>
      <c r="B680">
        <v>5</v>
      </c>
      <c r="C680">
        <v>-38598946.020000003</v>
      </c>
      <c r="D680">
        <v>0.2</v>
      </c>
      <c r="E680">
        <v>55213058.140000001</v>
      </c>
      <c r="F680">
        <v>14550523.199999999</v>
      </c>
      <c r="G680">
        <v>4</v>
      </c>
      <c r="H680">
        <v>3</v>
      </c>
      <c r="I680">
        <v>3</v>
      </c>
      <c r="J680">
        <v>3.5</v>
      </c>
      <c r="K680" t="s">
        <v>306</v>
      </c>
    </row>
    <row r="681" spans="1:11" x14ac:dyDescent="0.35">
      <c r="A681" t="s">
        <v>692</v>
      </c>
      <c r="B681">
        <v>5</v>
      </c>
      <c r="C681">
        <v>36196870.840000004</v>
      </c>
      <c r="D681">
        <v>0.6</v>
      </c>
      <c r="E681">
        <v>181545081.5</v>
      </c>
      <c r="F681">
        <v>-36877094.200000003</v>
      </c>
      <c r="G681">
        <v>3</v>
      </c>
      <c r="H681">
        <v>4</v>
      </c>
      <c r="I681">
        <v>4</v>
      </c>
      <c r="J681">
        <v>3.5</v>
      </c>
      <c r="K681" t="s">
        <v>306</v>
      </c>
    </row>
    <row r="682" spans="1:11" x14ac:dyDescent="0.35">
      <c r="A682" t="s">
        <v>693</v>
      </c>
      <c r="B682">
        <v>5</v>
      </c>
      <c r="C682">
        <v>-27139657.359999999</v>
      </c>
      <c r="D682">
        <v>0.6</v>
      </c>
      <c r="E682">
        <v>142758846.30000001</v>
      </c>
      <c r="F682">
        <v>-26079001.699999999</v>
      </c>
      <c r="G682">
        <v>3</v>
      </c>
      <c r="H682">
        <v>4</v>
      </c>
      <c r="I682">
        <v>4</v>
      </c>
      <c r="J682">
        <v>3.5</v>
      </c>
      <c r="K682" t="s">
        <v>306</v>
      </c>
    </row>
    <row r="683" spans="1:11" x14ac:dyDescent="0.35">
      <c r="A683" t="s">
        <v>694</v>
      </c>
      <c r="B683">
        <v>5</v>
      </c>
      <c r="C683">
        <v>17803932.379999999</v>
      </c>
      <c r="D683">
        <v>0.8</v>
      </c>
      <c r="E683">
        <v>155352080.80000001</v>
      </c>
      <c r="F683">
        <v>-23513329.100000001</v>
      </c>
      <c r="G683">
        <v>3</v>
      </c>
      <c r="H683">
        <v>4</v>
      </c>
      <c r="I683">
        <v>4</v>
      </c>
      <c r="J683">
        <v>3.5</v>
      </c>
      <c r="K683" t="s">
        <v>306</v>
      </c>
    </row>
    <row r="684" spans="1:11" x14ac:dyDescent="0.35">
      <c r="A684" t="s">
        <v>695</v>
      </c>
      <c r="B684">
        <v>5</v>
      </c>
      <c r="C684">
        <v>-61508288</v>
      </c>
      <c r="D684">
        <v>0.6</v>
      </c>
      <c r="E684">
        <v>152322249.40000001</v>
      </c>
      <c r="F684">
        <v>-7163145.5</v>
      </c>
      <c r="G684">
        <v>3</v>
      </c>
      <c r="H684">
        <v>4</v>
      </c>
      <c r="I684">
        <v>4</v>
      </c>
      <c r="J684">
        <v>3.5</v>
      </c>
      <c r="K684" t="s">
        <v>306</v>
      </c>
    </row>
    <row r="685" spans="1:11" x14ac:dyDescent="0.35">
      <c r="A685" t="s">
        <v>696</v>
      </c>
      <c r="B685">
        <v>5</v>
      </c>
      <c r="C685">
        <v>37411560.780000001</v>
      </c>
      <c r="D685">
        <v>0.4</v>
      </c>
      <c r="E685">
        <v>74324861.700000003</v>
      </c>
      <c r="F685">
        <v>-5112128.0999999996</v>
      </c>
      <c r="G685">
        <v>4</v>
      </c>
      <c r="H685">
        <v>3</v>
      </c>
      <c r="I685">
        <v>3</v>
      </c>
      <c r="J685">
        <v>3.5</v>
      </c>
      <c r="K685" t="s">
        <v>306</v>
      </c>
    </row>
    <row r="686" spans="1:11" x14ac:dyDescent="0.35">
      <c r="A686" t="s">
        <v>697</v>
      </c>
      <c r="B686">
        <v>5</v>
      </c>
      <c r="C686">
        <v>-77965423.140000001</v>
      </c>
      <c r="D686">
        <v>0.6</v>
      </c>
      <c r="E686">
        <v>166666007.5</v>
      </c>
      <c r="F686">
        <v>-5991653.7000000002</v>
      </c>
      <c r="G686">
        <v>3</v>
      </c>
      <c r="H686">
        <v>4</v>
      </c>
      <c r="I686">
        <v>4</v>
      </c>
      <c r="J686">
        <v>3.5</v>
      </c>
      <c r="K686" t="s">
        <v>306</v>
      </c>
    </row>
    <row r="687" spans="1:11" x14ac:dyDescent="0.35">
      <c r="A687" t="s">
        <v>698</v>
      </c>
      <c r="B687">
        <v>5</v>
      </c>
      <c r="C687">
        <v>-63561414.439999998</v>
      </c>
      <c r="D687">
        <v>0.2</v>
      </c>
      <c r="E687">
        <v>80709748.819999993</v>
      </c>
      <c r="F687">
        <v>-3585378.6</v>
      </c>
      <c r="G687">
        <v>4</v>
      </c>
      <c r="H687">
        <v>3</v>
      </c>
      <c r="I687">
        <v>3</v>
      </c>
      <c r="J687">
        <v>3.5</v>
      </c>
      <c r="K687" t="s">
        <v>306</v>
      </c>
    </row>
    <row r="688" spans="1:11" x14ac:dyDescent="0.35">
      <c r="A688" t="s">
        <v>699</v>
      </c>
      <c r="B688">
        <v>5</v>
      </c>
      <c r="C688">
        <v>-83106534.980000004</v>
      </c>
      <c r="D688">
        <v>0</v>
      </c>
      <c r="E688">
        <v>82439401.659999996</v>
      </c>
      <c r="F688">
        <v>-3866595.5</v>
      </c>
      <c r="G688">
        <v>4</v>
      </c>
      <c r="H688">
        <v>3</v>
      </c>
      <c r="I688">
        <v>3</v>
      </c>
      <c r="J688">
        <v>3.5</v>
      </c>
      <c r="K688" t="s">
        <v>306</v>
      </c>
    </row>
    <row r="689" spans="1:11" x14ac:dyDescent="0.35">
      <c r="A689" t="b">
        <v>1</v>
      </c>
      <c r="B689">
        <v>5</v>
      </c>
      <c r="C689">
        <v>-37249208.079999998</v>
      </c>
      <c r="D689">
        <v>0.2</v>
      </c>
      <c r="E689">
        <v>68229458.120000005</v>
      </c>
      <c r="F689">
        <v>5040706.3</v>
      </c>
      <c r="G689">
        <v>4</v>
      </c>
      <c r="H689">
        <v>3</v>
      </c>
      <c r="I689">
        <v>3</v>
      </c>
      <c r="J689">
        <v>3.5</v>
      </c>
      <c r="K689" t="s">
        <v>306</v>
      </c>
    </row>
    <row r="690" spans="1:11" x14ac:dyDescent="0.35">
      <c r="A690" t="s">
        <v>700</v>
      </c>
      <c r="B690">
        <v>5</v>
      </c>
      <c r="C690">
        <v>-26528114.079999998</v>
      </c>
      <c r="D690">
        <v>0.2</v>
      </c>
      <c r="E690">
        <v>82524601.370000005</v>
      </c>
      <c r="F690">
        <v>4507761.9000000004</v>
      </c>
      <c r="G690">
        <v>4</v>
      </c>
      <c r="H690">
        <v>3</v>
      </c>
      <c r="I690">
        <v>3</v>
      </c>
      <c r="J690">
        <v>3.5</v>
      </c>
      <c r="K690" t="s">
        <v>306</v>
      </c>
    </row>
    <row r="691" spans="1:11" x14ac:dyDescent="0.35">
      <c r="A691" t="s">
        <v>701</v>
      </c>
      <c r="B691">
        <v>5</v>
      </c>
      <c r="C691">
        <v>27270788</v>
      </c>
      <c r="D691">
        <v>0.4</v>
      </c>
      <c r="E691">
        <v>70335217.75</v>
      </c>
      <c r="F691">
        <v>6078459.5</v>
      </c>
      <c r="G691">
        <v>4</v>
      </c>
      <c r="H691">
        <v>3</v>
      </c>
      <c r="I691">
        <v>3</v>
      </c>
      <c r="J691">
        <v>3.5</v>
      </c>
      <c r="K691" t="s">
        <v>306</v>
      </c>
    </row>
    <row r="692" spans="1:11" x14ac:dyDescent="0.35">
      <c r="A692" t="s">
        <v>702</v>
      </c>
      <c r="B692">
        <v>5</v>
      </c>
      <c r="C692">
        <v>53153834.740000002</v>
      </c>
      <c r="D692">
        <v>0.6</v>
      </c>
      <c r="E692">
        <v>113061915.09999999</v>
      </c>
      <c r="F692">
        <v>-50379061.200000003</v>
      </c>
      <c r="G692">
        <v>3</v>
      </c>
      <c r="H692">
        <v>4</v>
      </c>
      <c r="I692">
        <v>4</v>
      </c>
      <c r="J692">
        <v>3.5</v>
      </c>
      <c r="K692" t="s">
        <v>306</v>
      </c>
    </row>
    <row r="693" spans="1:11" x14ac:dyDescent="0.35">
      <c r="A693" t="s">
        <v>703</v>
      </c>
      <c r="B693">
        <v>5</v>
      </c>
      <c r="C693">
        <v>-90088484.519999996</v>
      </c>
      <c r="D693">
        <v>0.6</v>
      </c>
      <c r="E693">
        <v>236060425.80000001</v>
      </c>
      <c r="F693">
        <v>-51728902.100000001</v>
      </c>
      <c r="G693">
        <v>3</v>
      </c>
      <c r="H693">
        <v>4</v>
      </c>
      <c r="I693">
        <v>4</v>
      </c>
      <c r="J693">
        <v>3.5</v>
      </c>
      <c r="K693" t="s">
        <v>306</v>
      </c>
    </row>
    <row r="694" spans="1:11" x14ac:dyDescent="0.35">
      <c r="A694" t="s">
        <v>704</v>
      </c>
      <c r="B694">
        <v>5</v>
      </c>
      <c r="C694">
        <v>-12990257.119999999</v>
      </c>
      <c r="D694">
        <v>0.8</v>
      </c>
      <c r="E694">
        <v>283176859.30000001</v>
      </c>
      <c r="F694">
        <v>-63847095.299999997</v>
      </c>
      <c r="G694">
        <v>3</v>
      </c>
      <c r="H694">
        <v>4</v>
      </c>
      <c r="I694">
        <v>4</v>
      </c>
      <c r="J694">
        <v>3.5</v>
      </c>
      <c r="K694" t="s">
        <v>306</v>
      </c>
    </row>
    <row r="695" spans="1:11" x14ac:dyDescent="0.35">
      <c r="A695" t="s">
        <v>705</v>
      </c>
      <c r="B695">
        <v>5</v>
      </c>
      <c r="C695">
        <v>813486189.29999995</v>
      </c>
      <c r="D695">
        <v>1</v>
      </c>
      <c r="E695">
        <v>430021359.69999999</v>
      </c>
      <c r="F695">
        <v>-95435789.5</v>
      </c>
      <c r="G695">
        <v>2</v>
      </c>
      <c r="H695">
        <v>5</v>
      </c>
      <c r="I695">
        <v>5</v>
      </c>
      <c r="J695">
        <v>3.5</v>
      </c>
      <c r="K695" t="s">
        <v>306</v>
      </c>
    </row>
    <row r="696" spans="1:11" x14ac:dyDescent="0.35">
      <c r="A696" t="s">
        <v>706</v>
      </c>
      <c r="B696">
        <v>5</v>
      </c>
      <c r="C696">
        <v>1637209723</v>
      </c>
      <c r="D696">
        <v>0.8</v>
      </c>
      <c r="E696">
        <v>1080059758</v>
      </c>
      <c r="F696">
        <v>-84135171</v>
      </c>
      <c r="G696">
        <v>2</v>
      </c>
      <c r="H696">
        <v>5</v>
      </c>
      <c r="I696">
        <v>5</v>
      </c>
      <c r="J696">
        <v>3.5</v>
      </c>
      <c r="K696" t="s">
        <v>306</v>
      </c>
    </row>
    <row r="697" spans="1:11" x14ac:dyDescent="0.35">
      <c r="A697" t="s">
        <v>707</v>
      </c>
      <c r="B697">
        <v>5</v>
      </c>
      <c r="C697">
        <v>542538153.5</v>
      </c>
      <c r="D697">
        <v>0.8</v>
      </c>
      <c r="E697">
        <v>553959293.89999998</v>
      </c>
      <c r="F697">
        <v>-117445575</v>
      </c>
      <c r="G697">
        <v>2</v>
      </c>
      <c r="H697">
        <v>5</v>
      </c>
      <c r="I697">
        <v>5</v>
      </c>
      <c r="J697">
        <v>3.5</v>
      </c>
      <c r="K697" t="s">
        <v>306</v>
      </c>
    </row>
    <row r="698" spans="1:11" x14ac:dyDescent="0.35">
      <c r="A698" t="s">
        <v>708</v>
      </c>
      <c r="B698">
        <v>5</v>
      </c>
      <c r="C698">
        <v>2163807201</v>
      </c>
      <c r="D698">
        <v>1</v>
      </c>
      <c r="E698">
        <v>645644128.10000002</v>
      </c>
      <c r="F698">
        <v>-245421314</v>
      </c>
      <c r="G698">
        <v>2</v>
      </c>
      <c r="H698">
        <v>5</v>
      </c>
      <c r="I698">
        <v>5</v>
      </c>
      <c r="J698">
        <v>3.5</v>
      </c>
      <c r="K698" t="s">
        <v>306</v>
      </c>
    </row>
    <row r="699" spans="1:11" x14ac:dyDescent="0.35">
      <c r="A699" t="s">
        <v>709</v>
      </c>
      <c r="B699">
        <v>5</v>
      </c>
      <c r="C699">
        <v>40276500.159999996</v>
      </c>
      <c r="D699">
        <v>0.8</v>
      </c>
      <c r="E699">
        <v>354977038.80000001</v>
      </c>
      <c r="F699">
        <v>-143263661.19999999</v>
      </c>
      <c r="G699">
        <v>2</v>
      </c>
      <c r="H699">
        <v>5</v>
      </c>
      <c r="I699">
        <v>5</v>
      </c>
      <c r="J699">
        <v>3.5</v>
      </c>
      <c r="K699" t="s">
        <v>306</v>
      </c>
    </row>
    <row r="700" spans="1:11" x14ac:dyDescent="0.35">
      <c r="A700" t="s">
        <v>710</v>
      </c>
      <c r="B700">
        <v>5</v>
      </c>
      <c r="C700">
        <v>150409012.69999999</v>
      </c>
      <c r="D700">
        <v>0.8</v>
      </c>
      <c r="E700">
        <v>1149854673</v>
      </c>
      <c r="F700">
        <v>-610388588.70000005</v>
      </c>
      <c r="G700">
        <v>2</v>
      </c>
      <c r="H700">
        <v>5</v>
      </c>
      <c r="I700">
        <v>5</v>
      </c>
      <c r="J700">
        <v>3.5</v>
      </c>
      <c r="K700" t="s">
        <v>306</v>
      </c>
    </row>
    <row r="701" spans="1:11" x14ac:dyDescent="0.35">
      <c r="A701" t="s">
        <v>711</v>
      </c>
      <c r="B701">
        <v>5</v>
      </c>
      <c r="C701">
        <v>434859752.10000002</v>
      </c>
      <c r="D701">
        <v>0.8</v>
      </c>
      <c r="E701">
        <v>603836658.39999998</v>
      </c>
      <c r="F701">
        <v>-562700895.39999998</v>
      </c>
      <c r="G701">
        <v>2</v>
      </c>
      <c r="H701">
        <v>5</v>
      </c>
      <c r="I701">
        <v>5</v>
      </c>
      <c r="J701">
        <v>3.5</v>
      </c>
      <c r="K701" t="s">
        <v>306</v>
      </c>
    </row>
    <row r="702" spans="1:11" x14ac:dyDescent="0.35">
      <c r="A702" t="s">
        <v>712</v>
      </c>
      <c r="B702">
        <v>5</v>
      </c>
      <c r="C702">
        <v>659118135.79999995</v>
      </c>
      <c r="D702">
        <v>0.8</v>
      </c>
      <c r="E702">
        <v>1280471024</v>
      </c>
      <c r="F702">
        <v>-1042062566</v>
      </c>
      <c r="G702">
        <v>2</v>
      </c>
      <c r="H702">
        <v>5</v>
      </c>
      <c r="I702">
        <v>5</v>
      </c>
      <c r="J702">
        <v>3.5</v>
      </c>
      <c r="K702" t="s">
        <v>306</v>
      </c>
    </row>
    <row r="703" spans="1:11" x14ac:dyDescent="0.35">
      <c r="A703" t="s">
        <v>713</v>
      </c>
      <c r="B703">
        <v>5</v>
      </c>
      <c r="C703">
        <v>533935466.30000001</v>
      </c>
      <c r="D703">
        <v>0.8</v>
      </c>
      <c r="E703">
        <v>1798813325</v>
      </c>
      <c r="F703">
        <v>-941135448</v>
      </c>
      <c r="G703">
        <v>2</v>
      </c>
      <c r="H703">
        <v>5</v>
      </c>
      <c r="I703">
        <v>5</v>
      </c>
      <c r="J703">
        <v>3.5</v>
      </c>
      <c r="K703" t="s">
        <v>306</v>
      </c>
    </row>
    <row r="704" spans="1:11" x14ac:dyDescent="0.35">
      <c r="A704" t="s">
        <v>714</v>
      </c>
      <c r="B704">
        <v>5</v>
      </c>
      <c r="C704">
        <v>604347073.5</v>
      </c>
      <c r="D704">
        <v>1</v>
      </c>
      <c r="E704">
        <v>461834427.80000001</v>
      </c>
      <c r="F704">
        <v>-832781874.89999998</v>
      </c>
      <c r="G704">
        <v>2</v>
      </c>
      <c r="H704">
        <v>5</v>
      </c>
      <c r="I704">
        <v>5</v>
      </c>
      <c r="J704">
        <v>3.5</v>
      </c>
      <c r="K704" t="s">
        <v>306</v>
      </c>
    </row>
    <row r="705" spans="1:11" x14ac:dyDescent="0.35">
      <c r="A705" t="s">
        <v>715</v>
      </c>
      <c r="B705">
        <v>5</v>
      </c>
      <c r="C705">
        <v>2531967644</v>
      </c>
      <c r="D705">
        <v>1</v>
      </c>
      <c r="E705">
        <v>616367159.10000002</v>
      </c>
      <c r="F705">
        <v>-836253305</v>
      </c>
      <c r="G705">
        <v>2</v>
      </c>
      <c r="H705">
        <v>5</v>
      </c>
      <c r="I705">
        <v>5</v>
      </c>
      <c r="J705">
        <v>3.5</v>
      </c>
      <c r="K705" t="s">
        <v>306</v>
      </c>
    </row>
    <row r="706" spans="1:11" x14ac:dyDescent="0.35">
      <c r="A706" t="s">
        <v>716</v>
      </c>
      <c r="B706">
        <v>5</v>
      </c>
      <c r="C706">
        <v>592096709.29999995</v>
      </c>
      <c r="D706">
        <v>0.8</v>
      </c>
      <c r="E706">
        <v>392010660.39999998</v>
      </c>
      <c r="F706">
        <v>-876907517.39999998</v>
      </c>
      <c r="G706">
        <v>2</v>
      </c>
      <c r="H706">
        <v>5</v>
      </c>
      <c r="I706">
        <v>5</v>
      </c>
      <c r="J706">
        <v>3.5</v>
      </c>
      <c r="K706" t="s">
        <v>306</v>
      </c>
    </row>
    <row r="707" spans="1:11" x14ac:dyDescent="0.35">
      <c r="A707" t="s">
        <v>717</v>
      </c>
      <c r="B707">
        <v>5</v>
      </c>
      <c r="C707">
        <v>598543424.29999995</v>
      </c>
      <c r="D707">
        <v>0.8</v>
      </c>
      <c r="E707">
        <v>1262857311</v>
      </c>
      <c r="F707">
        <v>-759749732.29999995</v>
      </c>
      <c r="G707">
        <v>2</v>
      </c>
      <c r="H707">
        <v>5</v>
      </c>
      <c r="I707">
        <v>5</v>
      </c>
      <c r="J707">
        <v>3.5</v>
      </c>
      <c r="K707" t="s">
        <v>306</v>
      </c>
    </row>
    <row r="708" spans="1:11" x14ac:dyDescent="0.35">
      <c r="A708" t="s">
        <v>718</v>
      </c>
      <c r="B708">
        <v>5</v>
      </c>
      <c r="C708">
        <v>2018641582</v>
      </c>
      <c r="D708">
        <v>1</v>
      </c>
      <c r="E708">
        <v>1537298777</v>
      </c>
      <c r="F708">
        <v>-355012030</v>
      </c>
      <c r="G708">
        <v>2</v>
      </c>
      <c r="H708">
        <v>5</v>
      </c>
      <c r="I708">
        <v>5</v>
      </c>
      <c r="J708">
        <v>3.5</v>
      </c>
      <c r="K708" t="s">
        <v>306</v>
      </c>
    </row>
    <row r="709" spans="1:11" x14ac:dyDescent="0.35">
      <c r="A709" t="s">
        <v>719</v>
      </c>
      <c r="B709">
        <v>5</v>
      </c>
      <c r="C709">
        <v>43578210.280000001</v>
      </c>
      <c r="D709">
        <v>0.8</v>
      </c>
      <c r="E709">
        <v>354356397</v>
      </c>
      <c r="F709">
        <v>-367442839.30000001</v>
      </c>
      <c r="G709">
        <v>2</v>
      </c>
      <c r="H709">
        <v>5</v>
      </c>
      <c r="I709">
        <v>5</v>
      </c>
      <c r="J709">
        <v>3.5</v>
      </c>
      <c r="K709" t="s">
        <v>306</v>
      </c>
    </row>
    <row r="710" spans="1:11" x14ac:dyDescent="0.35">
      <c r="A710" t="s">
        <v>720</v>
      </c>
      <c r="B710">
        <v>5</v>
      </c>
      <c r="C710">
        <v>3838228618</v>
      </c>
      <c r="D710">
        <v>1</v>
      </c>
      <c r="E710">
        <v>2031639365</v>
      </c>
      <c r="F710">
        <v>-280508978</v>
      </c>
      <c r="G710">
        <v>2</v>
      </c>
      <c r="H710">
        <v>5</v>
      </c>
      <c r="I710">
        <v>5</v>
      </c>
      <c r="J710">
        <v>3.5</v>
      </c>
      <c r="K710" t="s">
        <v>306</v>
      </c>
    </row>
    <row r="711" spans="1:11" x14ac:dyDescent="0.35">
      <c r="A711" t="s">
        <v>721</v>
      </c>
      <c r="B711">
        <v>5</v>
      </c>
      <c r="C711">
        <v>357836960.5</v>
      </c>
      <c r="D711">
        <v>0.8</v>
      </c>
      <c r="E711">
        <v>1146309127</v>
      </c>
      <c r="F711">
        <v>-1771133204</v>
      </c>
      <c r="G711">
        <v>2</v>
      </c>
      <c r="H711">
        <v>5</v>
      </c>
      <c r="I711">
        <v>5</v>
      </c>
      <c r="J711">
        <v>3.5</v>
      </c>
      <c r="K711" t="s">
        <v>306</v>
      </c>
    </row>
    <row r="712" spans="1:11" x14ac:dyDescent="0.35">
      <c r="A712" t="s">
        <v>722</v>
      </c>
      <c r="B712">
        <v>5</v>
      </c>
      <c r="C712">
        <v>10187872868</v>
      </c>
      <c r="D712">
        <v>1</v>
      </c>
      <c r="E712">
        <v>2828486203</v>
      </c>
      <c r="F712">
        <v>-2664236958</v>
      </c>
      <c r="G712">
        <v>2</v>
      </c>
      <c r="H712">
        <v>5</v>
      </c>
      <c r="I712">
        <v>5</v>
      </c>
      <c r="J712">
        <v>3.5</v>
      </c>
      <c r="K712" t="s">
        <v>306</v>
      </c>
    </row>
    <row r="713" spans="1:11" x14ac:dyDescent="0.35">
      <c r="A713" t="s">
        <v>723</v>
      </c>
      <c r="B713">
        <v>5</v>
      </c>
      <c r="C713">
        <v>1957077727</v>
      </c>
      <c r="D713">
        <v>0.8</v>
      </c>
      <c r="E713">
        <v>1537247066</v>
      </c>
      <c r="F713">
        <v>-2701931714</v>
      </c>
      <c r="G713">
        <v>2</v>
      </c>
      <c r="H713">
        <v>5</v>
      </c>
      <c r="I713">
        <v>5</v>
      </c>
      <c r="J713">
        <v>3.5</v>
      </c>
      <c r="K713" t="s">
        <v>306</v>
      </c>
    </row>
    <row r="714" spans="1:11" x14ac:dyDescent="0.35">
      <c r="A714" t="s">
        <v>724</v>
      </c>
      <c r="B714">
        <v>5</v>
      </c>
      <c r="C714">
        <v>2829250940</v>
      </c>
      <c r="D714">
        <v>0.8</v>
      </c>
      <c r="E714">
        <v>3757845083</v>
      </c>
      <c r="F714">
        <v>-2387933606</v>
      </c>
      <c r="G714">
        <v>2</v>
      </c>
      <c r="H714">
        <v>5</v>
      </c>
      <c r="I714">
        <v>5</v>
      </c>
      <c r="J714">
        <v>3.5</v>
      </c>
      <c r="K714" t="s">
        <v>306</v>
      </c>
    </row>
    <row r="715" spans="1:11" x14ac:dyDescent="0.35">
      <c r="A715" t="s">
        <v>725</v>
      </c>
      <c r="B715">
        <v>5</v>
      </c>
      <c r="C715">
        <v>1090754806</v>
      </c>
      <c r="D715">
        <v>0.8</v>
      </c>
      <c r="E715">
        <v>992036680.39999998</v>
      </c>
      <c r="F715">
        <v>-2520045299</v>
      </c>
      <c r="G715">
        <v>2</v>
      </c>
      <c r="H715">
        <v>5</v>
      </c>
      <c r="I715">
        <v>5</v>
      </c>
      <c r="J715">
        <v>3.5</v>
      </c>
      <c r="K715" t="s">
        <v>306</v>
      </c>
    </row>
    <row r="716" spans="1:11" x14ac:dyDescent="0.35">
      <c r="A716" t="s">
        <v>726</v>
      </c>
      <c r="B716">
        <v>5</v>
      </c>
      <c r="C716">
        <v>4330280142</v>
      </c>
      <c r="D716">
        <v>1</v>
      </c>
      <c r="E716">
        <v>668692053.39999998</v>
      </c>
      <c r="F716">
        <v>-1180246459</v>
      </c>
      <c r="G716">
        <v>2</v>
      </c>
      <c r="H716">
        <v>5</v>
      </c>
      <c r="I716">
        <v>5</v>
      </c>
      <c r="J716">
        <v>3.5</v>
      </c>
      <c r="K716" t="s">
        <v>306</v>
      </c>
    </row>
    <row r="717" spans="1:11" x14ac:dyDescent="0.35">
      <c r="A717" t="s">
        <v>727</v>
      </c>
      <c r="B717">
        <v>5</v>
      </c>
      <c r="C717">
        <v>-162622152.90000001</v>
      </c>
      <c r="D717">
        <v>0.8</v>
      </c>
      <c r="E717">
        <v>523617436.5</v>
      </c>
      <c r="F717">
        <v>-1129014037</v>
      </c>
      <c r="G717">
        <v>2</v>
      </c>
      <c r="H717">
        <v>5</v>
      </c>
      <c r="I717">
        <v>5</v>
      </c>
      <c r="J717">
        <v>3.5</v>
      </c>
      <c r="K717" t="s">
        <v>306</v>
      </c>
    </row>
    <row r="718" spans="1:11" x14ac:dyDescent="0.35">
      <c r="A718" t="s">
        <v>728</v>
      </c>
      <c r="B718">
        <v>5</v>
      </c>
      <c r="C718">
        <v>1011645959</v>
      </c>
      <c r="D718">
        <v>1</v>
      </c>
      <c r="E718">
        <v>870904175</v>
      </c>
      <c r="F718">
        <v>-1308829027</v>
      </c>
      <c r="G718">
        <v>2</v>
      </c>
      <c r="H718">
        <v>5</v>
      </c>
      <c r="I718">
        <v>5</v>
      </c>
      <c r="J718">
        <v>3.5</v>
      </c>
      <c r="K718" t="s">
        <v>306</v>
      </c>
    </row>
    <row r="719" spans="1:11" x14ac:dyDescent="0.35">
      <c r="A719" t="s">
        <v>729</v>
      </c>
      <c r="B719">
        <v>5</v>
      </c>
      <c r="C719">
        <v>910776309.79999995</v>
      </c>
      <c r="D719">
        <v>0.8</v>
      </c>
      <c r="E719">
        <v>739282437.20000005</v>
      </c>
      <c r="F719">
        <v>-1297963854</v>
      </c>
      <c r="G719">
        <v>2</v>
      </c>
      <c r="H719">
        <v>5</v>
      </c>
      <c r="I719">
        <v>5</v>
      </c>
      <c r="J719">
        <v>3.5</v>
      </c>
      <c r="K719" t="s">
        <v>306</v>
      </c>
    </row>
    <row r="720" spans="1:11" x14ac:dyDescent="0.35">
      <c r="A720" t="s">
        <v>730</v>
      </c>
      <c r="B720">
        <v>5</v>
      </c>
      <c r="C720">
        <v>1630269287</v>
      </c>
      <c r="D720">
        <v>0.8</v>
      </c>
      <c r="E720">
        <v>1840347009</v>
      </c>
      <c r="F720">
        <v>-4739898925</v>
      </c>
      <c r="G720">
        <v>2</v>
      </c>
      <c r="H720">
        <v>5</v>
      </c>
      <c r="I720">
        <v>5</v>
      </c>
      <c r="J720">
        <v>3.5</v>
      </c>
      <c r="K720" t="s">
        <v>306</v>
      </c>
    </row>
    <row r="721" spans="1:11" x14ac:dyDescent="0.35">
      <c r="A721" t="s">
        <v>731</v>
      </c>
      <c r="B721">
        <v>5</v>
      </c>
      <c r="C721">
        <v>1651078339</v>
      </c>
      <c r="D721">
        <v>0.8</v>
      </c>
      <c r="E721">
        <v>3034781540</v>
      </c>
      <c r="F721">
        <v>-6834675534</v>
      </c>
      <c r="G721">
        <v>2</v>
      </c>
      <c r="H721">
        <v>5</v>
      </c>
      <c r="I721">
        <v>5</v>
      </c>
      <c r="J721">
        <v>3.5</v>
      </c>
      <c r="K721" t="s">
        <v>306</v>
      </c>
    </row>
    <row r="722" spans="1:11" x14ac:dyDescent="0.35">
      <c r="A722" t="s">
        <v>732</v>
      </c>
      <c r="B722">
        <v>5</v>
      </c>
      <c r="C722">
        <v>18758755264</v>
      </c>
      <c r="D722">
        <v>1</v>
      </c>
      <c r="E722">
        <v>4287209601</v>
      </c>
      <c r="F722">
        <v>-7831883588</v>
      </c>
      <c r="G722">
        <v>2</v>
      </c>
      <c r="H722">
        <v>5</v>
      </c>
      <c r="I722">
        <v>5</v>
      </c>
      <c r="J722">
        <v>3.5</v>
      </c>
      <c r="K722" t="s">
        <v>306</v>
      </c>
    </row>
    <row r="723" spans="1:11" x14ac:dyDescent="0.35">
      <c r="A723" t="s">
        <v>733</v>
      </c>
      <c r="B723">
        <v>5</v>
      </c>
      <c r="C723">
        <v>16455904597</v>
      </c>
      <c r="D723">
        <v>1</v>
      </c>
      <c r="E723">
        <v>11615854315</v>
      </c>
      <c r="F723">
        <v>-13388295559</v>
      </c>
      <c r="G723">
        <v>2</v>
      </c>
      <c r="H723">
        <v>5</v>
      </c>
      <c r="I723">
        <v>5</v>
      </c>
      <c r="J723">
        <v>3.5</v>
      </c>
      <c r="K723" t="s">
        <v>306</v>
      </c>
    </row>
    <row r="724" spans="1:11" x14ac:dyDescent="0.35">
      <c r="A724" t="s">
        <v>734</v>
      </c>
      <c r="B724">
        <v>5</v>
      </c>
      <c r="C724">
        <v>8954158948</v>
      </c>
      <c r="D724">
        <v>1</v>
      </c>
      <c r="E724">
        <v>5670552490</v>
      </c>
      <c r="F724">
        <v>-9712917231</v>
      </c>
      <c r="G724">
        <v>2</v>
      </c>
      <c r="H724">
        <v>5</v>
      </c>
      <c r="I724">
        <v>5</v>
      </c>
      <c r="J724">
        <v>3.5</v>
      </c>
      <c r="K724" t="s">
        <v>306</v>
      </c>
    </row>
    <row r="725" spans="1:11" x14ac:dyDescent="0.35">
      <c r="A725" t="s">
        <v>735</v>
      </c>
      <c r="B725">
        <v>5</v>
      </c>
      <c r="C725">
        <v>38498702.32</v>
      </c>
      <c r="D725">
        <v>0.6</v>
      </c>
      <c r="E725">
        <v>77474487.810000002</v>
      </c>
      <c r="F725">
        <v>-147637514.80000001</v>
      </c>
      <c r="G725">
        <v>3</v>
      </c>
      <c r="H725">
        <v>3</v>
      </c>
      <c r="I725">
        <v>5</v>
      </c>
      <c r="J725">
        <v>3.4</v>
      </c>
      <c r="K725" t="s">
        <v>306</v>
      </c>
    </row>
    <row r="726" spans="1:11" x14ac:dyDescent="0.35">
      <c r="A726" t="s">
        <v>736</v>
      </c>
      <c r="B726">
        <v>5</v>
      </c>
      <c r="C726">
        <v>-14262742.359999999</v>
      </c>
      <c r="D726">
        <v>0.6</v>
      </c>
      <c r="E726">
        <v>63911088.270000003</v>
      </c>
      <c r="F726">
        <v>-143962952.30000001</v>
      </c>
      <c r="G726">
        <v>3</v>
      </c>
      <c r="H726">
        <v>3</v>
      </c>
      <c r="I726">
        <v>5</v>
      </c>
      <c r="J726">
        <v>3.4</v>
      </c>
      <c r="K726" t="s">
        <v>306</v>
      </c>
    </row>
    <row r="727" spans="1:11" x14ac:dyDescent="0.35">
      <c r="A727" t="s">
        <v>737</v>
      </c>
      <c r="B727">
        <v>5</v>
      </c>
      <c r="C727">
        <v>78724182.519999996</v>
      </c>
      <c r="D727">
        <v>0.8</v>
      </c>
      <c r="E727">
        <v>102606654.59999999</v>
      </c>
      <c r="F727">
        <v>-145800110.30000001</v>
      </c>
      <c r="G727">
        <v>3</v>
      </c>
      <c r="H727">
        <v>3</v>
      </c>
      <c r="I727">
        <v>5</v>
      </c>
      <c r="J727">
        <v>3.4</v>
      </c>
      <c r="K727" t="s">
        <v>306</v>
      </c>
    </row>
    <row r="728" spans="1:11" x14ac:dyDescent="0.35">
      <c r="A728" t="s">
        <v>738</v>
      </c>
      <c r="B728">
        <v>5</v>
      </c>
      <c r="C728">
        <v>-10020606.84</v>
      </c>
      <c r="D728">
        <v>0.6</v>
      </c>
      <c r="E728">
        <v>75612054.290000007</v>
      </c>
      <c r="F728">
        <v>-153135487.90000001</v>
      </c>
      <c r="G728">
        <v>3</v>
      </c>
      <c r="H728">
        <v>3</v>
      </c>
      <c r="I728">
        <v>5</v>
      </c>
      <c r="J728">
        <v>3.4</v>
      </c>
      <c r="K728" t="s">
        <v>306</v>
      </c>
    </row>
    <row r="729" spans="1:11" x14ac:dyDescent="0.35">
      <c r="A729" t="s">
        <v>739</v>
      </c>
      <c r="B729">
        <v>5</v>
      </c>
      <c r="C729">
        <v>-28599071.440000001</v>
      </c>
      <c r="D729">
        <v>0.4</v>
      </c>
      <c r="E729">
        <v>81953498.180000007</v>
      </c>
      <c r="F729">
        <v>-157102269.09999999</v>
      </c>
      <c r="G729">
        <v>3</v>
      </c>
      <c r="H729">
        <v>3</v>
      </c>
      <c r="I729">
        <v>5</v>
      </c>
      <c r="J729">
        <v>3.4</v>
      </c>
      <c r="K729" t="s">
        <v>306</v>
      </c>
    </row>
    <row r="730" spans="1:11" x14ac:dyDescent="0.35">
      <c r="A730" t="s">
        <v>740</v>
      </c>
      <c r="B730">
        <v>5</v>
      </c>
      <c r="C730">
        <v>-51297293.920000002</v>
      </c>
      <c r="D730">
        <v>0.4</v>
      </c>
      <c r="E730">
        <v>101573033.2</v>
      </c>
      <c r="F730">
        <v>-136837011.59999999</v>
      </c>
      <c r="G730">
        <v>3</v>
      </c>
      <c r="H730">
        <v>3</v>
      </c>
      <c r="I730">
        <v>5</v>
      </c>
      <c r="J730">
        <v>3.4</v>
      </c>
      <c r="K730" t="s">
        <v>306</v>
      </c>
    </row>
    <row r="731" spans="1:11" x14ac:dyDescent="0.35">
      <c r="A731" t="s">
        <v>741</v>
      </c>
      <c r="B731">
        <v>5</v>
      </c>
      <c r="C731">
        <v>5873279.7800000003</v>
      </c>
      <c r="D731">
        <v>0.6</v>
      </c>
      <c r="E731">
        <v>49079087.350000001</v>
      </c>
      <c r="F731">
        <v>-133071912.8</v>
      </c>
      <c r="G731">
        <v>3</v>
      </c>
      <c r="H731">
        <v>3</v>
      </c>
      <c r="I731">
        <v>5</v>
      </c>
      <c r="J731">
        <v>3.4</v>
      </c>
      <c r="K731" t="s">
        <v>306</v>
      </c>
    </row>
    <row r="732" spans="1:11" x14ac:dyDescent="0.35">
      <c r="A732" t="s">
        <v>742</v>
      </c>
      <c r="B732">
        <v>5</v>
      </c>
      <c r="C732">
        <v>124816953.7</v>
      </c>
      <c r="D732">
        <v>0.8</v>
      </c>
      <c r="E732">
        <v>83412114.709999993</v>
      </c>
      <c r="F732">
        <v>-133092925.40000001</v>
      </c>
      <c r="G732">
        <v>3</v>
      </c>
      <c r="H732">
        <v>3</v>
      </c>
      <c r="I732">
        <v>5</v>
      </c>
      <c r="J732">
        <v>3.4</v>
      </c>
      <c r="K732" t="s">
        <v>306</v>
      </c>
    </row>
    <row r="733" spans="1:11" x14ac:dyDescent="0.35">
      <c r="A733" t="s">
        <v>743</v>
      </c>
      <c r="B733">
        <v>5</v>
      </c>
      <c r="C733">
        <v>46920482.659999996</v>
      </c>
      <c r="D733">
        <v>0.6</v>
      </c>
      <c r="E733">
        <v>61793704.600000001</v>
      </c>
      <c r="F733">
        <v>-133676779.3</v>
      </c>
      <c r="G733">
        <v>3</v>
      </c>
      <c r="H733">
        <v>3</v>
      </c>
      <c r="I733">
        <v>5</v>
      </c>
      <c r="J733">
        <v>3.4</v>
      </c>
      <c r="K733" t="s">
        <v>306</v>
      </c>
    </row>
    <row r="734" spans="1:11" x14ac:dyDescent="0.35">
      <c r="A734" t="s">
        <v>744</v>
      </c>
      <c r="B734">
        <v>5</v>
      </c>
      <c r="C734">
        <v>62340481.140000001</v>
      </c>
      <c r="D734">
        <v>0.8</v>
      </c>
      <c r="E734">
        <v>63571796.310000002</v>
      </c>
      <c r="F734">
        <v>-130305906</v>
      </c>
      <c r="G734">
        <v>3</v>
      </c>
      <c r="H734">
        <v>3</v>
      </c>
      <c r="I734">
        <v>5</v>
      </c>
      <c r="J734">
        <v>3.4</v>
      </c>
      <c r="K734" t="s">
        <v>306</v>
      </c>
    </row>
    <row r="735" spans="1:11" x14ac:dyDescent="0.35">
      <c r="A735" t="s">
        <v>745</v>
      </c>
      <c r="B735">
        <v>5</v>
      </c>
      <c r="C735">
        <v>36623151.020000003</v>
      </c>
      <c r="D735">
        <v>0.6</v>
      </c>
      <c r="E735">
        <v>82318954.959999993</v>
      </c>
      <c r="F735">
        <v>-128361941.2</v>
      </c>
      <c r="G735">
        <v>3</v>
      </c>
      <c r="H735">
        <v>3</v>
      </c>
      <c r="I735">
        <v>5</v>
      </c>
      <c r="J735">
        <v>3.4</v>
      </c>
      <c r="K735" t="s">
        <v>306</v>
      </c>
    </row>
    <row r="736" spans="1:11" x14ac:dyDescent="0.35">
      <c r="A736" t="s">
        <v>746</v>
      </c>
      <c r="B736">
        <v>5</v>
      </c>
      <c r="C736">
        <v>-7076080.2199999997</v>
      </c>
      <c r="D736">
        <v>0.6</v>
      </c>
      <c r="E736">
        <v>72968122.829999998</v>
      </c>
      <c r="F736">
        <v>-126661999.90000001</v>
      </c>
      <c r="G736">
        <v>3</v>
      </c>
      <c r="H736">
        <v>3</v>
      </c>
      <c r="I736">
        <v>5</v>
      </c>
      <c r="J736">
        <v>3.4</v>
      </c>
      <c r="K736" t="s">
        <v>306</v>
      </c>
    </row>
    <row r="737" spans="1:11" x14ac:dyDescent="0.35">
      <c r="A737" t="s">
        <v>747</v>
      </c>
      <c r="B737">
        <v>5</v>
      </c>
      <c r="C737">
        <v>-8317559.6799999997</v>
      </c>
      <c r="D737">
        <v>0.6</v>
      </c>
      <c r="E737">
        <v>100768586.8</v>
      </c>
      <c r="F737">
        <v>-234064460.69999999</v>
      </c>
      <c r="G737">
        <v>3</v>
      </c>
      <c r="H737">
        <v>3</v>
      </c>
      <c r="I737">
        <v>5</v>
      </c>
      <c r="J737">
        <v>3.4</v>
      </c>
      <c r="K737" t="s">
        <v>306</v>
      </c>
    </row>
    <row r="738" spans="1:11" x14ac:dyDescent="0.35">
      <c r="A738" t="s">
        <v>748</v>
      </c>
      <c r="B738">
        <v>5</v>
      </c>
      <c r="C738">
        <v>-13013942.68</v>
      </c>
      <c r="D738">
        <v>0.6</v>
      </c>
      <c r="E738">
        <v>91033125.870000005</v>
      </c>
      <c r="F738">
        <v>-219832778.90000001</v>
      </c>
      <c r="G738">
        <v>3</v>
      </c>
      <c r="H738">
        <v>3</v>
      </c>
      <c r="I738">
        <v>5</v>
      </c>
      <c r="J738">
        <v>3.4</v>
      </c>
      <c r="K738" t="s">
        <v>306</v>
      </c>
    </row>
    <row r="739" spans="1:11" x14ac:dyDescent="0.35">
      <c r="A739" t="s">
        <v>749</v>
      </c>
      <c r="B739">
        <v>5</v>
      </c>
      <c r="C739">
        <v>32248208.16</v>
      </c>
      <c r="D739">
        <v>0.6</v>
      </c>
      <c r="E739">
        <v>98899795.359999999</v>
      </c>
      <c r="F739">
        <v>-180540084.19999999</v>
      </c>
      <c r="G739">
        <v>3</v>
      </c>
      <c r="H739">
        <v>3</v>
      </c>
      <c r="I739">
        <v>5</v>
      </c>
      <c r="J739">
        <v>3.4</v>
      </c>
      <c r="K739" t="s">
        <v>306</v>
      </c>
    </row>
    <row r="740" spans="1:11" x14ac:dyDescent="0.35">
      <c r="A740" t="s">
        <v>750</v>
      </c>
      <c r="B740">
        <v>5</v>
      </c>
      <c r="C740">
        <v>-18524364.039999999</v>
      </c>
      <c r="D740">
        <v>0.6</v>
      </c>
      <c r="E740">
        <v>72796489.879999995</v>
      </c>
      <c r="F740">
        <v>-181331823.59999999</v>
      </c>
      <c r="G740">
        <v>3</v>
      </c>
      <c r="H740">
        <v>3</v>
      </c>
      <c r="I740">
        <v>5</v>
      </c>
      <c r="J740">
        <v>3.4</v>
      </c>
      <c r="K740" t="s">
        <v>306</v>
      </c>
    </row>
    <row r="741" spans="1:11" x14ac:dyDescent="0.35">
      <c r="A741" t="s">
        <v>751</v>
      </c>
      <c r="B741">
        <v>5</v>
      </c>
      <c r="C741">
        <v>-44643527.240000002</v>
      </c>
      <c r="D741">
        <v>0.6</v>
      </c>
      <c r="E741">
        <v>104951664.2</v>
      </c>
      <c r="F741">
        <v>-166779887.30000001</v>
      </c>
      <c r="G741">
        <v>3</v>
      </c>
      <c r="H741">
        <v>3</v>
      </c>
      <c r="I741">
        <v>5</v>
      </c>
      <c r="J741">
        <v>3.4</v>
      </c>
      <c r="K741" t="s">
        <v>306</v>
      </c>
    </row>
    <row r="742" spans="1:11" x14ac:dyDescent="0.35">
      <c r="A742" t="s">
        <v>752</v>
      </c>
      <c r="B742">
        <v>5</v>
      </c>
      <c r="C742">
        <v>66284644.119999997</v>
      </c>
      <c r="D742">
        <v>0.6</v>
      </c>
      <c r="E742">
        <v>92594756.280000001</v>
      </c>
      <c r="F742">
        <v>-114937293.90000001</v>
      </c>
      <c r="G742">
        <v>3</v>
      </c>
      <c r="H742">
        <v>3</v>
      </c>
      <c r="I742">
        <v>5</v>
      </c>
      <c r="J742">
        <v>3.4</v>
      </c>
      <c r="K742" t="s">
        <v>306</v>
      </c>
    </row>
    <row r="743" spans="1:11" x14ac:dyDescent="0.35">
      <c r="A743" t="s">
        <v>753</v>
      </c>
      <c r="B743">
        <v>5</v>
      </c>
      <c r="C743">
        <v>76671014.420000002</v>
      </c>
      <c r="D743">
        <v>0.8</v>
      </c>
      <c r="E743">
        <v>88493126.739999995</v>
      </c>
      <c r="F743">
        <v>-122043721.59999999</v>
      </c>
      <c r="G743">
        <v>3</v>
      </c>
      <c r="H743">
        <v>3</v>
      </c>
      <c r="I743">
        <v>5</v>
      </c>
      <c r="J743">
        <v>3.4</v>
      </c>
      <c r="K743" t="s">
        <v>306</v>
      </c>
    </row>
    <row r="744" spans="1:11" x14ac:dyDescent="0.35">
      <c r="A744" t="s">
        <v>754</v>
      </c>
      <c r="B744">
        <v>5</v>
      </c>
      <c r="C744">
        <v>108909325.2</v>
      </c>
      <c r="D744">
        <v>0.8</v>
      </c>
      <c r="E744">
        <v>89732639.849999994</v>
      </c>
      <c r="F744">
        <v>-115993744.90000001</v>
      </c>
      <c r="G744">
        <v>3</v>
      </c>
      <c r="H744">
        <v>3</v>
      </c>
      <c r="I744">
        <v>5</v>
      </c>
      <c r="J744">
        <v>3.4</v>
      </c>
      <c r="K744" t="s">
        <v>306</v>
      </c>
    </row>
    <row r="745" spans="1:11" x14ac:dyDescent="0.35">
      <c r="A745" t="s">
        <v>755</v>
      </c>
      <c r="B745">
        <v>5</v>
      </c>
      <c r="C745">
        <v>65955684.600000001</v>
      </c>
      <c r="D745">
        <v>0.8</v>
      </c>
      <c r="E745">
        <v>66113727.43</v>
      </c>
      <c r="F745">
        <v>-112111592.5</v>
      </c>
      <c r="G745">
        <v>3</v>
      </c>
      <c r="H745">
        <v>3</v>
      </c>
      <c r="I745">
        <v>5</v>
      </c>
      <c r="J745">
        <v>3.4</v>
      </c>
      <c r="K745" t="s">
        <v>306</v>
      </c>
    </row>
    <row r="746" spans="1:11" x14ac:dyDescent="0.35">
      <c r="A746" t="s">
        <v>756</v>
      </c>
      <c r="B746">
        <v>5</v>
      </c>
      <c r="C746">
        <v>759322.7</v>
      </c>
      <c r="D746">
        <v>0.6</v>
      </c>
      <c r="E746">
        <v>62494921.32</v>
      </c>
      <c r="F746">
        <v>-108078775</v>
      </c>
      <c r="G746">
        <v>3</v>
      </c>
      <c r="H746">
        <v>3</v>
      </c>
      <c r="I746">
        <v>5</v>
      </c>
      <c r="J746">
        <v>3.4</v>
      </c>
      <c r="K746" t="s">
        <v>306</v>
      </c>
    </row>
    <row r="747" spans="1:11" x14ac:dyDescent="0.35">
      <c r="A747" t="s">
        <v>757</v>
      </c>
      <c r="B747">
        <v>5</v>
      </c>
      <c r="C747">
        <v>57345919.200000003</v>
      </c>
      <c r="D747">
        <v>0.8</v>
      </c>
      <c r="E747">
        <v>49996948.299999997</v>
      </c>
      <c r="F747">
        <v>-101073202.2</v>
      </c>
      <c r="G747">
        <v>3</v>
      </c>
      <c r="H747">
        <v>3</v>
      </c>
      <c r="I747">
        <v>5</v>
      </c>
      <c r="J747">
        <v>3.4</v>
      </c>
      <c r="K747" t="s">
        <v>306</v>
      </c>
    </row>
    <row r="748" spans="1:11" x14ac:dyDescent="0.35">
      <c r="A748" t="s">
        <v>758</v>
      </c>
      <c r="B748">
        <v>5</v>
      </c>
      <c r="C748">
        <v>33471408.68</v>
      </c>
      <c r="D748">
        <v>0.6</v>
      </c>
      <c r="E748">
        <v>86912562.859999999</v>
      </c>
      <c r="F748">
        <v>-97258910.200000003</v>
      </c>
      <c r="G748">
        <v>3</v>
      </c>
      <c r="H748">
        <v>3</v>
      </c>
      <c r="I748">
        <v>5</v>
      </c>
      <c r="J748">
        <v>3.4</v>
      </c>
      <c r="K748" t="s">
        <v>306</v>
      </c>
    </row>
    <row r="749" spans="1:11" x14ac:dyDescent="0.35">
      <c r="A749" t="s">
        <v>759</v>
      </c>
      <c r="B749">
        <v>5</v>
      </c>
      <c r="C749">
        <v>34740704.359999999</v>
      </c>
      <c r="D749">
        <v>0.8</v>
      </c>
      <c r="E749">
        <v>67244806.269999996</v>
      </c>
      <c r="F749">
        <v>-94399519.5</v>
      </c>
      <c r="G749">
        <v>3</v>
      </c>
      <c r="H749">
        <v>3</v>
      </c>
      <c r="I749">
        <v>5</v>
      </c>
      <c r="J749">
        <v>3.4</v>
      </c>
      <c r="K749" t="s">
        <v>306</v>
      </c>
    </row>
    <row r="750" spans="1:11" x14ac:dyDescent="0.35">
      <c r="A750" t="s">
        <v>760</v>
      </c>
      <c r="B750">
        <v>5</v>
      </c>
      <c r="C750">
        <v>71582931.939999998</v>
      </c>
      <c r="D750">
        <v>0.6</v>
      </c>
      <c r="E750">
        <v>90217439.5</v>
      </c>
      <c r="F750">
        <v>-82665175.299999997</v>
      </c>
      <c r="G750">
        <v>3</v>
      </c>
      <c r="H750">
        <v>3</v>
      </c>
      <c r="I750">
        <v>5</v>
      </c>
      <c r="J750">
        <v>3.4</v>
      </c>
      <c r="K750" t="s">
        <v>306</v>
      </c>
    </row>
    <row r="751" spans="1:11" x14ac:dyDescent="0.35">
      <c r="A751" t="s">
        <v>761</v>
      </c>
      <c r="B751">
        <v>5</v>
      </c>
      <c r="C751">
        <v>38598691.060000002</v>
      </c>
      <c r="D751">
        <v>0.8</v>
      </c>
      <c r="E751">
        <v>57974221.299999997</v>
      </c>
      <c r="F751">
        <v>-78710746.599999994</v>
      </c>
      <c r="G751">
        <v>3</v>
      </c>
      <c r="H751">
        <v>3</v>
      </c>
      <c r="I751">
        <v>5</v>
      </c>
      <c r="J751">
        <v>3.4</v>
      </c>
      <c r="K751" t="s">
        <v>306</v>
      </c>
    </row>
    <row r="752" spans="1:11" x14ac:dyDescent="0.35">
      <c r="A752" t="s">
        <v>762</v>
      </c>
      <c r="B752">
        <v>5</v>
      </c>
      <c r="C752">
        <v>33993824.560000002</v>
      </c>
      <c r="D752">
        <v>0.6</v>
      </c>
      <c r="E752">
        <v>68384304.379999995</v>
      </c>
      <c r="F752">
        <v>-78885335.5</v>
      </c>
      <c r="G752">
        <v>3</v>
      </c>
      <c r="H752">
        <v>3</v>
      </c>
      <c r="I752">
        <v>5</v>
      </c>
      <c r="J752">
        <v>3.4</v>
      </c>
      <c r="K752" t="s">
        <v>306</v>
      </c>
    </row>
    <row r="753" spans="1:11" x14ac:dyDescent="0.35">
      <c r="A753" t="s">
        <v>763</v>
      </c>
      <c r="B753">
        <v>5</v>
      </c>
      <c r="C753">
        <v>6089048.6600000001</v>
      </c>
      <c r="D753">
        <v>0.6</v>
      </c>
      <c r="E753">
        <v>91727368.519999996</v>
      </c>
      <c r="F753">
        <v>-80098583.400000006</v>
      </c>
      <c r="G753">
        <v>3</v>
      </c>
      <c r="H753">
        <v>3</v>
      </c>
      <c r="I753">
        <v>5</v>
      </c>
      <c r="J753">
        <v>3.4</v>
      </c>
      <c r="K753" t="s">
        <v>306</v>
      </c>
    </row>
    <row r="754" spans="1:11" x14ac:dyDescent="0.35">
      <c r="A754" t="s">
        <v>764</v>
      </c>
      <c r="B754">
        <v>5</v>
      </c>
      <c r="C754">
        <v>-74996363.599999994</v>
      </c>
      <c r="D754">
        <v>0</v>
      </c>
      <c r="E754">
        <v>31511543.010000002</v>
      </c>
      <c r="F754">
        <v>-74628137.299999997</v>
      </c>
      <c r="G754">
        <v>4</v>
      </c>
      <c r="H754">
        <v>2</v>
      </c>
      <c r="I754">
        <v>4</v>
      </c>
      <c r="J754">
        <v>3.4</v>
      </c>
      <c r="K754" t="s">
        <v>306</v>
      </c>
    </row>
    <row r="755" spans="1:11" x14ac:dyDescent="0.35">
      <c r="A755" t="s">
        <v>765</v>
      </c>
      <c r="B755">
        <v>5</v>
      </c>
      <c r="C755">
        <v>-8061479.8799999999</v>
      </c>
      <c r="D755">
        <v>0.4</v>
      </c>
      <c r="E755">
        <v>44220864</v>
      </c>
      <c r="F755">
        <v>-73541605.400000006</v>
      </c>
      <c r="G755">
        <v>4</v>
      </c>
      <c r="H755">
        <v>2</v>
      </c>
      <c r="I755">
        <v>4</v>
      </c>
      <c r="J755">
        <v>3.4</v>
      </c>
      <c r="K755" t="s">
        <v>306</v>
      </c>
    </row>
    <row r="756" spans="1:11" x14ac:dyDescent="0.35">
      <c r="A756" t="s">
        <v>766</v>
      </c>
      <c r="B756">
        <v>5</v>
      </c>
      <c r="C756">
        <v>4216562.5599999996</v>
      </c>
      <c r="D756">
        <v>0.4</v>
      </c>
      <c r="E756">
        <v>36540770.229999997</v>
      </c>
      <c r="F756">
        <v>-65676996</v>
      </c>
      <c r="G756">
        <v>4</v>
      </c>
      <c r="H756">
        <v>2</v>
      </c>
      <c r="I756">
        <v>4</v>
      </c>
      <c r="J756">
        <v>3.4</v>
      </c>
      <c r="K756" t="s">
        <v>306</v>
      </c>
    </row>
    <row r="757" spans="1:11" x14ac:dyDescent="0.35">
      <c r="A757" t="s">
        <v>767</v>
      </c>
      <c r="B757">
        <v>5</v>
      </c>
      <c r="C757">
        <v>7314972.7599999998</v>
      </c>
      <c r="D757">
        <v>0.4</v>
      </c>
      <c r="E757">
        <v>30687691.649999999</v>
      </c>
      <c r="F757">
        <v>-66449532.100000001</v>
      </c>
      <c r="G757">
        <v>4</v>
      </c>
      <c r="H757">
        <v>2</v>
      </c>
      <c r="I757">
        <v>4</v>
      </c>
      <c r="J757">
        <v>3.4</v>
      </c>
      <c r="K757" t="s">
        <v>306</v>
      </c>
    </row>
    <row r="758" spans="1:11" x14ac:dyDescent="0.35">
      <c r="A758" t="s">
        <v>768</v>
      </c>
      <c r="B758">
        <v>5</v>
      </c>
      <c r="C758">
        <v>-63049881.32</v>
      </c>
      <c r="D758">
        <v>0</v>
      </c>
      <c r="E758">
        <v>37404939.710000001</v>
      </c>
      <c r="F758">
        <v>-61946543.399999999</v>
      </c>
      <c r="G758">
        <v>4</v>
      </c>
      <c r="H758">
        <v>2</v>
      </c>
      <c r="I758">
        <v>4</v>
      </c>
      <c r="J758">
        <v>3.4</v>
      </c>
      <c r="K758" t="s">
        <v>306</v>
      </c>
    </row>
    <row r="759" spans="1:11" x14ac:dyDescent="0.35">
      <c r="A759" t="s">
        <v>769</v>
      </c>
      <c r="B759">
        <v>5</v>
      </c>
      <c r="C759">
        <v>-32267914.219999999</v>
      </c>
      <c r="D759">
        <v>0.2</v>
      </c>
      <c r="E759">
        <v>30960192.300000001</v>
      </c>
      <c r="F759">
        <v>-62576071.899999999</v>
      </c>
      <c r="G759">
        <v>4</v>
      </c>
      <c r="H759">
        <v>2</v>
      </c>
      <c r="I759">
        <v>4</v>
      </c>
      <c r="J759">
        <v>3.4</v>
      </c>
      <c r="K759" t="s">
        <v>306</v>
      </c>
    </row>
    <row r="760" spans="1:11" x14ac:dyDescent="0.35">
      <c r="A760" t="s">
        <v>770</v>
      </c>
      <c r="B760">
        <v>5</v>
      </c>
      <c r="C760">
        <v>-17283231.140000001</v>
      </c>
      <c r="D760">
        <v>0.2</v>
      </c>
      <c r="E760">
        <v>29919621.309999999</v>
      </c>
      <c r="F760">
        <v>-63234598.299999997</v>
      </c>
      <c r="G760">
        <v>4</v>
      </c>
      <c r="H760">
        <v>2</v>
      </c>
      <c r="I760">
        <v>4</v>
      </c>
      <c r="J760">
        <v>3.4</v>
      </c>
      <c r="K760" t="s">
        <v>306</v>
      </c>
    </row>
    <row r="761" spans="1:11" x14ac:dyDescent="0.35">
      <c r="A761" t="s">
        <v>771</v>
      </c>
      <c r="B761">
        <v>5</v>
      </c>
      <c r="C761">
        <v>-79701715.799999997</v>
      </c>
      <c r="D761">
        <v>0</v>
      </c>
      <c r="E761">
        <v>22564954.239999998</v>
      </c>
      <c r="F761">
        <v>-52471775.899999999</v>
      </c>
      <c r="G761">
        <v>4</v>
      </c>
      <c r="H761">
        <v>2</v>
      </c>
      <c r="I761">
        <v>4</v>
      </c>
      <c r="J761">
        <v>3.4</v>
      </c>
      <c r="K761" t="s">
        <v>306</v>
      </c>
    </row>
    <row r="762" spans="1:11" x14ac:dyDescent="0.35">
      <c r="A762" t="s">
        <v>772</v>
      </c>
      <c r="B762">
        <v>5</v>
      </c>
      <c r="C762">
        <v>-55431088.399999999</v>
      </c>
      <c r="D762">
        <v>0</v>
      </c>
      <c r="E762">
        <v>23792423.57</v>
      </c>
      <c r="F762">
        <v>-58947181.799999997</v>
      </c>
      <c r="G762">
        <v>4</v>
      </c>
      <c r="H762">
        <v>2</v>
      </c>
      <c r="I762">
        <v>4</v>
      </c>
      <c r="J762">
        <v>3.4</v>
      </c>
      <c r="K762" t="s">
        <v>306</v>
      </c>
    </row>
    <row r="763" spans="1:11" x14ac:dyDescent="0.35">
      <c r="A763" t="s">
        <v>773</v>
      </c>
      <c r="B763">
        <v>5</v>
      </c>
      <c r="C763">
        <v>-46377553.579999998</v>
      </c>
      <c r="D763">
        <v>0</v>
      </c>
      <c r="E763">
        <v>26321505.699999999</v>
      </c>
      <c r="F763">
        <v>-60257547.5</v>
      </c>
      <c r="G763">
        <v>4</v>
      </c>
      <c r="H763">
        <v>2</v>
      </c>
      <c r="I763">
        <v>4</v>
      </c>
      <c r="J763">
        <v>3.4</v>
      </c>
      <c r="K763" t="s">
        <v>306</v>
      </c>
    </row>
    <row r="764" spans="1:11" x14ac:dyDescent="0.35">
      <c r="A764" t="s">
        <v>774</v>
      </c>
      <c r="B764">
        <v>5</v>
      </c>
      <c r="C764">
        <v>-20714300.02</v>
      </c>
      <c r="D764">
        <v>0.4</v>
      </c>
      <c r="E764">
        <v>38895309.770000003</v>
      </c>
      <c r="F764">
        <v>-50398363.399999999</v>
      </c>
      <c r="G764">
        <v>4</v>
      </c>
      <c r="H764">
        <v>2</v>
      </c>
      <c r="I764">
        <v>4</v>
      </c>
      <c r="J764">
        <v>3.4</v>
      </c>
      <c r="K764" t="s">
        <v>306</v>
      </c>
    </row>
    <row r="765" spans="1:11" x14ac:dyDescent="0.35">
      <c r="A765" t="s">
        <v>775</v>
      </c>
      <c r="B765">
        <v>5</v>
      </c>
      <c r="C765">
        <v>2086146.7</v>
      </c>
      <c r="D765">
        <v>0.4</v>
      </c>
      <c r="E765">
        <v>25073796.93</v>
      </c>
      <c r="F765">
        <v>-49343810.700000003</v>
      </c>
      <c r="G765">
        <v>4</v>
      </c>
      <c r="H765">
        <v>2</v>
      </c>
      <c r="I765">
        <v>4</v>
      </c>
      <c r="J765">
        <v>3.4</v>
      </c>
      <c r="K765" t="s">
        <v>306</v>
      </c>
    </row>
    <row r="766" spans="1:11" x14ac:dyDescent="0.35">
      <c r="A766" t="s">
        <v>776</v>
      </c>
      <c r="B766">
        <v>5</v>
      </c>
      <c r="C766">
        <v>-81862267.280000001</v>
      </c>
      <c r="D766">
        <v>0</v>
      </c>
      <c r="E766">
        <v>36715411.030000001</v>
      </c>
      <c r="F766">
        <v>-49264408.200000003</v>
      </c>
      <c r="G766">
        <v>4</v>
      </c>
      <c r="H766">
        <v>2</v>
      </c>
      <c r="I766">
        <v>4</v>
      </c>
      <c r="J766">
        <v>3.4</v>
      </c>
      <c r="K766" t="s">
        <v>306</v>
      </c>
    </row>
    <row r="767" spans="1:11" x14ac:dyDescent="0.35">
      <c r="A767" t="s">
        <v>777</v>
      </c>
      <c r="B767">
        <v>5</v>
      </c>
      <c r="C767">
        <v>-21113876.420000002</v>
      </c>
      <c r="D767">
        <v>0.2</v>
      </c>
      <c r="E767">
        <v>24373161.039999999</v>
      </c>
      <c r="F767">
        <v>-44566377.100000001</v>
      </c>
      <c r="G767">
        <v>4</v>
      </c>
      <c r="H767">
        <v>2</v>
      </c>
      <c r="I767">
        <v>4</v>
      </c>
      <c r="J767">
        <v>3.4</v>
      </c>
      <c r="K767" t="s">
        <v>306</v>
      </c>
    </row>
    <row r="768" spans="1:11" x14ac:dyDescent="0.35">
      <c r="A768" t="s">
        <v>778</v>
      </c>
      <c r="B768">
        <v>5</v>
      </c>
      <c r="C768">
        <v>10928912.039999999</v>
      </c>
      <c r="D768">
        <v>0.4</v>
      </c>
      <c r="E768">
        <v>34567062.600000001</v>
      </c>
      <c r="F768">
        <v>-48411575.600000001</v>
      </c>
      <c r="G768">
        <v>4</v>
      </c>
      <c r="H768">
        <v>2</v>
      </c>
      <c r="I768">
        <v>4</v>
      </c>
      <c r="J768">
        <v>3.4</v>
      </c>
      <c r="K768" t="s">
        <v>306</v>
      </c>
    </row>
    <row r="769" spans="1:11" x14ac:dyDescent="0.35">
      <c r="A769" t="s">
        <v>779</v>
      </c>
      <c r="B769">
        <v>5</v>
      </c>
      <c r="C769">
        <v>-9798799.5999999996</v>
      </c>
      <c r="D769">
        <v>0.4</v>
      </c>
      <c r="E769">
        <v>21914130.260000002</v>
      </c>
      <c r="F769">
        <v>-46904297.299999997</v>
      </c>
      <c r="G769">
        <v>4</v>
      </c>
      <c r="H769">
        <v>2</v>
      </c>
      <c r="I769">
        <v>4</v>
      </c>
      <c r="J769">
        <v>3.4</v>
      </c>
      <c r="K769" t="s">
        <v>306</v>
      </c>
    </row>
    <row r="770" spans="1:11" x14ac:dyDescent="0.35">
      <c r="A770" t="s">
        <v>780</v>
      </c>
      <c r="B770">
        <v>5</v>
      </c>
      <c r="C770">
        <v>-26276272.739999998</v>
      </c>
      <c r="D770">
        <v>0</v>
      </c>
      <c r="E770">
        <v>20727400.18</v>
      </c>
      <c r="F770">
        <v>-41033131.200000003</v>
      </c>
      <c r="G770">
        <v>4</v>
      </c>
      <c r="H770">
        <v>2</v>
      </c>
      <c r="I770">
        <v>4</v>
      </c>
      <c r="J770">
        <v>3.4</v>
      </c>
      <c r="K770" t="s">
        <v>306</v>
      </c>
    </row>
    <row r="771" spans="1:11" x14ac:dyDescent="0.35">
      <c r="A771" t="s">
        <v>781</v>
      </c>
      <c r="B771">
        <v>5</v>
      </c>
      <c r="C771">
        <v>-39951081.240000002</v>
      </c>
      <c r="D771">
        <v>0</v>
      </c>
      <c r="E771">
        <v>17337753.280000001</v>
      </c>
      <c r="F771">
        <v>-40883685</v>
      </c>
      <c r="G771">
        <v>4</v>
      </c>
      <c r="H771">
        <v>2</v>
      </c>
      <c r="I771">
        <v>4</v>
      </c>
      <c r="J771">
        <v>3.4</v>
      </c>
      <c r="K771" t="s">
        <v>306</v>
      </c>
    </row>
    <row r="772" spans="1:11" x14ac:dyDescent="0.35">
      <c r="A772" t="s">
        <v>782</v>
      </c>
      <c r="B772">
        <v>5</v>
      </c>
      <c r="C772">
        <v>-1290462.52</v>
      </c>
      <c r="D772">
        <v>0.4</v>
      </c>
      <c r="E772">
        <v>18925354.370000001</v>
      </c>
      <c r="F772">
        <v>-38951327.100000001</v>
      </c>
      <c r="G772">
        <v>4</v>
      </c>
      <c r="H772">
        <v>2</v>
      </c>
      <c r="I772">
        <v>4</v>
      </c>
      <c r="J772">
        <v>3.4</v>
      </c>
      <c r="K772" t="s">
        <v>306</v>
      </c>
    </row>
    <row r="773" spans="1:11" x14ac:dyDescent="0.35">
      <c r="A773" t="s">
        <v>783</v>
      </c>
      <c r="B773">
        <v>5</v>
      </c>
      <c r="C773">
        <v>-58456385.560000002</v>
      </c>
      <c r="D773">
        <v>0.2</v>
      </c>
      <c r="E773">
        <v>38279499.600000001</v>
      </c>
      <c r="F773">
        <v>-38194830.799999997</v>
      </c>
      <c r="G773">
        <v>4</v>
      </c>
      <c r="H773">
        <v>2</v>
      </c>
      <c r="I773">
        <v>4</v>
      </c>
      <c r="J773">
        <v>3.4</v>
      </c>
      <c r="K773" t="s">
        <v>306</v>
      </c>
    </row>
    <row r="774" spans="1:11" x14ac:dyDescent="0.35">
      <c r="A774" t="s">
        <v>784</v>
      </c>
      <c r="B774">
        <v>5</v>
      </c>
      <c r="C774">
        <v>-22138844.600000001</v>
      </c>
      <c r="D774">
        <v>0.2</v>
      </c>
      <c r="E774">
        <v>28967603.02</v>
      </c>
      <c r="F774">
        <v>-44179032.200000003</v>
      </c>
      <c r="G774">
        <v>4</v>
      </c>
      <c r="H774">
        <v>2</v>
      </c>
      <c r="I774">
        <v>4</v>
      </c>
      <c r="J774">
        <v>3.4</v>
      </c>
      <c r="K774" t="s">
        <v>306</v>
      </c>
    </row>
    <row r="775" spans="1:11" x14ac:dyDescent="0.35">
      <c r="A775" t="s">
        <v>785</v>
      </c>
      <c r="B775">
        <v>5</v>
      </c>
      <c r="C775">
        <v>-15185731.880000001</v>
      </c>
      <c r="D775">
        <v>0.2</v>
      </c>
      <c r="E775">
        <v>39349734.350000001</v>
      </c>
      <c r="F775">
        <v>-43613335.700000003</v>
      </c>
      <c r="G775">
        <v>4</v>
      </c>
      <c r="H775">
        <v>2</v>
      </c>
      <c r="I775">
        <v>4</v>
      </c>
      <c r="J775">
        <v>3.4</v>
      </c>
      <c r="K775" t="s">
        <v>306</v>
      </c>
    </row>
    <row r="776" spans="1:11" x14ac:dyDescent="0.35">
      <c r="A776" t="s">
        <v>786</v>
      </c>
      <c r="B776">
        <v>5</v>
      </c>
      <c r="C776">
        <v>-20851726.379999999</v>
      </c>
      <c r="D776">
        <v>0</v>
      </c>
      <c r="E776">
        <v>5260358.932</v>
      </c>
      <c r="F776">
        <v>6174151.7000000002</v>
      </c>
      <c r="G776">
        <v>5</v>
      </c>
      <c r="H776">
        <v>1</v>
      </c>
      <c r="I776">
        <v>3</v>
      </c>
      <c r="J776">
        <v>3.4</v>
      </c>
      <c r="K776" t="s">
        <v>306</v>
      </c>
    </row>
    <row r="777" spans="1:11" x14ac:dyDescent="0.35">
      <c r="A777" t="s">
        <v>787</v>
      </c>
      <c r="B777">
        <v>5</v>
      </c>
      <c r="C777">
        <v>-18575996.399999999</v>
      </c>
      <c r="D777">
        <v>0</v>
      </c>
      <c r="E777">
        <v>2528107.8790000002</v>
      </c>
      <c r="F777">
        <v>5798349.9000000004</v>
      </c>
      <c r="G777">
        <v>5</v>
      </c>
      <c r="H777">
        <v>1</v>
      </c>
      <c r="I777">
        <v>3</v>
      </c>
      <c r="J777">
        <v>3.4</v>
      </c>
      <c r="K777" t="s">
        <v>306</v>
      </c>
    </row>
    <row r="778" spans="1:11" x14ac:dyDescent="0.35">
      <c r="A778" t="s">
        <v>788</v>
      </c>
      <c r="B778">
        <v>5</v>
      </c>
      <c r="C778">
        <v>-3516012.38</v>
      </c>
      <c r="D778">
        <v>0</v>
      </c>
      <c r="E778">
        <v>2234569.7009999999</v>
      </c>
      <c r="F778">
        <v>5436094.0999999996</v>
      </c>
      <c r="G778">
        <v>5</v>
      </c>
      <c r="H778">
        <v>1</v>
      </c>
      <c r="I778">
        <v>3</v>
      </c>
      <c r="J778">
        <v>3.4</v>
      </c>
      <c r="K778" t="s">
        <v>306</v>
      </c>
    </row>
    <row r="779" spans="1:11" x14ac:dyDescent="0.35">
      <c r="A779" t="s">
        <v>789</v>
      </c>
      <c r="B779">
        <v>5</v>
      </c>
      <c r="C779">
        <v>-18178223.800000001</v>
      </c>
      <c r="D779">
        <v>0</v>
      </c>
      <c r="E779">
        <v>6762664.0329999998</v>
      </c>
      <c r="F779">
        <v>6823492</v>
      </c>
      <c r="G779">
        <v>5</v>
      </c>
      <c r="H779">
        <v>1</v>
      </c>
      <c r="I779">
        <v>3</v>
      </c>
      <c r="J779">
        <v>3.4</v>
      </c>
      <c r="K779" t="s">
        <v>306</v>
      </c>
    </row>
    <row r="780" spans="1:11" x14ac:dyDescent="0.35">
      <c r="A780" t="s">
        <v>790</v>
      </c>
      <c r="B780">
        <v>5</v>
      </c>
      <c r="C780">
        <v>-15801294.439999999</v>
      </c>
      <c r="D780">
        <v>0</v>
      </c>
      <c r="E780">
        <v>3196236.1919999998</v>
      </c>
      <c r="F780">
        <v>6774423.2999999998</v>
      </c>
      <c r="G780">
        <v>5</v>
      </c>
      <c r="H780">
        <v>1</v>
      </c>
      <c r="I780">
        <v>3</v>
      </c>
      <c r="J780">
        <v>3.4</v>
      </c>
      <c r="K780" t="s">
        <v>306</v>
      </c>
    </row>
    <row r="781" spans="1:11" x14ac:dyDescent="0.35">
      <c r="A781" t="s">
        <v>791</v>
      </c>
      <c r="B781">
        <v>5</v>
      </c>
      <c r="C781">
        <v>-10246909.119999999</v>
      </c>
      <c r="D781">
        <v>0</v>
      </c>
      <c r="E781">
        <v>3065099.7990000001</v>
      </c>
      <c r="F781">
        <v>7307099.2000000002</v>
      </c>
      <c r="G781">
        <v>5</v>
      </c>
      <c r="H781">
        <v>1</v>
      </c>
      <c r="I781">
        <v>3</v>
      </c>
      <c r="J781">
        <v>3.4</v>
      </c>
      <c r="K781" t="s">
        <v>306</v>
      </c>
    </row>
    <row r="782" spans="1:11" x14ac:dyDescent="0.35">
      <c r="A782" t="s">
        <v>792</v>
      </c>
      <c r="B782">
        <v>5</v>
      </c>
      <c r="C782">
        <v>-14229505.539999999</v>
      </c>
      <c r="D782">
        <v>0</v>
      </c>
      <c r="E782">
        <v>3510544.8480000002</v>
      </c>
      <c r="F782">
        <v>4519822.9000000004</v>
      </c>
      <c r="G782">
        <v>5</v>
      </c>
      <c r="H782">
        <v>1</v>
      </c>
      <c r="I782">
        <v>3</v>
      </c>
      <c r="J782">
        <v>3.4</v>
      </c>
      <c r="K782" t="s">
        <v>306</v>
      </c>
    </row>
    <row r="783" spans="1:11" x14ac:dyDescent="0.35">
      <c r="A783" t="s">
        <v>793</v>
      </c>
      <c r="B783">
        <v>5</v>
      </c>
      <c r="C783">
        <v>-11885769.98</v>
      </c>
      <c r="D783">
        <v>0</v>
      </c>
      <c r="E783">
        <v>2242105.7889999999</v>
      </c>
      <c r="F783">
        <v>4223953.4000000004</v>
      </c>
      <c r="G783">
        <v>5</v>
      </c>
      <c r="H783">
        <v>1</v>
      </c>
      <c r="I783">
        <v>3</v>
      </c>
      <c r="J783">
        <v>3.4</v>
      </c>
      <c r="K783" t="s">
        <v>306</v>
      </c>
    </row>
    <row r="784" spans="1:11" x14ac:dyDescent="0.35">
      <c r="A784" t="s">
        <v>794</v>
      </c>
      <c r="B784">
        <v>5</v>
      </c>
      <c r="C784">
        <v>-20609546.739999998</v>
      </c>
      <c r="D784">
        <v>0</v>
      </c>
      <c r="E784">
        <v>3811966.56</v>
      </c>
      <c r="F784">
        <v>3714460.5</v>
      </c>
      <c r="G784">
        <v>5</v>
      </c>
      <c r="H784">
        <v>1</v>
      </c>
      <c r="I784">
        <v>3</v>
      </c>
      <c r="J784">
        <v>3.4</v>
      </c>
      <c r="K784" t="s">
        <v>306</v>
      </c>
    </row>
    <row r="785" spans="1:11" x14ac:dyDescent="0.35">
      <c r="A785" t="s">
        <v>795</v>
      </c>
      <c r="B785">
        <v>5</v>
      </c>
      <c r="C785">
        <v>-1387924.96</v>
      </c>
      <c r="D785">
        <v>0</v>
      </c>
      <c r="E785">
        <v>2092354.348</v>
      </c>
      <c r="F785">
        <v>4986380.4000000004</v>
      </c>
      <c r="G785">
        <v>5</v>
      </c>
      <c r="H785">
        <v>1</v>
      </c>
      <c r="I785">
        <v>3</v>
      </c>
      <c r="J785">
        <v>3.4</v>
      </c>
      <c r="K785" t="s">
        <v>306</v>
      </c>
    </row>
    <row r="786" spans="1:11" x14ac:dyDescent="0.35">
      <c r="A786" t="s">
        <v>796</v>
      </c>
      <c r="B786">
        <v>5</v>
      </c>
      <c r="C786">
        <v>-23931471.059999999</v>
      </c>
      <c r="D786">
        <v>0</v>
      </c>
      <c r="E786">
        <v>5421658.96</v>
      </c>
      <c r="F786">
        <v>4700332.0999999996</v>
      </c>
      <c r="G786">
        <v>5</v>
      </c>
      <c r="H786">
        <v>1</v>
      </c>
      <c r="I786">
        <v>3</v>
      </c>
      <c r="J786">
        <v>3.4</v>
      </c>
      <c r="K786" t="s">
        <v>306</v>
      </c>
    </row>
    <row r="787" spans="1:11" x14ac:dyDescent="0.35">
      <c r="A787" t="s">
        <v>797</v>
      </c>
      <c r="B787">
        <v>5</v>
      </c>
      <c r="C787">
        <v>-51832891.539999999</v>
      </c>
      <c r="D787">
        <v>0</v>
      </c>
      <c r="E787">
        <v>7478578.9340000004</v>
      </c>
      <c r="F787">
        <v>2640154.5</v>
      </c>
      <c r="G787">
        <v>5</v>
      </c>
      <c r="H787">
        <v>1</v>
      </c>
      <c r="I787">
        <v>3</v>
      </c>
      <c r="J787">
        <v>3.4</v>
      </c>
      <c r="K787" t="s">
        <v>306</v>
      </c>
    </row>
    <row r="788" spans="1:11" x14ac:dyDescent="0.35">
      <c r="A788" t="s">
        <v>798</v>
      </c>
      <c r="B788">
        <v>5</v>
      </c>
      <c r="C788">
        <v>-18296502.719999999</v>
      </c>
      <c r="D788">
        <v>0</v>
      </c>
      <c r="E788">
        <v>1279447.9650000001</v>
      </c>
      <c r="F788">
        <v>2355597.2000000002</v>
      </c>
      <c r="G788">
        <v>5</v>
      </c>
      <c r="H788">
        <v>1</v>
      </c>
      <c r="I788">
        <v>3</v>
      </c>
      <c r="J788">
        <v>3.4</v>
      </c>
      <c r="K788" t="s">
        <v>306</v>
      </c>
    </row>
    <row r="789" spans="1:11" x14ac:dyDescent="0.35">
      <c r="A789" t="s">
        <v>799</v>
      </c>
      <c r="B789">
        <v>5</v>
      </c>
      <c r="C789">
        <v>-11575937.460000001</v>
      </c>
      <c r="D789">
        <v>0</v>
      </c>
      <c r="E789">
        <v>1778718.8759999999</v>
      </c>
      <c r="F789">
        <v>2262099.7999999998</v>
      </c>
      <c r="G789">
        <v>5</v>
      </c>
      <c r="H789">
        <v>1</v>
      </c>
      <c r="I789">
        <v>3</v>
      </c>
      <c r="J789">
        <v>3.4</v>
      </c>
      <c r="K789" t="s">
        <v>306</v>
      </c>
    </row>
    <row r="790" spans="1:11" x14ac:dyDescent="0.35">
      <c r="A790" t="s">
        <v>800</v>
      </c>
      <c r="B790">
        <v>5</v>
      </c>
      <c r="C790">
        <v>-17516884.68</v>
      </c>
      <c r="D790">
        <v>0</v>
      </c>
      <c r="E790">
        <v>4637872.6919999998</v>
      </c>
      <c r="F790">
        <v>2260842.2000000002</v>
      </c>
      <c r="G790">
        <v>5</v>
      </c>
      <c r="H790">
        <v>1</v>
      </c>
      <c r="I790">
        <v>3</v>
      </c>
      <c r="J790">
        <v>3.4</v>
      </c>
      <c r="K790" t="s">
        <v>306</v>
      </c>
    </row>
    <row r="791" spans="1:11" x14ac:dyDescent="0.35">
      <c r="A791" t="s">
        <v>801</v>
      </c>
      <c r="B791">
        <v>5</v>
      </c>
      <c r="C791">
        <v>-11137598.84</v>
      </c>
      <c r="D791">
        <v>0</v>
      </c>
      <c r="E791">
        <v>5097153.7450000001</v>
      </c>
      <c r="F791">
        <v>3500767.2</v>
      </c>
      <c r="G791">
        <v>5</v>
      </c>
      <c r="H791">
        <v>1</v>
      </c>
      <c r="I791">
        <v>3</v>
      </c>
      <c r="J791">
        <v>3.4</v>
      </c>
      <c r="K791" t="s">
        <v>306</v>
      </c>
    </row>
    <row r="792" spans="1:11" x14ac:dyDescent="0.35">
      <c r="A792" t="s">
        <v>802</v>
      </c>
      <c r="B792">
        <v>5</v>
      </c>
      <c r="C792">
        <v>-28926924.719999999</v>
      </c>
      <c r="D792">
        <v>0</v>
      </c>
      <c r="E792">
        <v>11510229.57</v>
      </c>
      <c r="F792">
        <v>3469589.7</v>
      </c>
      <c r="G792">
        <v>5</v>
      </c>
      <c r="H792">
        <v>1</v>
      </c>
      <c r="I792">
        <v>3</v>
      </c>
      <c r="J792">
        <v>3.4</v>
      </c>
      <c r="K792" t="s">
        <v>306</v>
      </c>
    </row>
    <row r="793" spans="1:11" x14ac:dyDescent="0.35">
      <c r="A793" t="s">
        <v>803</v>
      </c>
      <c r="B793">
        <v>5</v>
      </c>
      <c r="C793">
        <v>-9657630.0399999991</v>
      </c>
      <c r="D793">
        <v>0</v>
      </c>
      <c r="E793">
        <v>2665782.6090000002</v>
      </c>
      <c r="F793">
        <v>3408953.2</v>
      </c>
      <c r="G793">
        <v>5</v>
      </c>
      <c r="H793">
        <v>1</v>
      </c>
      <c r="I793">
        <v>3</v>
      </c>
      <c r="J793">
        <v>3.4</v>
      </c>
      <c r="K793" t="s">
        <v>306</v>
      </c>
    </row>
    <row r="794" spans="1:11" x14ac:dyDescent="0.35">
      <c r="A794" t="s">
        <v>804</v>
      </c>
      <c r="B794">
        <v>5</v>
      </c>
      <c r="C794">
        <v>-10282483.9</v>
      </c>
      <c r="D794">
        <v>0</v>
      </c>
      <c r="E794">
        <v>1393272.6470000001</v>
      </c>
      <c r="F794">
        <v>3082683.7</v>
      </c>
      <c r="G794">
        <v>5</v>
      </c>
      <c r="H794">
        <v>1</v>
      </c>
      <c r="I794">
        <v>3</v>
      </c>
      <c r="J794">
        <v>3.4</v>
      </c>
      <c r="K794" t="s">
        <v>306</v>
      </c>
    </row>
    <row r="795" spans="1:11" x14ac:dyDescent="0.35">
      <c r="A795" t="s">
        <v>805</v>
      </c>
      <c r="B795">
        <v>5</v>
      </c>
      <c r="C795">
        <v>-6891328.5800000001</v>
      </c>
      <c r="D795">
        <v>0</v>
      </c>
      <c r="E795">
        <v>1388327.7890000001</v>
      </c>
      <c r="F795">
        <v>3063033.8</v>
      </c>
      <c r="G795">
        <v>5</v>
      </c>
      <c r="H795">
        <v>1</v>
      </c>
      <c r="I795">
        <v>3</v>
      </c>
      <c r="J795">
        <v>3.4</v>
      </c>
      <c r="K795" t="s">
        <v>306</v>
      </c>
    </row>
    <row r="796" spans="1:11" x14ac:dyDescent="0.35">
      <c r="A796" t="s">
        <v>806</v>
      </c>
      <c r="B796">
        <v>5</v>
      </c>
      <c r="C796">
        <v>-3900374.26</v>
      </c>
      <c r="D796">
        <v>0</v>
      </c>
      <c r="E796">
        <v>1976670.1370000001</v>
      </c>
      <c r="F796">
        <v>2936999.8</v>
      </c>
      <c r="G796">
        <v>5</v>
      </c>
      <c r="H796">
        <v>1</v>
      </c>
      <c r="I796">
        <v>3</v>
      </c>
      <c r="J796">
        <v>3.4</v>
      </c>
      <c r="K796" t="s">
        <v>306</v>
      </c>
    </row>
    <row r="797" spans="1:11" x14ac:dyDescent="0.35">
      <c r="A797" t="s">
        <v>807</v>
      </c>
      <c r="B797">
        <v>5</v>
      </c>
      <c r="C797">
        <v>-3934880.92</v>
      </c>
      <c r="D797">
        <v>0</v>
      </c>
      <c r="E797">
        <v>2010578.7309999999</v>
      </c>
      <c r="F797">
        <v>1451990.8</v>
      </c>
      <c r="G797">
        <v>5</v>
      </c>
      <c r="H797">
        <v>1</v>
      </c>
      <c r="I797">
        <v>3</v>
      </c>
      <c r="J797">
        <v>3.4</v>
      </c>
      <c r="K797" t="s">
        <v>306</v>
      </c>
    </row>
    <row r="798" spans="1:11" x14ac:dyDescent="0.35">
      <c r="A798" t="s">
        <v>808</v>
      </c>
      <c r="B798">
        <v>5</v>
      </c>
      <c r="C798">
        <v>-5106941.08</v>
      </c>
      <c r="D798">
        <v>0</v>
      </c>
      <c r="E798">
        <v>3560385.2390000001</v>
      </c>
      <c r="F798">
        <v>1437088.7</v>
      </c>
      <c r="G798">
        <v>5</v>
      </c>
      <c r="H798">
        <v>1</v>
      </c>
      <c r="I798">
        <v>3</v>
      </c>
      <c r="J798">
        <v>3.4</v>
      </c>
      <c r="K798" t="s">
        <v>306</v>
      </c>
    </row>
    <row r="799" spans="1:11" x14ac:dyDescent="0.35">
      <c r="A799" t="s">
        <v>809</v>
      </c>
      <c r="B799">
        <v>5</v>
      </c>
      <c r="C799">
        <v>-4983700.2</v>
      </c>
      <c r="D799">
        <v>0</v>
      </c>
      <c r="E799">
        <v>6561336.7120000003</v>
      </c>
      <c r="F799">
        <v>2065717.1</v>
      </c>
      <c r="G799">
        <v>5</v>
      </c>
      <c r="H799">
        <v>1</v>
      </c>
      <c r="I799">
        <v>3</v>
      </c>
      <c r="J799">
        <v>3.4</v>
      </c>
      <c r="K799" t="s">
        <v>306</v>
      </c>
    </row>
    <row r="800" spans="1:11" x14ac:dyDescent="0.35">
      <c r="A800" t="s">
        <v>810</v>
      </c>
      <c r="B800">
        <v>5</v>
      </c>
      <c r="C800">
        <v>-8605981</v>
      </c>
      <c r="D800">
        <v>0</v>
      </c>
      <c r="E800">
        <v>641186.31099999999</v>
      </c>
      <c r="F800">
        <v>1251404.1000000001</v>
      </c>
      <c r="G800">
        <v>5</v>
      </c>
      <c r="H800">
        <v>1</v>
      </c>
      <c r="I800">
        <v>3</v>
      </c>
      <c r="J800">
        <v>3.4</v>
      </c>
      <c r="K800" t="s">
        <v>306</v>
      </c>
    </row>
    <row r="801" spans="1:11" x14ac:dyDescent="0.35">
      <c r="A801" t="s">
        <v>811</v>
      </c>
      <c r="B801">
        <v>5</v>
      </c>
      <c r="C801">
        <v>-6125550.3799999999</v>
      </c>
      <c r="D801">
        <v>0</v>
      </c>
      <c r="E801">
        <v>2557929.889</v>
      </c>
      <c r="F801">
        <v>1127835.6000000001</v>
      </c>
      <c r="G801">
        <v>5</v>
      </c>
      <c r="H801">
        <v>1</v>
      </c>
      <c r="I801">
        <v>3</v>
      </c>
      <c r="J801">
        <v>3.4</v>
      </c>
      <c r="K801" t="s">
        <v>306</v>
      </c>
    </row>
    <row r="802" spans="1:11" x14ac:dyDescent="0.35">
      <c r="A802" t="s">
        <v>812</v>
      </c>
      <c r="B802">
        <v>5</v>
      </c>
      <c r="C802">
        <v>-9332912.7599999998</v>
      </c>
      <c r="D802">
        <v>0</v>
      </c>
      <c r="E802">
        <v>1622204.5589999999</v>
      </c>
      <c r="F802">
        <v>1104178.1000000001</v>
      </c>
      <c r="G802">
        <v>5</v>
      </c>
      <c r="H802">
        <v>1</v>
      </c>
      <c r="I802">
        <v>3</v>
      </c>
      <c r="J802">
        <v>3.4</v>
      </c>
      <c r="K802" t="s">
        <v>306</v>
      </c>
    </row>
    <row r="803" spans="1:11" x14ac:dyDescent="0.35">
      <c r="A803" t="s">
        <v>813</v>
      </c>
      <c r="B803">
        <v>5</v>
      </c>
      <c r="C803">
        <v>-9276921.1799999997</v>
      </c>
      <c r="D803">
        <v>0</v>
      </c>
      <c r="E803">
        <v>2295803.1680000001</v>
      </c>
      <c r="F803">
        <v>1055915.1000000001</v>
      </c>
      <c r="G803">
        <v>5</v>
      </c>
      <c r="H803">
        <v>1</v>
      </c>
      <c r="I803">
        <v>3</v>
      </c>
      <c r="J803">
        <v>3.4</v>
      </c>
      <c r="K803" t="s">
        <v>306</v>
      </c>
    </row>
    <row r="804" spans="1:11" x14ac:dyDescent="0.35">
      <c r="A804" t="s">
        <v>814</v>
      </c>
      <c r="B804">
        <v>5</v>
      </c>
      <c r="C804">
        <v>-13133491.199999999</v>
      </c>
      <c r="D804">
        <v>0</v>
      </c>
      <c r="E804">
        <v>3718039.6460000002</v>
      </c>
      <c r="F804">
        <v>1009537.3</v>
      </c>
      <c r="G804">
        <v>5</v>
      </c>
      <c r="H804">
        <v>1</v>
      </c>
      <c r="I804">
        <v>3</v>
      </c>
      <c r="J804">
        <v>3.4</v>
      </c>
      <c r="K804" t="s">
        <v>306</v>
      </c>
    </row>
    <row r="805" spans="1:11" x14ac:dyDescent="0.35">
      <c r="A805" t="s">
        <v>815</v>
      </c>
      <c r="B805">
        <v>5</v>
      </c>
      <c r="C805">
        <v>-33355169.18</v>
      </c>
      <c r="D805">
        <v>0</v>
      </c>
      <c r="E805">
        <v>8666511.5559999999</v>
      </c>
      <c r="F805">
        <v>974961.5</v>
      </c>
      <c r="G805">
        <v>5</v>
      </c>
      <c r="H805">
        <v>1</v>
      </c>
      <c r="I805">
        <v>3</v>
      </c>
      <c r="J805">
        <v>3.4</v>
      </c>
      <c r="K805" t="s">
        <v>306</v>
      </c>
    </row>
    <row r="806" spans="1:11" x14ac:dyDescent="0.35">
      <c r="A806" t="s">
        <v>816</v>
      </c>
      <c r="B806">
        <v>5</v>
      </c>
      <c r="C806">
        <v>-2555029.66</v>
      </c>
      <c r="D806">
        <v>0</v>
      </c>
      <c r="E806">
        <v>1163296.6580000001</v>
      </c>
      <c r="F806">
        <v>770905.1</v>
      </c>
      <c r="G806">
        <v>5</v>
      </c>
      <c r="H806">
        <v>1</v>
      </c>
      <c r="I806">
        <v>3</v>
      </c>
      <c r="J806">
        <v>3.4</v>
      </c>
      <c r="K806" t="s">
        <v>306</v>
      </c>
    </row>
    <row r="807" spans="1:11" x14ac:dyDescent="0.35">
      <c r="A807" t="s">
        <v>817</v>
      </c>
      <c r="B807">
        <v>5</v>
      </c>
      <c r="C807">
        <v>-17625580.879999999</v>
      </c>
      <c r="D807">
        <v>0</v>
      </c>
      <c r="E807">
        <v>3002746.2439999999</v>
      </c>
      <c r="F807">
        <v>693122.3</v>
      </c>
      <c r="G807">
        <v>5</v>
      </c>
      <c r="H807">
        <v>1</v>
      </c>
      <c r="I807">
        <v>3</v>
      </c>
      <c r="J807">
        <v>3.4</v>
      </c>
      <c r="K807" t="s">
        <v>306</v>
      </c>
    </row>
    <row r="808" spans="1:11" x14ac:dyDescent="0.35">
      <c r="A808" t="s">
        <v>818</v>
      </c>
      <c r="B808">
        <v>5</v>
      </c>
      <c r="C808">
        <v>-21471424.920000002</v>
      </c>
      <c r="D808">
        <v>0</v>
      </c>
      <c r="E808">
        <v>5645989.5269999998</v>
      </c>
      <c r="F808">
        <v>-3792389.5</v>
      </c>
      <c r="G808">
        <v>5</v>
      </c>
      <c r="H808">
        <v>1</v>
      </c>
      <c r="I808">
        <v>3</v>
      </c>
      <c r="J808">
        <v>3.4</v>
      </c>
      <c r="K808" t="s">
        <v>306</v>
      </c>
    </row>
    <row r="809" spans="1:11" x14ac:dyDescent="0.35">
      <c r="A809" t="s">
        <v>819</v>
      </c>
      <c r="B809">
        <v>5</v>
      </c>
      <c r="C809">
        <v>-7175200.46</v>
      </c>
      <c r="D809">
        <v>0</v>
      </c>
      <c r="E809">
        <v>3406617.2170000002</v>
      </c>
      <c r="F809">
        <v>-4060492.1</v>
      </c>
      <c r="G809">
        <v>5</v>
      </c>
      <c r="H809">
        <v>1</v>
      </c>
      <c r="I809">
        <v>3</v>
      </c>
      <c r="J809">
        <v>3.4</v>
      </c>
      <c r="K809" t="s">
        <v>306</v>
      </c>
    </row>
    <row r="810" spans="1:11" x14ac:dyDescent="0.35">
      <c r="A810" t="s">
        <v>820</v>
      </c>
      <c r="B810">
        <v>5</v>
      </c>
      <c r="C810">
        <v>-13543607.82</v>
      </c>
      <c r="D810">
        <v>0</v>
      </c>
      <c r="E810">
        <v>2931085.139</v>
      </c>
      <c r="F810">
        <v>-4274311.9000000004</v>
      </c>
      <c r="G810">
        <v>5</v>
      </c>
      <c r="H810">
        <v>1</v>
      </c>
      <c r="I810">
        <v>3</v>
      </c>
      <c r="J810">
        <v>3.4</v>
      </c>
      <c r="K810" t="s">
        <v>306</v>
      </c>
    </row>
    <row r="811" spans="1:11" x14ac:dyDescent="0.35">
      <c r="A811" t="s">
        <v>821</v>
      </c>
      <c r="B811">
        <v>5</v>
      </c>
      <c r="C811">
        <v>-7290801.5599999996</v>
      </c>
      <c r="D811">
        <v>0</v>
      </c>
      <c r="E811">
        <v>3665967.6290000002</v>
      </c>
      <c r="F811">
        <v>-4307891.2</v>
      </c>
      <c r="G811">
        <v>5</v>
      </c>
      <c r="H811">
        <v>1</v>
      </c>
      <c r="I811">
        <v>3</v>
      </c>
      <c r="J811">
        <v>3.4</v>
      </c>
      <c r="K811" t="s">
        <v>306</v>
      </c>
    </row>
    <row r="812" spans="1:11" x14ac:dyDescent="0.35">
      <c r="A812" t="s">
        <v>822</v>
      </c>
      <c r="B812">
        <v>5</v>
      </c>
      <c r="C812">
        <v>-45013302.979999997</v>
      </c>
      <c r="D812">
        <v>0</v>
      </c>
      <c r="E812">
        <v>5631474.5970000001</v>
      </c>
      <c r="F812">
        <v>-4378914.4000000004</v>
      </c>
      <c r="G812">
        <v>5</v>
      </c>
      <c r="H812">
        <v>1</v>
      </c>
      <c r="I812">
        <v>3</v>
      </c>
      <c r="J812">
        <v>3.4</v>
      </c>
      <c r="K812" t="s">
        <v>306</v>
      </c>
    </row>
    <row r="813" spans="1:11" x14ac:dyDescent="0.35">
      <c r="A813" t="s">
        <v>823</v>
      </c>
      <c r="B813">
        <v>5</v>
      </c>
      <c r="C813">
        <v>-13607379.52</v>
      </c>
      <c r="D813">
        <v>0</v>
      </c>
      <c r="E813">
        <v>6523539.1189999999</v>
      </c>
      <c r="F813">
        <v>-4398490.5999999996</v>
      </c>
      <c r="G813">
        <v>5</v>
      </c>
      <c r="H813">
        <v>1</v>
      </c>
      <c r="I813">
        <v>3</v>
      </c>
      <c r="J813">
        <v>3.4</v>
      </c>
      <c r="K813" t="s">
        <v>306</v>
      </c>
    </row>
    <row r="814" spans="1:11" x14ac:dyDescent="0.35">
      <c r="A814" t="s">
        <v>824</v>
      </c>
      <c r="B814">
        <v>5</v>
      </c>
      <c r="C814">
        <v>-4863240.2</v>
      </c>
      <c r="D814">
        <v>0</v>
      </c>
      <c r="E814">
        <v>2379260.0449999999</v>
      </c>
      <c r="F814">
        <v>-4556100.4000000004</v>
      </c>
      <c r="G814">
        <v>5</v>
      </c>
      <c r="H814">
        <v>1</v>
      </c>
      <c r="I814">
        <v>3</v>
      </c>
      <c r="J814">
        <v>3.4</v>
      </c>
      <c r="K814" t="s">
        <v>306</v>
      </c>
    </row>
    <row r="815" spans="1:11" x14ac:dyDescent="0.35">
      <c r="A815" t="s">
        <v>825</v>
      </c>
      <c r="B815">
        <v>5</v>
      </c>
      <c r="C815">
        <v>-7718415.5599999996</v>
      </c>
      <c r="D815">
        <v>0</v>
      </c>
      <c r="E815">
        <v>2513621.9550000001</v>
      </c>
      <c r="F815">
        <v>-3582621</v>
      </c>
      <c r="G815">
        <v>5</v>
      </c>
      <c r="H815">
        <v>1</v>
      </c>
      <c r="I815">
        <v>3</v>
      </c>
      <c r="J815">
        <v>3.4</v>
      </c>
      <c r="K815" t="s">
        <v>306</v>
      </c>
    </row>
    <row r="816" spans="1:11" x14ac:dyDescent="0.35">
      <c r="A816" t="s">
        <v>826</v>
      </c>
      <c r="B816">
        <v>5</v>
      </c>
      <c r="C816">
        <v>-12495433.74</v>
      </c>
      <c r="D816">
        <v>0</v>
      </c>
      <c r="E816">
        <v>7612848.3279999997</v>
      </c>
      <c r="F816">
        <v>-3463852.1</v>
      </c>
      <c r="G816">
        <v>5</v>
      </c>
      <c r="H816">
        <v>1</v>
      </c>
      <c r="I816">
        <v>3</v>
      </c>
      <c r="J816">
        <v>3.4</v>
      </c>
      <c r="K816" t="s">
        <v>306</v>
      </c>
    </row>
    <row r="817" spans="1:11" x14ac:dyDescent="0.35">
      <c r="A817" t="s">
        <v>827</v>
      </c>
      <c r="B817">
        <v>5</v>
      </c>
      <c r="C817">
        <v>-8327104.9000000004</v>
      </c>
      <c r="D817">
        <v>0</v>
      </c>
      <c r="E817">
        <v>2741463.9279999998</v>
      </c>
      <c r="F817">
        <v>-3501952.1</v>
      </c>
      <c r="G817">
        <v>5</v>
      </c>
      <c r="H817">
        <v>1</v>
      </c>
      <c r="I817">
        <v>3</v>
      </c>
      <c r="J817">
        <v>3.4</v>
      </c>
      <c r="K817" t="s">
        <v>306</v>
      </c>
    </row>
    <row r="818" spans="1:11" x14ac:dyDescent="0.35">
      <c r="A818" t="s">
        <v>828</v>
      </c>
      <c r="B818">
        <v>5</v>
      </c>
      <c r="C818">
        <v>-34956612.359999999</v>
      </c>
      <c r="D818">
        <v>0</v>
      </c>
      <c r="E818">
        <v>14556324.34</v>
      </c>
      <c r="F818">
        <v>-3214984.5</v>
      </c>
      <c r="G818">
        <v>5</v>
      </c>
      <c r="H818">
        <v>1</v>
      </c>
      <c r="I818">
        <v>3</v>
      </c>
      <c r="J818">
        <v>3.4</v>
      </c>
      <c r="K818" t="s">
        <v>306</v>
      </c>
    </row>
    <row r="819" spans="1:11" x14ac:dyDescent="0.35">
      <c r="A819" t="s">
        <v>829</v>
      </c>
      <c r="B819">
        <v>5</v>
      </c>
      <c r="C819">
        <v>-17667467.699999999</v>
      </c>
      <c r="D819">
        <v>0</v>
      </c>
      <c r="E819">
        <v>3976177.9810000001</v>
      </c>
      <c r="F819">
        <v>-3235428.7</v>
      </c>
      <c r="G819">
        <v>5</v>
      </c>
      <c r="H819">
        <v>1</v>
      </c>
      <c r="I819">
        <v>3</v>
      </c>
      <c r="J819">
        <v>3.4</v>
      </c>
      <c r="K819" t="s">
        <v>306</v>
      </c>
    </row>
    <row r="820" spans="1:11" x14ac:dyDescent="0.35">
      <c r="A820" t="s">
        <v>830</v>
      </c>
      <c r="B820">
        <v>5</v>
      </c>
      <c r="C820">
        <v>-48966450.159999996</v>
      </c>
      <c r="D820">
        <v>0</v>
      </c>
      <c r="E820">
        <v>10667671.02</v>
      </c>
      <c r="F820">
        <v>-3277812.5</v>
      </c>
      <c r="G820">
        <v>5</v>
      </c>
      <c r="H820">
        <v>1</v>
      </c>
      <c r="I820">
        <v>3</v>
      </c>
      <c r="J820">
        <v>3.4</v>
      </c>
      <c r="K820" t="s">
        <v>306</v>
      </c>
    </row>
    <row r="821" spans="1:11" x14ac:dyDescent="0.35">
      <c r="A821" t="s">
        <v>831</v>
      </c>
      <c r="B821">
        <v>5</v>
      </c>
      <c r="C821">
        <v>-1732410.62</v>
      </c>
      <c r="D821">
        <v>0</v>
      </c>
      <c r="E821">
        <v>2162418.8640000001</v>
      </c>
      <c r="F821">
        <v>-2920272.1</v>
      </c>
      <c r="G821">
        <v>5</v>
      </c>
      <c r="H821">
        <v>1</v>
      </c>
      <c r="I821">
        <v>3</v>
      </c>
      <c r="J821">
        <v>3.4</v>
      </c>
      <c r="K821" t="s">
        <v>306</v>
      </c>
    </row>
    <row r="822" spans="1:11" x14ac:dyDescent="0.35">
      <c r="A822" t="s">
        <v>832</v>
      </c>
      <c r="B822">
        <v>5</v>
      </c>
      <c r="C822">
        <v>-3799727.78</v>
      </c>
      <c r="D822">
        <v>0</v>
      </c>
      <c r="E822">
        <v>1869437.82</v>
      </c>
      <c r="F822">
        <v>-2922852.2</v>
      </c>
      <c r="G822">
        <v>5</v>
      </c>
      <c r="H822">
        <v>1</v>
      </c>
      <c r="I822">
        <v>3</v>
      </c>
      <c r="J822">
        <v>3.4</v>
      </c>
      <c r="K822" t="s">
        <v>306</v>
      </c>
    </row>
    <row r="823" spans="1:11" x14ac:dyDescent="0.35">
      <c r="A823" t="s">
        <v>833</v>
      </c>
      <c r="B823">
        <v>5</v>
      </c>
      <c r="C823">
        <v>-11351234.18</v>
      </c>
      <c r="D823">
        <v>0</v>
      </c>
      <c r="E823">
        <v>2417823.83</v>
      </c>
      <c r="F823">
        <v>-3018729.8</v>
      </c>
      <c r="G823">
        <v>5</v>
      </c>
      <c r="H823">
        <v>1</v>
      </c>
      <c r="I823">
        <v>3</v>
      </c>
      <c r="J823">
        <v>3.4</v>
      </c>
      <c r="K823" t="s">
        <v>306</v>
      </c>
    </row>
    <row r="824" spans="1:11" x14ac:dyDescent="0.35">
      <c r="A824" t="s">
        <v>834</v>
      </c>
      <c r="B824">
        <v>5</v>
      </c>
      <c r="C824">
        <v>-32693099.140000001</v>
      </c>
      <c r="D824">
        <v>0.2</v>
      </c>
      <c r="E824">
        <v>33018876.710000001</v>
      </c>
      <c r="F824">
        <v>-6468011.9000000004</v>
      </c>
      <c r="G824">
        <v>4</v>
      </c>
      <c r="H824">
        <v>2</v>
      </c>
      <c r="I824">
        <v>4</v>
      </c>
      <c r="J824">
        <v>3.4</v>
      </c>
      <c r="K824" t="s">
        <v>306</v>
      </c>
    </row>
    <row r="825" spans="1:11" x14ac:dyDescent="0.35">
      <c r="A825" t="s">
        <v>835</v>
      </c>
      <c r="B825">
        <v>5</v>
      </c>
      <c r="C825">
        <v>-59092078.740000002</v>
      </c>
      <c r="D825">
        <v>0</v>
      </c>
      <c r="E825">
        <v>11253280.869999999</v>
      </c>
      <c r="F825">
        <v>-4989398</v>
      </c>
      <c r="G825">
        <v>5</v>
      </c>
      <c r="H825">
        <v>1</v>
      </c>
      <c r="I825">
        <v>3</v>
      </c>
      <c r="J825">
        <v>3.4</v>
      </c>
      <c r="K825" t="s">
        <v>306</v>
      </c>
    </row>
    <row r="826" spans="1:11" x14ac:dyDescent="0.35">
      <c r="A826" t="s">
        <v>836</v>
      </c>
      <c r="B826">
        <v>5</v>
      </c>
      <c r="C826">
        <v>-32621799.780000001</v>
      </c>
      <c r="D826">
        <v>0</v>
      </c>
      <c r="E826">
        <v>10286671.1</v>
      </c>
      <c r="F826">
        <v>-5111552.5</v>
      </c>
      <c r="G826">
        <v>5</v>
      </c>
      <c r="H826">
        <v>1</v>
      </c>
      <c r="I826">
        <v>3</v>
      </c>
      <c r="J826">
        <v>3.4</v>
      </c>
      <c r="K826" t="s">
        <v>306</v>
      </c>
    </row>
    <row r="827" spans="1:11" x14ac:dyDescent="0.35">
      <c r="A827" t="s">
        <v>837</v>
      </c>
      <c r="B827">
        <v>5</v>
      </c>
      <c r="C827">
        <v>-7216854.7999999998</v>
      </c>
      <c r="D827">
        <v>0</v>
      </c>
      <c r="E827">
        <v>7842369.3930000002</v>
      </c>
      <c r="F827">
        <v>-4628735.7</v>
      </c>
      <c r="G827">
        <v>5</v>
      </c>
      <c r="H827">
        <v>1</v>
      </c>
      <c r="I827">
        <v>3</v>
      </c>
      <c r="J827">
        <v>3.4</v>
      </c>
      <c r="K827" t="s">
        <v>306</v>
      </c>
    </row>
    <row r="828" spans="1:11" x14ac:dyDescent="0.35">
      <c r="A828" t="s">
        <v>838</v>
      </c>
      <c r="B828">
        <v>5</v>
      </c>
      <c r="C828">
        <v>-2152994.08</v>
      </c>
      <c r="D828">
        <v>0</v>
      </c>
      <c r="E828">
        <v>2298368.6060000001</v>
      </c>
      <c r="F828">
        <v>-4738904.0999999996</v>
      </c>
      <c r="G828">
        <v>5</v>
      </c>
      <c r="H828">
        <v>1</v>
      </c>
      <c r="I828">
        <v>3</v>
      </c>
      <c r="J828">
        <v>3.4</v>
      </c>
      <c r="K828" t="s">
        <v>306</v>
      </c>
    </row>
    <row r="829" spans="1:11" x14ac:dyDescent="0.35">
      <c r="A829" t="s">
        <v>839</v>
      </c>
      <c r="B829">
        <v>5</v>
      </c>
      <c r="C829">
        <v>-25326391.219999999</v>
      </c>
      <c r="D829">
        <v>0.2</v>
      </c>
      <c r="E829">
        <v>35023604.840000004</v>
      </c>
      <c r="F829">
        <v>-5403866.4000000004</v>
      </c>
      <c r="G829">
        <v>4</v>
      </c>
      <c r="H829">
        <v>2</v>
      </c>
      <c r="I829">
        <v>4</v>
      </c>
      <c r="J829">
        <v>3.4</v>
      </c>
      <c r="K829" t="s">
        <v>306</v>
      </c>
    </row>
    <row r="830" spans="1:11" x14ac:dyDescent="0.35">
      <c r="A830" t="s">
        <v>840</v>
      </c>
      <c r="B830">
        <v>5</v>
      </c>
      <c r="C830">
        <v>-33214139.920000002</v>
      </c>
      <c r="D830">
        <v>0</v>
      </c>
      <c r="E830">
        <v>12054186.029999999</v>
      </c>
      <c r="F830">
        <v>-2849321.1</v>
      </c>
      <c r="G830">
        <v>5</v>
      </c>
      <c r="H830">
        <v>1</v>
      </c>
      <c r="I830">
        <v>3</v>
      </c>
      <c r="J830">
        <v>3.4</v>
      </c>
      <c r="K830" t="s">
        <v>306</v>
      </c>
    </row>
    <row r="831" spans="1:11" x14ac:dyDescent="0.35">
      <c r="A831" t="s">
        <v>841</v>
      </c>
      <c r="B831">
        <v>5</v>
      </c>
      <c r="C831">
        <v>-42410909.740000002</v>
      </c>
      <c r="D831">
        <v>0</v>
      </c>
      <c r="E831">
        <v>5801292.6840000004</v>
      </c>
      <c r="F831">
        <v>-1903469.4</v>
      </c>
      <c r="G831">
        <v>5</v>
      </c>
      <c r="H831">
        <v>1</v>
      </c>
      <c r="I831">
        <v>3</v>
      </c>
      <c r="J831">
        <v>3.4</v>
      </c>
      <c r="K831" t="s">
        <v>306</v>
      </c>
    </row>
    <row r="832" spans="1:11" x14ac:dyDescent="0.35">
      <c r="A832" t="s">
        <v>842</v>
      </c>
      <c r="B832">
        <v>5</v>
      </c>
      <c r="C832">
        <v>-5336050.9400000004</v>
      </c>
      <c r="D832">
        <v>0</v>
      </c>
      <c r="E832">
        <v>1469289.9550000001</v>
      </c>
      <c r="F832">
        <v>-1923685.3</v>
      </c>
      <c r="G832">
        <v>5</v>
      </c>
      <c r="H832">
        <v>1</v>
      </c>
      <c r="I832">
        <v>3</v>
      </c>
      <c r="J832">
        <v>3.4</v>
      </c>
      <c r="K832" t="s">
        <v>306</v>
      </c>
    </row>
    <row r="833" spans="1:11" x14ac:dyDescent="0.35">
      <c r="A833" t="s">
        <v>843</v>
      </c>
      <c r="B833">
        <v>5</v>
      </c>
      <c r="C833">
        <v>-30318847.440000001</v>
      </c>
      <c r="D833">
        <v>0</v>
      </c>
      <c r="E833">
        <v>4445508.0269999998</v>
      </c>
      <c r="F833">
        <v>-2489364.7000000002</v>
      </c>
      <c r="G833">
        <v>5</v>
      </c>
      <c r="H833">
        <v>1</v>
      </c>
      <c r="I833">
        <v>3</v>
      </c>
      <c r="J833">
        <v>3.4</v>
      </c>
      <c r="K833" t="s">
        <v>306</v>
      </c>
    </row>
    <row r="834" spans="1:11" x14ac:dyDescent="0.35">
      <c r="A834" t="s">
        <v>844</v>
      </c>
      <c r="B834">
        <v>5</v>
      </c>
      <c r="C834">
        <v>-8257056.2800000003</v>
      </c>
      <c r="D834">
        <v>0</v>
      </c>
      <c r="E834">
        <v>3312007.3790000002</v>
      </c>
      <c r="F834">
        <v>-2623441.1</v>
      </c>
      <c r="G834">
        <v>5</v>
      </c>
      <c r="H834">
        <v>1</v>
      </c>
      <c r="I834">
        <v>3</v>
      </c>
      <c r="J834">
        <v>3.4</v>
      </c>
      <c r="K834" t="s">
        <v>306</v>
      </c>
    </row>
    <row r="835" spans="1:11" x14ac:dyDescent="0.35">
      <c r="A835" t="s">
        <v>845</v>
      </c>
      <c r="B835">
        <v>5</v>
      </c>
      <c r="C835">
        <v>-12676460.939999999</v>
      </c>
      <c r="D835">
        <v>0</v>
      </c>
      <c r="E835">
        <v>2045680.1510000001</v>
      </c>
      <c r="F835">
        <v>-1983135.4</v>
      </c>
      <c r="G835">
        <v>5</v>
      </c>
      <c r="H835">
        <v>1</v>
      </c>
      <c r="I835">
        <v>3</v>
      </c>
      <c r="J835">
        <v>3.4</v>
      </c>
      <c r="K835" t="s">
        <v>306</v>
      </c>
    </row>
    <row r="836" spans="1:11" x14ac:dyDescent="0.35">
      <c r="A836" t="s">
        <v>846</v>
      </c>
      <c r="B836">
        <v>5</v>
      </c>
      <c r="C836">
        <v>-13240721.380000001</v>
      </c>
      <c r="D836">
        <v>0</v>
      </c>
      <c r="E836">
        <v>4554910.3099999996</v>
      </c>
      <c r="F836">
        <v>-2060435.2</v>
      </c>
      <c r="G836">
        <v>5</v>
      </c>
      <c r="H836">
        <v>1</v>
      </c>
      <c r="I836">
        <v>3</v>
      </c>
      <c r="J836">
        <v>3.4</v>
      </c>
      <c r="K836" t="s">
        <v>306</v>
      </c>
    </row>
    <row r="837" spans="1:11" x14ac:dyDescent="0.35">
      <c r="A837" t="s">
        <v>847</v>
      </c>
      <c r="B837">
        <v>5</v>
      </c>
      <c r="C837">
        <v>-3803848.48</v>
      </c>
      <c r="D837">
        <v>0</v>
      </c>
      <c r="E837">
        <v>1935329.4879999999</v>
      </c>
      <c r="F837">
        <v>-2133594.4</v>
      </c>
      <c r="G837">
        <v>5</v>
      </c>
      <c r="H837">
        <v>1</v>
      </c>
      <c r="I837">
        <v>3</v>
      </c>
      <c r="J837">
        <v>3.4</v>
      </c>
      <c r="K837" t="s">
        <v>306</v>
      </c>
    </row>
    <row r="838" spans="1:11" x14ac:dyDescent="0.35">
      <c r="A838" t="s">
        <v>848</v>
      </c>
      <c r="B838">
        <v>5</v>
      </c>
      <c r="C838">
        <v>-9002838.6199999992</v>
      </c>
      <c r="D838">
        <v>0</v>
      </c>
      <c r="E838">
        <v>13627835.27</v>
      </c>
      <c r="F838">
        <v>-2137376.7999999998</v>
      </c>
      <c r="G838">
        <v>5</v>
      </c>
      <c r="H838">
        <v>1</v>
      </c>
      <c r="I838">
        <v>3</v>
      </c>
      <c r="J838">
        <v>3.4</v>
      </c>
      <c r="K838" t="s">
        <v>306</v>
      </c>
    </row>
    <row r="839" spans="1:11" x14ac:dyDescent="0.35">
      <c r="A839" t="s">
        <v>849</v>
      </c>
      <c r="B839">
        <v>5</v>
      </c>
      <c r="C839">
        <v>-27825193.699999999</v>
      </c>
      <c r="D839">
        <v>0</v>
      </c>
      <c r="E839">
        <v>11673901.93</v>
      </c>
      <c r="F839">
        <v>-2302337.5</v>
      </c>
      <c r="G839">
        <v>5</v>
      </c>
      <c r="H839">
        <v>1</v>
      </c>
      <c r="I839">
        <v>3</v>
      </c>
      <c r="J839">
        <v>3.4</v>
      </c>
      <c r="K839" t="s">
        <v>306</v>
      </c>
    </row>
    <row r="840" spans="1:11" x14ac:dyDescent="0.35">
      <c r="A840" t="s">
        <v>850</v>
      </c>
      <c r="B840">
        <v>5</v>
      </c>
      <c r="C840">
        <v>-8225472.54</v>
      </c>
      <c r="D840">
        <v>0</v>
      </c>
      <c r="E840">
        <v>893285.20019999996</v>
      </c>
      <c r="F840">
        <v>-2365047.7000000002</v>
      </c>
      <c r="G840">
        <v>5</v>
      </c>
      <c r="H840">
        <v>1</v>
      </c>
      <c r="I840">
        <v>3</v>
      </c>
      <c r="J840">
        <v>3.4</v>
      </c>
      <c r="K840" t="s">
        <v>306</v>
      </c>
    </row>
    <row r="841" spans="1:11" x14ac:dyDescent="0.35">
      <c r="A841" t="s">
        <v>851</v>
      </c>
      <c r="B841">
        <v>5</v>
      </c>
      <c r="C841">
        <v>-9687811.6400000006</v>
      </c>
      <c r="D841">
        <v>0</v>
      </c>
      <c r="E841">
        <v>4734137.3049999997</v>
      </c>
      <c r="F841">
        <v>-2367521.5</v>
      </c>
      <c r="G841">
        <v>5</v>
      </c>
      <c r="H841">
        <v>1</v>
      </c>
      <c r="I841">
        <v>3</v>
      </c>
      <c r="J841">
        <v>3.4</v>
      </c>
      <c r="K841" t="s">
        <v>306</v>
      </c>
    </row>
    <row r="842" spans="1:11" x14ac:dyDescent="0.35">
      <c r="A842" t="s">
        <v>852</v>
      </c>
      <c r="B842">
        <v>5</v>
      </c>
      <c r="C842">
        <v>-1494747.54</v>
      </c>
      <c r="D842">
        <v>0</v>
      </c>
      <c r="E842">
        <v>740644.52630000003</v>
      </c>
      <c r="F842">
        <v>-1768516.3</v>
      </c>
      <c r="G842">
        <v>5</v>
      </c>
      <c r="H842">
        <v>1</v>
      </c>
      <c r="I842">
        <v>3</v>
      </c>
      <c r="J842">
        <v>3.4</v>
      </c>
      <c r="K842" t="s">
        <v>306</v>
      </c>
    </row>
    <row r="843" spans="1:11" x14ac:dyDescent="0.35">
      <c r="A843" t="s">
        <v>853</v>
      </c>
      <c r="B843">
        <v>5</v>
      </c>
      <c r="C843">
        <v>-7626592.1600000001</v>
      </c>
      <c r="D843">
        <v>0</v>
      </c>
      <c r="E843">
        <v>1733118.233</v>
      </c>
      <c r="F843">
        <v>-1119850.8999999999</v>
      </c>
      <c r="G843">
        <v>5</v>
      </c>
      <c r="H843">
        <v>1</v>
      </c>
      <c r="I843">
        <v>3</v>
      </c>
      <c r="J843">
        <v>3.4</v>
      </c>
      <c r="K843" t="s">
        <v>306</v>
      </c>
    </row>
    <row r="844" spans="1:11" x14ac:dyDescent="0.35">
      <c r="A844" t="s">
        <v>854</v>
      </c>
      <c r="B844">
        <v>5</v>
      </c>
      <c r="C844">
        <v>-3658937.5</v>
      </c>
      <c r="D844">
        <v>0</v>
      </c>
      <c r="E844">
        <v>955255.57149999996</v>
      </c>
      <c r="F844">
        <v>-1209092.1000000001</v>
      </c>
      <c r="G844">
        <v>5</v>
      </c>
      <c r="H844">
        <v>1</v>
      </c>
      <c r="I844">
        <v>3</v>
      </c>
      <c r="J844">
        <v>3.4</v>
      </c>
      <c r="K844" t="s">
        <v>306</v>
      </c>
    </row>
    <row r="845" spans="1:11" x14ac:dyDescent="0.35">
      <c r="A845" t="s">
        <v>855</v>
      </c>
      <c r="B845">
        <v>5</v>
      </c>
      <c r="C845">
        <v>-2701570.7</v>
      </c>
      <c r="D845">
        <v>0</v>
      </c>
      <c r="E845">
        <v>1725164.8060000001</v>
      </c>
      <c r="F845">
        <v>-819182.1</v>
      </c>
      <c r="G845">
        <v>5</v>
      </c>
      <c r="H845">
        <v>1</v>
      </c>
      <c r="I845">
        <v>3</v>
      </c>
      <c r="J845">
        <v>3.4</v>
      </c>
      <c r="K845" t="s">
        <v>306</v>
      </c>
    </row>
    <row r="846" spans="1:11" x14ac:dyDescent="0.35">
      <c r="A846" t="s">
        <v>856</v>
      </c>
      <c r="B846">
        <v>5</v>
      </c>
      <c r="C846">
        <v>-7325507.0999999996</v>
      </c>
      <c r="D846">
        <v>0</v>
      </c>
      <c r="E846">
        <v>4696603.3159999996</v>
      </c>
      <c r="F846">
        <v>-1313074.5</v>
      </c>
      <c r="G846">
        <v>5</v>
      </c>
      <c r="H846">
        <v>1</v>
      </c>
      <c r="I846">
        <v>3</v>
      </c>
      <c r="J846">
        <v>3.4</v>
      </c>
      <c r="K846" t="s">
        <v>306</v>
      </c>
    </row>
    <row r="847" spans="1:11" x14ac:dyDescent="0.35">
      <c r="A847" t="s">
        <v>857</v>
      </c>
      <c r="B847">
        <v>5</v>
      </c>
      <c r="C847">
        <v>-412164.16</v>
      </c>
      <c r="D847">
        <v>0</v>
      </c>
      <c r="E847">
        <v>393126.24550000002</v>
      </c>
      <c r="F847">
        <v>-757844.6</v>
      </c>
      <c r="G847">
        <v>5</v>
      </c>
      <c r="H847">
        <v>1</v>
      </c>
      <c r="I847">
        <v>3</v>
      </c>
      <c r="J847">
        <v>3.4</v>
      </c>
      <c r="K847" t="s">
        <v>306</v>
      </c>
    </row>
    <row r="848" spans="1:11" x14ac:dyDescent="0.35">
      <c r="A848" t="s">
        <v>858</v>
      </c>
      <c r="B848">
        <v>5</v>
      </c>
      <c r="C848">
        <v>-7480437.96</v>
      </c>
      <c r="D848">
        <v>0</v>
      </c>
      <c r="E848">
        <v>1806604.737</v>
      </c>
      <c r="F848">
        <v>-769011.7</v>
      </c>
      <c r="G848">
        <v>5</v>
      </c>
      <c r="H848">
        <v>1</v>
      </c>
      <c r="I848">
        <v>3</v>
      </c>
      <c r="J848">
        <v>3.4</v>
      </c>
      <c r="K848" t="s">
        <v>306</v>
      </c>
    </row>
    <row r="849" spans="1:11" x14ac:dyDescent="0.35">
      <c r="A849" t="s">
        <v>859</v>
      </c>
      <c r="B849">
        <v>5</v>
      </c>
      <c r="C849">
        <v>-3556416.54</v>
      </c>
      <c r="D849">
        <v>0</v>
      </c>
      <c r="E849">
        <v>852973.54559999995</v>
      </c>
      <c r="F849">
        <v>-123343.5</v>
      </c>
      <c r="G849">
        <v>5</v>
      </c>
      <c r="H849">
        <v>1</v>
      </c>
      <c r="I849">
        <v>3</v>
      </c>
      <c r="J849">
        <v>3.4</v>
      </c>
      <c r="K849" t="s">
        <v>306</v>
      </c>
    </row>
    <row r="850" spans="1:11" x14ac:dyDescent="0.35">
      <c r="A850" t="s">
        <v>860</v>
      </c>
      <c r="B850">
        <v>5</v>
      </c>
      <c r="C850">
        <v>-9452150.1600000001</v>
      </c>
      <c r="D850">
        <v>0</v>
      </c>
      <c r="E850">
        <v>2324780.2370000002</v>
      </c>
      <c r="F850">
        <v>-636683.4</v>
      </c>
      <c r="G850">
        <v>5</v>
      </c>
      <c r="H850">
        <v>1</v>
      </c>
      <c r="I850">
        <v>3</v>
      </c>
      <c r="J850">
        <v>3.4</v>
      </c>
      <c r="K850" t="s">
        <v>306</v>
      </c>
    </row>
    <row r="851" spans="1:11" x14ac:dyDescent="0.35">
      <c r="A851" t="s">
        <v>861</v>
      </c>
      <c r="B851">
        <v>5</v>
      </c>
      <c r="C851">
        <v>-596675.1</v>
      </c>
      <c r="D851">
        <v>0</v>
      </c>
      <c r="E851">
        <v>295755.24810000003</v>
      </c>
      <c r="F851">
        <v>-641286.80000000005</v>
      </c>
      <c r="G851">
        <v>5</v>
      </c>
      <c r="H851">
        <v>1</v>
      </c>
      <c r="I851">
        <v>3</v>
      </c>
      <c r="J851">
        <v>3.4</v>
      </c>
      <c r="K851" t="s">
        <v>306</v>
      </c>
    </row>
    <row r="852" spans="1:11" x14ac:dyDescent="0.35">
      <c r="A852" t="s">
        <v>862</v>
      </c>
      <c r="B852">
        <v>5</v>
      </c>
      <c r="C852">
        <v>-799956.7</v>
      </c>
      <c r="D852">
        <v>0</v>
      </c>
      <c r="E852">
        <v>681655.87719999999</v>
      </c>
      <c r="F852">
        <v>-375064.9</v>
      </c>
      <c r="G852">
        <v>5</v>
      </c>
      <c r="H852">
        <v>1</v>
      </c>
      <c r="I852">
        <v>3</v>
      </c>
      <c r="J852">
        <v>3.4</v>
      </c>
      <c r="K852" t="s">
        <v>306</v>
      </c>
    </row>
    <row r="853" spans="1:11" x14ac:dyDescent="0.35">
      <c r="A853" t="s">
        <v>863</v>
      </c>
      <c r="B853">
        <v>5</v>
      </c>
      <c r="C853">
        <v>-2320206.7200000002</v>
      </c>
      <c r="D853">
        <v>0</v>
      </c>
      <c r="E853">
        <v>1440326.2690000001</v>
      </c>
      <c r="F853">
        <v>-514970.3</v>
      </c>
      <c r="G853">
        <v>5</v>
      </c>
      <c r="H853">
        <v>1</v>
      </c>
      <c r="I853">
        <v>3</v>
      </c>
      <c r="J853">
        <v>3.4</v>
      </c>
      <c r="K853" t="s">
        <v>306</v>
      </c>
    </row>
    <row r="854" spans="1:11" x14ac:dyDescent="0.35">
      <c r="A854" t="s">
        <v>864</v>
      </c>
      <c r="B854">
        <v>5</v>
      </c>
      <c r="C854">
        <v>-9227507.5399999991</v>
      </c>
      <c r="D854">
        <v>0</v>
      </c>
      <c r="E854">
        <v>2063592.818</v>
      </c>
      <c r="F854">
        <v>375930.1</v>
      </c>
      <c r="G854">
        <v>5</v>
      </c>
      <c r="H854">
        <v>1</v>
      </c>
      <c r="I854">
        <v>3</v>
      </c>
      <c r="J854">
        <v>3.4</v>
      </c>
      <c r="K854" t="s">
        <v>306</v>
      </c>
    </row>
    <row r="855" spans="1:11" x14ac:dyDescent="0.35">
      <c r="A855" t="s">
        <v>865</v>
      </c>
      <c r="B855">
        <v>5</v>
      </c>
      <c r="C855">
        <v>-360124.62</v>
      </c>
      <c r="D855">
        <v>0</v>
      </c>
      <c r="E855">
        <v>161232.89069999999</v>
      </c>
      <c r="F855">
        <v>112788</v>
      </c>
      <c r="G855">
        <v>5</v>
      </c>
      <c r="H855">
        <v>1</v>
      </c>
      <c r="I855">
        <v>3</v>
      </c>
      <c r="J855">
        <v>3.4</v>
      </c>
      <c r="K855" t="s">
        <v>306</v>
      </c>
    </row>
    <row r="856" spans="1:11" x14ac:dyDescent="0.35">
      <c r="A856" t="s">
        <v>866</v>
      </c>
      <c r="B856">
        <v>5</v>
      </c>
      <c r="C856">
        <v>-18623840.199999999</v>
      </c>
      <c r="D856">
        <v>0</v>
      </c>
      <c r="E856">
        <v>3158597.4139999999</v>
      </c>
      <c r="F856">
        <v>-70631.199999999997</v>
      </c>
      <c r="G856">
        <v>5</v>
      </c>
      <c r="H856">
        <v>1</v>
      </c>
      <c r="I856">
        <v>3</v>
      </c>
      <c r="J856">
        <v>3.4</v>
      </c>
      <c r="K856" t="s">
        <v>306</v>
      </c>
    </row>
    <row r="857" spans="1:11" x14ac:dyDescent="0.35">
      <c r="A857" t="s">
        <v>867</v>
      </c>
      <c r="B857">
        <v>5</v>
      </c>
      <c r="C857">
        <v>-67424396.840000004</v>
      </c>
      <c r="D857">
        <v>0</v>
      </c>
      <c r="E857">
        <v>28438929.489999998</v>
      </c>
      <c r="F857">
        <v>-7457564</v>
      </c>
      <c r="G857">
        <v>4</v>
      </c>
      <c r="H857">
        <v>2</v>
      </c>
      <c r="I857">
        <v>4</v>
      </c>
      <c r="J857">
        <v>3.4</v>
      </c>
      <c r="K857" t="s">
        <v>306</v>
      </c>
    </row>
    <row r="858" spans="1:11" x14ac:dyDescent="0.35">
      <c r="A858" t="s">
        <v>868</v>
      </c>
      <c r="B858">
        <v>5</v>
      </c>
      <c r="C858">
        <v>-1552674.84</v>
      </c>
      <c r="D858">
        <v>0.4</v>
      </c>
      <c r="E858">
        <v>20661487.34</v>
      </c>
      <c r="F858">
        <v>-9726278.1999999993</v>
      </c>
      <c r="G858">
        <v>4</v>
      </c>
      <c r="H858">
        <v>2</v>
      </c>
      <c r="I858">
        <v>4</v>
      </c>
      <c r="J858">
        <v>3.4</v>
      </c>
      <c r="K858" t="s">
        <v>306</v>
      </c>
    </row>
    <row r="859" spans="1:11" x14ac:dyDescent="0.35">
      <c r="A859" t="s">
        <v>869</v>
      </c>
      <c r="B859">
        <v>5</v>
      </c>
      <c r="C859">
        <v>-14811034.619999999</v>
      </c>
      <c r="D859">
        <v>0.2</v>
      </c>
      <c r="E859">
        <v>18105715</v>
      </c>
      <c r="F859">
        <v>-16637716.1</v>
      </c>
      <c r="G859">
        <v>4</v>
      </c>
      <c r="H859">
        <v>2</v>
      </c>
      <c r="I859">
        <v>4</v>
      </c>
      <c r="J859">
        <v>3.4</v>
      </c>
      <c r="K859" t="s">
        <v>306</v>
      </c>
    </row>
    <row r="860" spans="1:11" x14ac:dyDescent="0.35">
      <c r="A860" t="s">
        <v>870</v>
      </c>
      <c r="B860">
        <v>5</v>
      </c>
      <c r="C860">
        <v>-38034273</v>
      </c>
      <c r="D860">
        <v>0</v>
      </c>
      <c r="E860">
        <v>24549284.07</v>
      </c>
      <c r="F860">
        <v>-17653330.399999999</v>
      </c>
      <c r="G860">
        <v>4</v>
      </c>
      <c r="H860">
        <v>2</v>
      </c>
      <c r="I860">
        <v>4</v>
      </c>
      <c r="J860">
        <v>3.4</v>
      </c>
      <c r="K860" t="s">
        <v>306</v>
      </c>
    </row>
    <row r="861" spans="1:11" x14ac:dyDescent="0.35">
      <c r="A861" t="s">
        <v>871</v>
      </c>
      <c r="B861">
        <v>5</v>
      </c>
      <c r="C861">
        <v>-6193625.7000000002</v>
      </c>
      <c r="D861">
        <v>0.4</v>
      </c>
      <c r="E861">
        <v>18391650.07</v>
      </c>
      <c r="F861">
        <v>-17350656.399999999</v>
      </c>
      <c r="G861">
        <v>4</v>
      </c>
      <c r="H861">
        <v>2</v>
      </c>
      <c r="I861">
        <v>4</v>
      </c>
      <c r="J861">
        <v>3.4</v>
      </c>
      <c r="K861" t="s">
        <v>306</v>
      </c>
    </row>
    <row r="862" spans="1:11" x14ac:dyDescent="0.35">
      <c r="A862" t="s">
        <v>872</v>
      </c>
      <c r="B862">
        <v>5</v>
      </c>
      <c r="C862">
        <v>-102351161.5</v>
      </c>
      <c r="D862">
        <v>0</v>
      </c>
      <c r="E862">
        <v>16016684.15</v>
      </c>
      <c r="F862">
        <v>-16699695.6</v>
      </c>
      <c r="G862">
        <v>4</v>
      </c>
      <c r="H862">
        <v>2</v>
      </c>
      <c r="I862">
        <v>4</v>
      </c>
      <c r="J862">
        <v>3.4</v>
      </c>
      <c r="K862" t="s">
        <v>306</v>
      </c>
    </row>
    <row r="863" spans="1:11" x14ac:dyDescent="0.35">
      <c r="A863" t="s">
        <v>873</v>
      </c>
      <c r="B863">
        <v>5</v>
      </c>
      <c r="C863">
        <v>-10214819.98</v>
      </c>
      <c r="D863">
        <v>0.4</v>
      </c>
      <c r="E863">
        <v>30761613.140000001</v>
      </c>
      <c r="F863">
        <v>-16985023.100000001</v>
      </c>
      <c r="G863">
        <v>4</v>
      </c>
      <c r="H863">
        <v>2</v>
      </c>
      <c r="I863">
        <v>4</v>
      </c>
      <c r="J863">
        <v>3.4</v>
      </c>
      <c r="K863" t="s">
        <v>306</v>
      </c>
    </row>
    <row r="864" spans="1:11" x14ac:dyDescent="0.35">
      <c r="A864" t="s">
        <v>874</v>
      </c>
      <c r="B864">
        <v>5</v>
      </c>
      <c r="C864">
        <v>-13266845.199999999</v>
      </c>
      <c r="D864">
        <v>0.4</v>
      </c>
      <c r="E864">
        <v>27972968.579999998</v>
      </c>
      <c r="F864">
        <v>-10566684.4</v>
      </c>
      <c r="G864">
        <v>4</v>
      </c>
      <c r="H864">
        <v>2</v>
      </c>
      <c r="I864">
        <v>4</v>
      </c>
      <c r="J864">
        <v>3.4</v>
      </c>
      <c r="K864" t="s">
        <v>306</v>
      </c>
    </row>
    <row r="865" spans="1:11" x14ac:dyDescent="0.35">
      <c r="A865" t="s">
        <v>875</v>
      </c>
      <c r="B865">
        <v>5</v>
      </c>
      <c r="C865">
        <v>-15268451.5</v>
      </c>
      <c r="D865">
        <v>0.4</v>
      </c>
      <c r="E865">
        <v>44639160.32</v>
      </c>
      <c r="F865">
        <v>-13863842</v>
      </c>
      <c r="G865">
        <v>4</v>
      </c>
      <c r="H865">
        <v>2</v>
      </c>
      <c r="I865">
        <v>4</v>
      </c>
      <c r="J865">
        <v>3.4</v>
      </c>
      <c r="K865" t="s">
        <v>306</v>
      </c>
    </row>
    <row r="866" spans="1:11" x14ac:dyDescent="0.35">
      <c r="A866" t="s">
        <v>876</v>
      </c>
      <c r="B866">
        <v>5</v>
      </c>
      <c r="C866">
        <v>-17445205.539999999</v>
      </c>
      <c r="D866">
        <v>0.2</v>
      </c>
      <c r="E866">
        <v>25537070.219999999</v>
      </c>
      <c r="F866">
        <v>-14879999.699999999</v>
      </c>
      <c r="G866">
        <v>4</v>
      </c>
      <c r="H866">
        <v>2</v>
      </c>
      <c r="I866">
        <v>4</v>
      </c>
      <c r="J866">
        <v>3.4</v>
      </c>
      <c r="K866" t="s">
        <v>306</v>
      </c>
    </row>
    <row r="867" spans="1:11" x14ac:dyDescent="0.35">
      <c r="A867" t="s">
        <v>877</v>
      </c>
      <c r="B867">
        <v>5</v>
      </c>
      <c r="C867">
        <v>-60770245.560000002</v>
      </c>
      <c r="D867">
        <v>0</v>
      </c>
      <c r="E867">
        <v>23132616.899999999</v>
      </c>
      <c r="F867">
        <v>-23801191.399999999</v>
      </c>
      <c r="G867">
        <v>4</v>
      </c>
      <c r="H867">
        <v>2</v>
      </c>
      <c r="I867">
        <v>4</v>
      </c>
      <c r="J867">
        <v>3.4</v>
      </c>
      <c r="K867" t="s">
        <v>306</v>
      </c>
    </row>
    <row r="868" spans="1:11" x14ac:dyDescent="0.35">
      <c r="A868" t="s">
        <v>878</v>
      </c>
      <c r="B868">
        <v>5</v>
      </c>
      <c r="C868">
        <v>-50894211.640000001</v>
      </c>
      <c r="D868">
        <v>0</v>
      </c>
      <c r="E868">
        <v>37051830.75</v>
      </c>
      <c r="F868">
        <v>-27174937.800000001</v>
      </c>
      <c r="G868">
        <v>4</v>
      </c>
      <c r="H868">
        <v>2</v>
      </c>
      <c r="I868">
        <v>4</v>
      </c>
      <c r="J868">
        <v>3.4</v>
      </c>
      <c r="K868" t="s">
        <v>306</v>
      </c>
    </row>
    <row r="869" spans="1:11" x14ac:dyDescent="0.35">
      <c r="A869" t="s">
        <v>879</v>
      </c>
      <c r="B869">
        <v>5</v>
      </c>
      <c r="C869">
        <v>-12733282.42</v>
      </c>
      <c r="D869">
        <v>0.4</v>
      </c>
      <c r="E869">
        <v>24785135.190000001</v>
      </c>
      <c r="F869">
        <v>-19398365.300000001</v>
      </c>
      <c r="G869">
        <v>4</v>
      </c>
      <c r="H869">
        <v>2</v>
      </c>
      <c r="I869">
        <v>4</v>
      </c>
      <c r="J869">
        <v>3.4</v>
      </c>
      <c r="K869" t="s">
        <v>306</v>
      </c>
    </row>
    <row r="870" spans="1:11" x14ac:dyDescent="0.35">
      <c r="A870" t="s">
        <v>880</v>
      </c>
      <c r="B870">
        <v>5</v>
      </c>
      <c r="C870">
        <v>-11201008.34</v>
      </c>
      <c r="D870">
        <v>0.4</v>
      </c>
      <c r="E870">
        <v>20376579.25</v>
      </c>
      <c r="F870">
        <v>-19701078</v>
      </c>
      <c r="G870">
        <v>4</v>
      </c>
      <c r="H870">
        <v>2</v>
      </c>
      <c r="I870">
        <v>4</v>
      </c>
      <c r="J870">
        <v>3.4</v>
      </c>
      <c r="K870" t="s">
        <v>306</v>
      </c>
    </row>
    <row r="871" spans="1:11" x14ac:dyDescent="0.35">
      <c r="A871" t="s">
        <v>881</v>
      </c>
      <c r="B871">
        <v>5</v>
      </c>
      <c r="C871">
        <v>-23124491.100000001</v>
      </c>
      <c r="D871">
        <v>0.2</v>
      </c>
      <c r="E871">
        <v>36827356.229999997</v>
      </c>
      <c r="F871">
        <v>-37035255.5</v>
      </c>
      <c r="G871">
        <v>4</v>
      </c>
      <c r="H871">
        <v>2</v>
      </c>
      <c r="I871">
        <v>4</v>
      </c>
      <c r="J871">
        <v>3.4</v>
      </c>
      <c r="K871" t="s">
        <v>306</v>
      </c>
    </row>
    <row r="872" spans="1:11" x14ac:dyDescent="0.35">
      <c r="A872" t="s">
        <v>882</v>
      </c>
      <c r="B872">
        <v>5</v>
      </c>
      <c r="C872">
        <v>-11126595.560000001</v>
      </c>
      <c r="D872">
        <v>0.4</v>
      </c>
      <c r="E872">
        <v>18162056.100000001</v>
      </c>
      <c r="F872">
        <v>-38496781.5</v>
      </c>
      <c r="G872">
        <v>4</v>
      </c>
      <c r="H872">
        <v>2</v>
      </c>
      <c r="I872">
        <v>4</v>
      </c>
      <c r="J872">
        <v>3.4</v>
      </c>
      <c r="K872" t="s">
        <v>306</v>
      </c>
    </row>
    <row r="873" spans="1:11" x14ac:dyDescent="0.35">
      <c r="A873" t="s">
        <v>883</v>
      </c>
      <c r="B873">
        <v>5</v>
      </c>
      <c r="C873">
        <v>-27038855.66</v>
      </c>
      <c r="D873">
        <v>0</v>
      </c>
      <c r="E873">
        <v>23579798.440000001</v>
      </c>
      <c r="F873">
        <v>-38761743.200000003</v>
      </c>
      <c r="G873">
        <v>4</v>
      </c>
      <c r="H873">
        <v>2</v>
      </c>
      <c r="I873">
        <v>4</v>
      </c>
      <c r="J873">
        <v>3.4</v>
      </c>
      <c r="K873" t="s">
        <v>306</v>
      </c>
    </row>
    <row r="874" spans="1:11" x14ac:dyDescent="0.35">
      <c r="A874" t="s">
        <v>884</v>
      </c>
      <c r="B874">
        <v>5</v>
      </c>
      <c r="C874">
        <v>-14615257.699999999</v>
      </c>
      <c r="D874">
        <v>0.2</v>
      </c>
      <c r="E874">
        <v>16379330.49</v>
      </c>
      <c r="F874">
        <v>-35996678.700000003</v>
      </c>
      <c r="G874">
        <v>4</v>
      </c>
      <c r="H874">
        <v>2</v>
      </c>
      <c r="I874">
        <v>4</v>
      </c>
      <c r="J874">
        <v>3.4</v>
      </c>
      <c r="K874" t="s">
        <v>306</v>
      </c>
    </row>
    <row r="875" spans="1:11" x14ac:dyDescent="0.35">
      <c r="A875" t="s">
        <v>885</v>
      </c>
      <c r="B875">
        <v>5</v>
      </c>
      <c r="C875">
        <v>-27099119.199999999</v>
      </c>
      <c r="D875">
        <v>0.2</v>
      </c>
      <c r="E875">
        <v>32720188.84</v>
      </c>
      <c r="F875">
        <v>-36240491</v>
      </c>
      <c r="G875">
        <v>4</v>
      </c>
      <c r="H875">
        <v>2</v>
      </c>
      <c r="I875">
        <v>4</v>
      </c>
      <c r="J875">
        <v>3.4</v>
      </c>
      <c r="K875" t="s">
        <v>306</v>
      </c>
    </row>
    <row r="876" spans="1:11" x14ac:dyDescent="0.35">
      <c r="A876" t="s">
        <v>886</v>
      </c>
      <c r="B876">
        <v>5</v>
      </c>
      <c r="C876">
        <v>-39313100.240000002</v>
      </c>
      <c r="D876">
        <v>0.2</v>
      </c>
      <c r="E876">
        <v>43895768.270000003</v>
      </c>
      <c r="F876">
        <v>-34255712.700000003</v>
      </c>
      <c r="G876">
        <v>4</v>
      </c>
      <c r="H876">
        <v>2</v>
      </c>
      <c r="I876">
        <v>4</v>
      </c>
      <c r="J876">
        <v>3.4</v>
      </c>
      <c r="K876" t="s">
        <v>306</v>
      </c>
    </row>
    <row r="877" spans="1:11" x14ac:dyDescent="0.35">
      <c r="A877" t="s">
        <v>887</v>
      </c>
      <c r="B877">
        <v>5</v>
      </c>
      <c r="C877">
        <v>-14397867.560000001</v>
      </c>
      <c r="D877">
        <v>0.4</v>
      </c>
      <c r="E877">
        <v>20277941.52</v>
      </c>
      <c r="F877">
        <v>-35491133.5</v>
      </c>
      <c r="G877">
        <v>4</v>
      </c>
      <c r="H877">
        <v>2</v>
      </c>
      <c r="I877">
        <v>4</v>
      </c>
      <c r="J877">
        <v>3.4</v>
      </c>
      <c r="K877" t="s">
        <v>306</v>
      </c>
    </row>
    <row r="878" spans="1:11" x14ac:dyDescent="0.35">
      <c r="A878" t="s">
        <v>888</v>
      </c>
      <c r="B878">
        <v>5</v>
      </c>
      <c r="C878">
        <v>-17319292.48</v>
      </c>
      <c r="D878">
        <v>0.2</v>
      </c>
      <c r="E878">
        <v>28086346.34</v>
      </c>
      <c r="F878">
        <v>-35270678.700000003</v>
      </c>
      <c r="G878">
        <v>4</v>
      </c>
      <c r="H878">
        <v>2</v>
      </c>
      <c r="I878">
        <v>4</v>
      </c>
      <c r="J878">
        <v>3.4</v>
      </c>
      <c r="K878" t="s">
        <v>306</v>
      </c>
    </row>
    <row r="879" spans="1:11" x14ac:dyDescent="0.35">
      <c r="A879" t="s">
        <v>889</v>
      </c>
      <c r="B879">
        <v>5</v>
      </c>
      <c r="C879">
        <v>-38752611.68</v>
      </c>
      <c r="D879">
        <v>0</v>
      </c>
      <c r="E879">
        <v>20416580.32</v>
      </c>
      <c r="F879">
        <v>-33480436.100000001</v>
      </c>
      <c r="G879">
        <v>4</v>
      </c>
      <c r="H879">
        <v>2</v>
      </c>
      <c r="I879">
        <v>4</v>
      </c>
      <c r="J879">
        <v>3.4</v>
      </c>
      <c r="K879" t="s">
        <v>306</v>
      </c>
    </row>
    <row r="880" spans="1:11" x14ac:dyDescent="0.35">
      <c r="A880" t="s">
        <v>890</v>
      </c>
      <c r="B880">
        <v>5</v>
      </c>
      <c r="C880">
        <v>955540</v>
      </c>
      <c r="D880">
        <v>0.4</v>
      </c>
      <c r="E880">
        <v>24883372.600000001</v>
      </c>
      <c r="F880">
        <v>-32070213.600000001</v>
      </c>
      <c r="G880">
        <v>4</v>
      </c>
      <c r="H880">
        <v>2</v>
      </c>
      <c r="I880">
        <v>4</v>
      </c>
      <c r="J880">
        <v>3.4</v>
      </c>
      <c r="K880" t="s">
        <v>306</v>
      </c>
    </row>
    <row r="881" spans="1:11" x14ac:dyDescent="0.35">
      <c r="A881" t="s">
        <v>891</v>
      </c>
      <c r="B881">
        <v>5</v>
      </c>
      <c r="C881">
        <v>-26334906.82</v>
      </c>
      <c r="D881">
        <v>0.2</v>
      </c>
      <c r="E881">
        <v>22743044.629999999</v>
      </c>
      <c r="F881">
        <v>-27877480.399999999</v>
      </c>
      <c r="G881">
        <v>4</v>
      </c>
      <c r="H881">
        <v>2</v>
      </c>
      <c r="I881">
        <v>4</v>
      </c>
      <c r="J881">
        <v>3.4</v>
      </c>
      <c r="K881" t="s">
        <v>306</v>
      </c>
    </row>
    <row r="882" spans="1:11" x14ac:dyDescent="0.35">
      <c r="A882" t="s">
        <v>892</v>
      </c>
      <c r="B882">
        <v>5</v>
      </c>
      <c r="C882">
        <v>4896563.12</v>
      </c>
      <c r="D882">
        <v>0.4</v>
      </c>
      <c r="E882">
        <v>33826106.719999999</v>
      </c>
      <c r="F882">
        <v>-29118697.100000001</v>
      </c>
      <c r="G882">
        <v>4</v>
      </c>
      <c r="H882">
        <v>2</v>
      </c>
      <c r="I882">
        <v>4</v>
      </c>
      <c r="J882">
        <v>3.4</v>
      </c>
      <c r="K882" t="s">
        <v>306</v>
      </c>
    </row>
    <row r="883" spans="1:11" x14ac:dyDescent="0.35">
      <c r="A883" t="s">
        <v>893</v>
      </c>
      <c r="B883">
        <v>5</v>
      </c>
      <c r="C883">
        <v>-24090468.420000002</v>
      </c>
      <c r="D883">
        <v>0</v>
      </c>
      <c r="E883">
        <v>5623479.4189999998</v>
      </c>
      <c r="F883">
        <v>14094236.9</v>
      </c>
      <c r="G883">
        <v>5</v>
      </c>
      <c r="H883">
        <v>1</v>
      </c>
      <c r="I883">
        <v>3</v>
      </c>
      <c r="J883">
        <v>3.4</v>
      </c>
      <c r="K883" t="s">
        <v>306</v>
      </c>
    </row>
    <row r="884" spans="1:11" x14ac:dyDescent="0.35">
      <c r="A884" t="s">
        <v>894</v>
      </c>
      <c r="B884">
        <v>5</v>
      </c>
      <c r="C884">
        <v>-15174492.66</v>
      </c>
      <c r="D884">
        <v>0</v>
      </c>
      <c r="E884">
        <v>8580776.6710000001</v>
      </c>
      <c r="F884">
        <v>14421708.5</v>
      </c>
      <c r="G884">
        <v>5</v>
      </c>
      <c r="H884">
        <v>1</v>
      </c>
      <c r="I884">
        <v>3</v>
      </c>
      <c r="J884">
        <v>3.4</v>
      </c>
      <c r="K884" t="s">
        <v>306</v>
      </c>
    </row>
    <row r="885" spans="1:11" x14ac:dyDescent="0.35">
      <c r="A885" t="s">
        <v>895</v>
      </c>
      <c r="B885">
        <v>5</v>
      </c>
      <c r="C885">
        <v>-40674660.100000001</v>
      </c>
      <c r="D885">
        <v>0</v>
      </c>
      <c r="E885">
        <v>14035383.189999999</v>
      </c>
      <c r="F885">
        <v>13663921.1</v>
      </c>
      <c r="G885">
        <v>5</v>
      </c>
      <c r="H885">
        <v>1</v>
      </c>
      <c r="I885">
        <v>3</v>
      </c>
      <c r="J885">
        <v>3.4</v>
      </c>
      <c r="K885" t="s">
        <v>306</v>
      </c>
    </row>
    <row r="886" spans="1:11" x14ac:dyDescent="0.35">
      <c r="A886" t="s">
        <v>896</v>
      </c>
      <c r="B886">
        <v>5</v>
      </c>
      <c r="C886">
        <v>-15675942.08</v>
      </c>
      <c r="D886">
        <v>0</v>
      </c>
      <c r="E886">
        <v>5443638.432</v>
      </c>
      <c r="F886">
        <v>13595041</v>
      </c>
      <c r="G886">
        <v>5</v>
      </c>
      <c r="H886">
        <v>1</v>
      </c>
      <c r="I886">
        <v>3</v>
      </c>
      <c r="J886">
        <v>3.4</v>
      </c>
      <c r="K886" t="s">
        <v>306</v>
      </c>
    </row>
    <row r="887" spans="1:11" x14ac:dyDescent="0.35">
      <c r="A887" t="s">
        <v>897</v>
      </c>
      <c r="B887">
        <v>5</v>
      </c>
      <c r="C887">
        <v>-23639979.719999999</v>
      </c>
      <c r="D887">
        <v>0</v>
      </c>
      <c r="E887">
        <v>6342877.8039999995</v>
      </c>
      <c r="F887">
        <v>13537994.9</v>
      </c>
      <c r="G887">
        <v>5</v>
      </c>
      <c r="H887">
        <v>1</v>
      </c>
      <c r="I887">
        <v>3</v>
      </c>
      <c r="J887">
        <v>3.4</v>
      </c>
      <c r="K887" t="s">
        <v>306</v>
      </c>
    </row>
    <row r="888" spans="1:11" x14ac:dyDescent="0.35">
      <c r="A888" t="s">
        <v>898</v>
      </c>
      <c r="B888">
        <v>5</v>
      </c>
      <c r="C888">
        <v>-60801508.039999999</v>
      </c>
      <c r="D888">
        <v>0</v>
      </c>
      <c r="E888">
        <v>6655915.6150000002</v>
      </c>
      <c r="F888">
        <v>13340309.5</v>
      </c>
      <c r="G888">
        <v>5</v>
      </c>
      <c r="H888">
        <v>1</v>
      </c>
      <c r="I888">
        <v>3</v>
      </c>
      <c r="J888">
        <v>3.4</v>
      </c>
      <c r="K888" t="s">
        <v>306</v>
      </c>
    </row>
    <row r="889" spans="1:11" x14ac:dyDescent="0.35">
      <c r="A889" t="s">
        <v>899</v>
      </c>
      <c r="B889">
        <v>5</v>
      </c>
      <c r="C889">
        <v>-5075020.92</v>
      </c>
      <c r="D889">
        <v>0</v>
      </c>
      <c r="E889">
        <v>6772251.5250000004</v>
      </c>
      <c r="F889">
        <v>15995293.4</v>
      </c>
      <c r="G889">
        <v>5</v>
      </c>
      <c r="H889">
        <v>1</v>
      </c>
      <c r="I889">
        <v>3</v>
      </c>
      <c r="J889">
        <v>3.4</v>
      </c>
      <c r="K889" t="s">
        <v>306</v>
      </c>
    </row>
    <row r="890" spans="1:11" x14ac:dyDescent="0.35">
      <c r="A890" t="s">
        <v>900</v>
      </c>
      <c r="B890">
        <v>5</v>
      </c>
      <c r="C890">
        <v>-7549636.9000000004</v>
      </c>
      <c r="D890">
        <v>0</v>
      </c>
      <c r="E890">
        <v>5950189.9979999997</v>
      </c>
      <c r="F890">
        <v>15466967.199999999</v>
      </c>
      <c r="G890">
        <v>5</v>
      </c>
      <c r="H890">
        <v>1</v>
      </c>
      <c r="I890">
        <v>3</v>
      </c>
      <c r="J890">
        <v>3.4</v>
      </c>
      <c r="K890" t="s">
        <v>306</v>
      </c>
    </row>
    <row r="891" spans="1:11" x14ac:dyDescent="0.35">
      <c r="A891" t="s">
        <v>901</v>
      </c>
      <c r="B891">
        <v>5</v>
      </c>
      <c r="C891">
        <v>-50977737</v>
      </c>
      <c r="D891">
        <v>0</v>
      </c>
      <c r="E891">
        <v>9379408.4489999991</v>
      </c>
      <c r="F891">
        <v>18099604.300000001</v>
      </c>
      <c r="G891">
        <v>5</v>
      </c>
      <c r="H891">
        <v>1</v>
      </c>
      <c r="I891">
        <v>3</v>
      </c>
      <c r="J891">
        <v>3.4</v>
      </c>
      <c r="K891" t="s">
        <v>306</v>
      </c>
    </row>
    <row r="892" spans="1:11" x14ac:dyDescent="0.35">
      <c r="A892" t="s">
        <v>902</v>
      </c>
      <c r="B892">
        <v>5</v>
      </c>
      <c r="C892">
        <v>-13030720.560000001</v>
      </c>
      <c r="D892">
        <v>0</v>
      </c>
      <c r="E892">
        <v>8285813.6689999998</v>
      </c>
      <c r="F892">
        <v>19226103</v>
      </c>
      <c r="G892">
        <v>5</v>
      </c>
      <c r="H892">
        <v>1</v>
      </c>
      <c r="I892">
        <v>3</v>
      </c>
      <c r="J892">
        <v>3.4</v>
      </c>
      <c r="K892" t="s">
        <v>306</v>
      </c>
    </row>
    <row r="893" spans="1:11" x14ac:dyDescent="0.35">
      <c r="A893" t="s">
        <v>903</v>
      </c>
      <c r="B893">
        <v>5</v>
      </c>
      <c r="C893">
        <v>-47238117.880000003</v>
      </c>
      <c r="D893">
        <v>0</v>
      </c>
      <c r="E893">
        <v>9707825.0779999997</v>
      </c>
      <c r="F893">
        <v>18948323.600000001</v>
      </c>
      <c r="G893">
        <v>5</v>
      </c>
      <c r="H893">
        <v>1</v>
      </c>
      <c r="I893">
        <v>3</v>
      </c>
      <c r="J893">
        <v>3.4</v>
      </c>
      <c r="K893" t="s">
        <v>306</v>
      </c>
    </row>
    <row r="894" spans="1:11" x14ac:dyDescent="0.35">
      <c r="A894" t="s">
        <v>904</v>
      </c>
      <c r="B894">
        <v>5</v>
      </c>
      <c r="C894">
        <v>-5632801.4800000004</v>
      </c>
      <c r="D894">
        <v>0</v>
      </c>
      <c r="E894">
        <v>7847887.6100000003</v>
      </c>
      <c r="F894">
        <v>18690761.5</v>
      </c>
      <c r="G894">
        <v>5</v>
      </c>
      <c r="H894">
        <v>1</v>
      </c>
      <c r="I894">
        <v>3</v>
      </c>
      <c r="J894">
        <v>3.4</v>
      </c>
      <c r="K894" t="s">
        <v>306</v>
      </c>
    </row>
    <row r="895" spans="1:11" x14ac:dyDescent="0.35">
      <c r="A895" t="s">
        <v>905</v>
      </c>
      <c r="B895">
        <v>5</v>
      </c>
      <c r="C895">
        <v>-41452979.380000003</v>
      </c>
      <c r="D895">
        <v>0</v>
      </c>
      <c r="E895">
        <v>13104390.99</v>
      </c>
      <c r="F895">
        <v>10315405</v>
      </c>
      <c r="G895">
        <v>5</v>
      </c>
      <c r="H895">
        <v>1</v>
      </c>
      <c r="I895">
        <v>3</v>
      </c>
      <c r="J895">
        <v>3.4</v>
      </c>
      <c r="K895" t="s">
        <v>306</v>
      </c>
    </row>
    <row r="896" spans="1:11" x14ac:dyDescent="0.35">
      <c r="A896" t="s">
        <v>906</v>
      </c>
      <c r="B896">
        <v>5</v>
      </c>
      <c r="C896">
        <v>-71738846.040000007</v>
      </c>
      <c r="D896">
        <v>0</v>
      </c>
      <c r="E896">
        <v>9123248.0439999998</v>
      </c>
      <c r="F896">
        <v>12022351.6</v>
      </c>
      <c r="G896">
        <v>5</v>
      </c>
      <c r="H896">
        <v>1</v>
      </c>
      <c r="I896">
        <v>3</v>
      </c>
      <c r="J896">
        <v>3.4</v>
      </c>
      <c r="K896" t="s">
        <v>306</v>
      </c>
    </row>
    <row r="897" spans="1:11" x14ac:dyDescent="0.35">
      <c r="A897" t="s">
        <v>907</v>
      </c>
      <c r="B897">
        <v>5</v>
      </c>
      <c r="C897">
        <v>-19929914.920000002</v>
      </c>
      <c r="D897">
        <v>0</v>
      </c>
      <c r="E897">
        <v>9149914.7670000009</v>
      </c>
      <c r="F897">
        <v>8193251.5999999996</v>
      </c>
      <c r="G897">
        <v>5</v>
      </c>
      <c r="H897">
        <v>1</v>
      </c>
      <c r="I897">
        <v>3</v>
      </c>
      <c r="J897">
        <v>3.4</v>
      </c>
      <c r="K897" t="s">
        <v>306</v>
      </c>
    </row>
    <row r="898" spans="1:11" x14ac:dyDescent="0.35">
      <c r="A898" t="s">
        <v>908</v>
      </c>
      <c r="B898">
        <v>5</v>
      </c>
      <c r="C898">
        <v>-17041068.359999999</v>
      </c>
      <c r="D898">
        <v>0</v>
      </c>
      <c r="E898">
        <v>8780852.1349999998</v>
      </c>
      <c r="F898">
        <v>9127770.4000000004</v>
      </c>
      <c r="G898">
        <v>5</v>
      </c>
      <c r="H898">
        <v>1</v>
      </c>
      <c r="I898">
        <v>3</v>
      </c>
      <c r="J898">
        <v>3.4</v>
      </c>
      <c r="K898" t="s">
        <v>306</v>
      </c>
    </row>
    <row r="899" spans="1:11" x14ac:dyDescent="0.35">
      <c r="A899" t="s">
        <v>909</v>
      </c>
      <c r="B899">
        <v>5</v>
      </c>
      <c r="C899">
        <v>-80427780.019999996</v>
      </c>
      <c r="D899">
        <v>0</v>
      </c>
      <c r="E899">
        <v>4366557.9029999999</v>
      </c>
      <c r="F899">
        <v>8719025.1999999993</v>
      </c>
      <c r="G899">
        <v>5</v>
      </c>
      <c r="H899">
        <v>1</v>
      </c>
      <c r="I899">
        <v>3</v>
      </c>
      <c r="J899">
        <v>3.4</v>
      </c>
      <c r="K899" t="s">
        <v>306</v>
      </c>
    </row>
    <row r="900" spans="1:11" x14ac:dyDescent="0.35">
      <c r="A900" t="s">
        <v>910</v>
      </c>
      <c r="B900">
        <v>5</v>
      </c>
      <c r="C900">
        <v>-26381280.859999999</v>
      </c>
      <c r="D900">
        <v>0</v>
      </c>
      <c r="E900">
        <v>3853529.6660000002</v>
      </c>
      <c r="F900">
        <v>8674445.9000000004</v>
      </c>
      <c r="G900">
        <v>5</v>
      </c>
      <c r="H900">
        <v>1</v>
      </c>
      <c r="I900">
        <v>3</v>
      </c>
      <c r="J900">
        <v>3.4</v>
      </c>
      <c r="K900" t="s">
        <v>306</v>
      </c>
    </row>
    <row r="901" spans="1:11" x14ac:dyDescent="0.35">
      <c r="A901" t="s">
        <v>911</v>
      </c>
      <c r="B901">
        <v>5</v>
      </c>
      <c r="C901">
        <v>18375852.280000001</v>
      </c>
      <c r="D901">
        <v>0.6</v>
      </c>
      <c r="E901">
        <v>1240544694</v>
      </c>
      <c r="F901">
        <v>38258797.899999999</v>
      </c>
      <c r="G901">
        <v>3</v>
      </c>
      <c r="H901">
        <v>5</v>
      </c>
      <c r="I901">
        <v>2</v>
      </c>
      <c r="J901">
        <v>3.4</v>
      </c>
      <c r="K901" t="s">
        <v>306</v>
      </c>
    </row>
    <row r="902" spans="1:11" x14ac:dyDescent="0.35">
      <c r="A902" t="s">
        <v>912</v>
      </c>
      <c r="B902">
        <v>5</v>
      </c>
      <c r="C902">
        <v>-72784376.739999995</v>
      </c>
      <c r="D902">
        <v>0</v>
      </c>
      <c r="E902">
        <v>10616350.75</v>
      </c>
      <c r="F902">
        <v>26023173.300000001</v>
      </c>
      <c r="G902">
        <v>5</v>
      </c>
      <c r="H902">
        <v>1</v>
      </c>
      <c r="I902">
        <v>3</v>
      </c>
      <c r="J902">
        <v>3.4</v>
      </c>
      <c r="K902" t="s">
        <v>306</v>
      </c>
    </row>
    <row r="903" spans="1:11" x14ac:dyDescent="0.35">
      <c r="A903" t="s">
        <v>913</v>
      </c>
      <c r="B903">
        <v>5</v>
      </c>
      <c r="C903">
        <v>-10658760.119999999</v>
      </c>
      <c r="D903">
        <v>0</v>
      </c>
      <c r="E903">
        <v>12734785.77</v>
      </c>
      <c r="F903">
        <v>24074663.199999999</v>
      </c>
      <c r="G903">
        <v>5</v>
      </c>
      <c r="H903">
        <v>1</v>
      </c>
      <c r="I903">
        <v>3</v>
      </c>
      <c r="J903">
        <v>3.4</v>
      </c>
      <c r="K903" t="s">
        <v>306</v>
      </c>
    </row>
    <row r="904" spans="1:11" x14ac:dyDescent="0.35">
      <c r="A904" t="s">
        <v>914</v>
      </c>
      <c r="B904">
        <v>5</v>
      </c>
      <c r="C904">
        <v>-12460515.939999999</v>
      </c>
      <c r="D904">
        <v>0</v>
      </c>
      <c r="E904">
        <v>9014022.7740000002</v>
      </c>
      <c r="F904">
        <v>20571514.199999999</v>
      </c>
      <c r="G904">
        <v>5</v>
      </c>
      <c r="H904">
        <v>1</v>
      </c>
      <c r="I904">
        <v>3</v>
      </c>
      <c r="J904">
        <v>3.4</v>
      </c>
      <c r="K904" t="s">
        <v>306</v>
      </c>
    </row>
    <row r="905" spans="1:11" x14ac:dyDescent="0.35">
      <c r="A905" t="s">
        <v>915</v>
      </c>
      <c r="B905">
        <v>5</v>
      </c>
      <c r="C905">
        <v>-25621502.699999999</v>
      </c>
      <c r="D905">
        <v>0</v>
      </c>
      <c r="E905">
        <v>11690652.32</v>
      </c>
      <c r="F905">
        <v>22074481</v>
      </c>
      <c r="G905">
        <v>5</v>
      </c>
      <c r="H905">
        <v>1</v>
      </c>
      <c r="I905">
        <v>3</v>
      </c>
      <c r="J905">
        <v>3.4</v>
      </c>
      <c r="K905" t="s">
        <v>306</v>
      </c>
    </row>
    <row r="906" spans="1:11" x14ac:dyDescent="0.35">
      <c r="A906" t="s">
        <v>916</v>
      </c>
      <c r="B906">
        <v>5</v>
      </c>
      <c r="C906">
        <v>48868196.280000001</v>
      </c>
      <c r="D906">
        <v>0.6</v>
      </c>
      <c r="E906">
        <v>470427673.60000002</v>
      </c>
      <c r="F906">
        <v>120048572.8</v>
      </c>
      <c r="G906">
        <v>3</v>
      </c>
      <c r="H906">
        <v>5</v>
      </c>
      <c r="I906">
        <v>2</v>
      </c>
      <c r="J906">
        <v>3.4</v>
      </c>
      <c r="K906" t="s">
        <v>306</v>
      </c>
    </row>
    <row r="907" spans="1:11" x14ac:dyDescent="0.35">
      <c r="A907" t="s">
        <v>917</v>
      </c>
      <c r="B907">
        <v>5</v>
      </c>
      <c r="C907">
        <v>221790307.5</v>
      </c>
      <c r="D907">
        <v>0.6</v>
      </c>
      <c r="E907">
        <v>513700498.19999999</v>
      </c>
      <c r="F907">
        <v>109316313</v>
      </c>
      <c r="G907">
        <v>3</v>
      </c>
      <c r="H907">
        <v>5</v>
      </c>
      <c r="I907">
        <v>2</v>
      </c>
      <c r="J907">
        <v>3.4</v>
      </c>
      <c r="K907" t="s">
        <v>306</v>
      </c>
    </row>
    <row r="908" spans="1:11" x14ac:dyDescent="0.35">
      <c r="A908" t="s">
        <v>918</v>
      </c>
      <c r="B908">
        <v>5</v>
      </c>
      <c r="C908">
        <v>708243039.39999998</v>
      </c>
      <c r="D908">
        <v>0.8</v>
      </c>
      <c r="E908">
        <v>889505619.70000005</v>
      </c>
      <c r="F908">
        <v>108812704.90000001</v>
      </c>
      <c r="G908">
        <v>3</v>
      </c>
      <c r="H908">
        <v>5</v>
      </c>
      <c r="I908">
        <v>2</v>
      </c>
      <c r="J908">
        <v>3.4</v>
      </c>
      <c r="K908" t="s">
        <v>306</v>
      </c>
    </row>
    <row r="909" spans="1:11" x14ac:dyDescent="0.35">
      <c r="A909" t="s">
        <v>919</v>
      </c>
      <c r="B909">
        <v>5</v>
      </c>
      <c r="C909">
        <v>946028851.20000005</v>
      </c>
      <c r="D909">
        <v>0.8</v>
      </c>
      <c r="E909">
        <v>1185706558</v>
      </c>
      <c r="F909">
        <v>107338855.3</v>
      </c>
      <c r="G909">
        <v>3</v>
      </c>
      <c r="H909">
        <v>5</v>
      </c>
      <c r="I909">
        <v>2</v>
      </c>
      <c r="J909">
        <v>3.4</v>
      </c>
      <c r="K909" t="s">
        <v>306</v>
      </c>
    </row>
    <row r="910" spans="1:11" x14ac:dyDescent="0.35">
      <c r="A910" t="s">
        <v>920</v>
      </c>
      <c r="B910">
        <v>5</v>
      </c>
      <c r="C910">
        <v>-106543414.40000001</v>
      </c>
      <c r="D910">
        <v>0.2</v>
      </c>
      <c r="E910">
        <v>141105548.59999999</v>
      </c>
      <c r="F910">
        <v>234700737.19999999</v>
      </c>
      <c r="G910">
        <v>4</v>
      </c>
      <c r="H910">
        <v>4</v>
      </c>
      <c r="I910">
        <v>1</v>
      </c>
      <c r="J910">
        <v>3.4</v>
      </c>
      <c r="K910" t="s">
        <v>306</v>
      </c>
    </row>
    <row r="911" spans="1:11" x14ac:dyDescent="0.35">
      <c r="A911" t="s">
        <v>921</v>
      </c>
      <c r="B911">
        <v>5</v>
      </c>
      <c r="C911">
        <v>-113795496.09999999</v>
      </c>
      <c r="D911">
        <v>0.2</v>
      </c>
      <c r="E911">
        <v>124518449.3</v>
      </c>
      <c r="F911">
        <v>227571790.59999999</v>
      </c>
      <c r="G911">
        <v>4</v>
      </c>
      <c r="H911">
        <v>4</v>
      </c>
      <c r="I911">
        <v>1</v>
      </c>
      <c r="J911">
        <v>3.4</v>
      </c>
      <c r="K911" t="s">
        <v>306</v>
      </c>
    </row>
    <row r="912" spans="1:11" x14ac:dyDescent="0.35">
      <c r="A912" t="s">
        <v>922</v>
      </c>
      <c r="B912">
        <v>5</v>
      </c>
      <c r="C912">
        <v>-127512650.90000001</v>
      </c>
      <c r="D912">
        <v>0.2</v>
      </c>
      <c r="E912">
        <v>124358190.09999999</v>
      </c>
      <c r="F912">
        <v>218493094.09999999</v>
      </c>
      <c r="G912">
        <v>4</v>
      </c>
      <c r="H912">
        <v>4</v>
      </c>
      <c r="I912">
        <v>1</v>
      </c>
      <c r="J912">
        <v>3.4</v>
      </c>
      <c r="K912" t="s">
        <v>306</v>
      </c>
    </row>
    <row r="913" spans="1:11" x14ac:dyDescent="0.35">
      <c r="A913" t="s">
        <v>923</v>
      </c>
      <c r="B913">
        <v>5</v>
      </c>
      <c r="C913">
        <v>154028427</v>
      </c>
      <c r="D913">
        <v>0.6</v>
      </c>
      <c r="E913">
        <v>431842750.30000001</v>
      </c>
      <c r="F913">
        <v>186568225.40000001</v>
      </c>
      <c r="G913">
        <v>3</v>
      </c>
      <c r="H913">
        <v>5</v>
      </c>
      <c r="I913">
        <v>2</v>
      </c>
      <c r="J913">
        <v>3.4</v>
      </c>
      <c r="K913" t="s">
        <v>306</v>
      </c>
    </row>
    <row r="914" spans="1:11" x14ac:dyDescent="0.35">
      <c r="A914" t="s">
        <v>924</v>
      </c>
      <c r="B914">
        <v>5</v>
      </c>
      <c r="C914">
        <v>221056404.30000001</v>
      </c>
      <c r="D914">
        <v>0.6</v>
      </c>
      <c r="E914">
        <v>378679466.60000002</v>
      </c>
      <c r="F914">
        <v>191779545.80000001</v>
      </c>
      <c r="G914">
        <v>3</v>
      </c>
      <c r="H914">
        <v>5</v>
      </c>
      <c r="I914">
        <v>2</v>
      </c>
      <c r="J914">
        <v>3.4</v>
      </c>
      <c r="K914" t="s">
        <v>306</v>
      </c>
    </row>
    <row r="915" spans="1:11" x14ac:dyDescent="0.35">
      <c r="A915" t="s">
        <v>925</v>
      </c>
      <c r="B915">
        <v>5</v>
      </c>
      <c r="C915">
        <v>406171907.19999999</v>
      </c>
      <c r="D915">
        <v>0.8</v>
      </c>
      <c r="E915">
        <v>452012571.89999998</v>
      </c>
      <c r="F915">
        <v>157353181.40000001</v>
      </c>
      <c r="G915">
        <v>3</v>
      </c>
      <c r="H915">
        <v>5</v>
      </c>
      <c r="I915">
        <v>2</v>
      </c>
      <c r="J915">
        <v>3.4</v>
      </c>
      <c r="K915" t="s">
        <v>306</v>
      </c>
    </row>
    <row r="916" spans="1:11" x14ac:dyDescent="0.35">
      <c r="A916" t="s">
        <v>926</v>
      </c>
      <c r="B916">
        <v>5</v>
      </c>
      <c r="C916">
        <v>475239733.89999998</v>
      </c>
      <c r="D916">
        <v>0.8</v>
      </c>
      <c r="E916">
        <v>381357399.69999999</v>
      </c>
      <c r="F916">
        <v>147480092.09999999</v>
      </c>
      <c r="G916">
        <v>3</v>
      </c>
      <c r="H916">
        <v>5</v>
      </c>
      <c r="I916">
        <v>2</v>
      </c>
      <c r="J916">
        <v>3.4</v>
      </c>
      <c r="K916" t="s">
        <v>306</v>
      </c>
    </row>
    <row r="917" spans="1:11" x14ac:dyDescent="0.35">
      <c r="A917" t="s">
        <v>927</v>
      </c>
      <c r="B917">
        <v>5</v>
      </c>
      <c r="C917">
        <v>-89296717.900000006</v>
      </c>
      <c r="D917">
        <v>0.8</v>
      </c>
      <c r="E917">
        <v>861289512.60000002</v>
      </c>
      <c r="F917">
        <v>144573656.30000001</v>
      </c>
      <c r="G917">
        <v>3</v>
      </c>
      <c r="H917">
        <v>5</v>
      </c>
      <c r="I917">
        <v>2</v>
      </c>
      <c r="J917">
        <v>3.4</v>
      </c>
      <c r="K917" t="s">
        <v>306</v>
      </c>
    </row>
    <row r="918" spans="1:11" x14ac:dyDescent="0.35">
      <c r="A918" t="s">
        <v>928</v>
      </c>
      <c r="B918">
        <v>5</v>
      </c>
      <c r="C918">
        <v>-5351735.16</v>
      </c>
      <c r="D918">
        <v>0.6</v>
      </c>
      <c r="E918">
        <v>341678749.69999999</v>
      </c>
      <c r="F918">
        <v>132156871.8</v>
      </c>
      <c r="G918">
        <v>3</v>
      </c>
      <c r="H918">
        <v>5</v>
      </c>
      <c r="I918">
        <v>2</v>
      </c>
      <c r="J918">
        <v>3.4</v>
      </c>
      <c r="K918" t="s">
        <v>306</v>
      </c>
    </row>
    <row r="919" spans="1:11" x14ac:dyDescent="0.35">
      <c r="A919" t="s">
        <v>929</v>
      </c>
      <c r="B919">
        <v>5</v>
      </c>
      <c r="C919">
        <v>-22571904.239999998</v>
      </c>
      <c r="D919">
        <v>0.4</v>
      </c>
      <c r="E919">
        <v>311042947.10000002</v>
      </c>
      <c r="F919">
        <v>419293840.80000001</v>
      </c>
      <c r="G919">
        <v>4</v>
      </c>
      <c r="H919">
        <v>4</v>
      </c>
      <c r="I919">
        <v>1</v>
      </c>
      <c r="J919">
        <v>3.4</v>
      </c>
      <c r="K919" t="s">
        <v>306</v>
      </c>
    </row>
    <row r="920" spans="1:11" x14ac:dyDescent="0.35">
      <c r="A920" t="s">
        <v>930</v>
      </c>
      <c r="B920">
        <v>5</v>
      </c>
      <c r="C920">
        <v>44766710</v>
      </c>
      <c r="D920">
        <v>0.4</v>
      </c>
      <c r="E920">
        <v>172950644.40000001</v>
      </c>
      <c r="F920">
        <v>433969617.60000002</v>
      </c>
      <c r="G920">
        <v>4</v>
      </c>
      <c r="H920">
        <v>4</v>
      </c>
      <c r="I920">
        <v>1</v>
      </c>
      <c r="J920">
        <v>3.4</v>
      </c>
      <c r="K920" t="s">
        <v>306</v>
      </c>
    </row>
    <row r="921" spans="1:11" x14ac:dyDescent="0.35">
      <c r="A921" t="s">
        <v>931</v>
      </c>
      <c r="B921">
        <v>5</v>
      </c>
      <c r="C921">
        <v>-261847296.69999999</v>
      </c>
      <c r="D921">
        <v>0</v>
      </c>
      <c r="E921">
        <v>179693288.69999999</v>
      </c>
      <c r="F921">
        <v>381960198</v>
      </c>
      <c r="G921">
        <v>4</v>
      </c>
      <c r="H921">
        <v>4</v>
      </c>
      <c r="I921">
        <v>1</v>
      </c>
      <c r="J921">
        <v>3.4</v>
      </c>
      <c r="K921" t="s">
        <v>306</v>
      </c>
    </row>
    <row r="922" spans="1:11" x14ac:dyDescent="0.35">
      <c r="A922" t="s">
        <v>932</v>
      </c>
      <c r="B922">
        <v>5</v>
      </c>
      <c r="C922">
        <v>-82849154.920000002</v>
      </c>
      <c r="D922">
        <v>0.2</v>
      </c>
      <c r="E922">
        <v>161421209.30000001</v>
      </c>
      <c r="F922">
        <v>340842837.39999998</v>
      </c>
      <c r="G922">
        <v>4</v>
      </c>
      <c r="H922">
        <v>4</v>
      </c>
      <c r="I922">
        <v>1</v>
      </c>
      <c r="J922">
        <v>3.4</v>
      </c>
      <c r="K922" t="s">
        <v>306</v>
      </c>
    </row>
    <row r="923" spans="1:11" x14ac:dyDescent="0.35">
      <c r="A923" t="s">
        <v>933</v>
      </c>
      <c r="B923">
        <v>5</v>
      </c>
      <c r="C923">
        <v>-110415388.59999999</v>
      </c>
      <c r="D923">
        <v>0.2</v>
      </c>
      <c r="E923">
        <v>126982136.5</v>
      </c>
      <c r="F923">
        <v>287880653.19999999</v>
      </c>
      <c r="G923">
        <v>4</v>
      </c>
      <c r="H923">
        <v>4</v>
      </c>
      <c r="I923">
        <v>1</v>
      </c>
      <c r="J923">
        <v>3.4</v>
      </c>
      <c r="K923" t="s">
        <v>306</v>
      </c>
    </row>
    <row r="924" spans="1:11" x14ac:dyDescent="0.35">
      <c r="A924" t="s">
        <v>934</v>
      </c>
      <c r="B924">
        <v>5</v>
      </c>
      <c r="C924">
        <v>-63090235.539999999</v>
      </c>
      <c r="D924">
        <v>0.4</v>
      </c>
      <c r="E924">
        <v>117840567.3</v>
      </c>
      <c r="F924">
        <v>278052970.10000002</v>
      </c>
      <c r="G924">
        <v>4</v>
      </c>
      <c r="H924">
        <v>4</v>
      </c>
      <c r="I924">
        <v>1</v>
      </c>
      <c r="J924">
        <v>3.4</v>
      </c>
      <c r="K924" t="s">
        <v>306</v>
      </c>
    </row>
    <row r="925" spans="1:11" x14ac:dyDescent="0.35">
      <c r="A925" t="s">
        <v>935</v>
      </c>
      <c r="B925">
        <v>5</v>
      </c>
      <c r="C925">
        <v>-50636902.740000002</v>
      </c>
      <c r="D925">
        <v>0.4</v>
      </c>
      <c r="E925">
        <v>125670254</v>
      </c>
      <c r="F925">
        <v>237151287.5</v>
      </c>
      <c r="G925">
        <v>4</v>
      </c>
      <c r="H925">
        <v>4</v>
      </c>
      <c r="I925">
        <v>1</v>
      </c>
      <c r="J925">
        <v>3.4</v>
      </c>
      <c r="K925" t="s">
        <v>306</v>
      </c>
    </row>
    <row r="926" spans="1:11" x14ac:dyDescent="0.35">
      <c r="A926" t="s">
        <v>936</v>
      </c>
      <c r="B926">
        <v>5</v>
      </c>
      <c r="C926">
        <v>-18659498.48</v>
      </c>
      <c r="D926">
        <v>0.4</v>
      </c>
      <c r="E926">
        <v>257987845.59999999</v>
      </c>
      <c r="F926">
        <v>267340741.80000001</v>
      </c>
      <c r="G926">
        <v>4</v>
      </c>
      <c r="H926">
        <v>4</v>
      </c>
      <c r="I926">
        <v>1</v>
      </c>
      <c r="J926">
        <v>3.4</v>
      </c>
      <c r="K926" t="s">
        <v>306</v>
      </c>
    </row>
    <row r="927" spans="1:11" x14ac:dyDescent="0.35">
      <c r="A927" t="s">
        <v>937</v>
      </c>
      <c r="B927">
        <v>5</v>
      </c>
      <c r="C927">
        <v>-81788665.219999999</v>
      </c>
      <c r="D927">
        <v>0.4</v>
      </c>
      <c r="E927">
        <v>138572981.30000001</v>
      </c>
      <c r="F927">
        <v>253356232.80000001</v>
      </c>
      <c r="G927">
        <v>4</v>
      </c>
      <c r="H927">
        <v>4</v>
      </c>
      <c r="I927">
        <v>1</v>
      </c>
      <c r="J927">
        <v>3.4</v>
      </c>
      <c r="K927" t="s">
        <v>306</v>
      </c>
    </row>
    <row r="928" spans="1:11" x14ac:dyDescent="0.35">
      <c r="A928" t="s">
        <v>938</v>
      </c>
      <c r="B928">
        <v>5</v>
      </c>
      <c r="C928">
        <v>-157378064.40000001</v>
      </c>
      <c r="D928">
        <v>0.2</v>
      </c>
      <c r="E928">
        <v>208810825.69999999</v>
      </c>
      <c r="F928">
        <v>251773625.69999999</v>
      </c>
      <c r="G928">
        <v>4</v>
      </c>
      <c r="H928">
        <v>4</v>
      </c>
      <c r="I928">
        <v>1</v>
      </c>
      <c r="J928">
        <v>3.4</v>
      </c>
      <c r="K928" t="s">
        <v>306</v>
      </c>
    </row>
    <row r="929" spans="1:11" x14ac:dyDescent="0.35">
      <c r="A929" t="s">
        <v>939</v>
      </c>
      <c r="B929">
        <v>5</v>
      </c>
      <c r="C929">
        <v>21270004.48</v>
      </c>
      <c r="D929">
        <v>0.4</v>
      </c>
      <c r="E929">
        <v>304776325.89999998</v>
      </c>
      <c r="F929">
        <v>646139962.39999998</v>
      </c>
      <c r="G929">
        <v>4</v>
      </c>
      <c r="H929">
        <v>4</v>
      </c>
      <c r="I929">
        <v>1</v>
      </c>
      <c r="J929">
        <v>3.4</v>
      </c>
      <c r="K929" t="s">
        <v>306</v>
      </c>
    </row>
    <row r="930" spans="1:11" x14ac:dyDescent="0.35">
      <c r="A930" t="s">
        <v>940</v>
      </c>
      <c r="B930">
        <v>5</v>
      </c>
      <c r="C930">
        <v>122692387.8</v>
      </c>
      <c r="D930">
        <v>0.4</v>
      </c>
      <c r="E930">
        <v>325502311</v>
      </c>
      <c r="F930">
        <v>666229948.29999995</v>
      </c>
      <c r="G930">
        <v>4</v>
      </c>
      <c r="H930">
        <v>4</v>
      </c>
      <c r="I930">
        <v>1</v>
      </c>
      <c r="J930">
        <v>3.4</v>
      </c>
      <c r="K930" t="s">
        <v>306</v>
      </c>
    </row>
    <row r="931" spans="1:11" x14ac:dyDescent="0.35">
      <c r="A931" t="s">
        <v>941</v>
      </c>
      <c r="B931">
        <v>5</v>
      </c>
      <c r="C931">
        <v>-33992210.799999997</v>
      </c>
      <c r="D931">
        <v>0.2</v>
      </c>
      <c r="E931">
        <v>218916903</v>
      </c>
      <c r="F931">
        <v>539190872.29999995</v>
      </c>
      <c r="G931">
        <v>4</v>
      </c>
      <c r="H931">
        <v>4</v>
      </c>
      <c r="I931">
        <v>1</v>
      </c>
      <c r="J931">
        <v>3.4</v>
      </c>
      <c r="K931" t="s">
        <v>306</v>
      </c>
    </row>
    <row r="932" spans="1:11" x14ac:dyDescent="0.35">
      <c r="A932" t="s">
        <v>942</v>
      </c>
      <c r="B932">
        <v>5</v>
      </c>
      <c r="C932">
        <v>1484986.92</v>
      </c>
      <c r="D932">
        <v>0.2</v>
      </c>
      <c r="E932">
        <v>298609398.80000001</v>
      </c>
      <c r="F932">
        <v>539091295.60000002</v>
      </c>
      <c r="G932">
        <v>4</v>
      </c>
      <c r="H932">
        <v>4</v>
      </c>
      <c r="I932">
        <v>1</v>
      </c>
      <c r="J932">
        <v>3.4</v>
      </c>
      <c r="K932" t="s">
        <v>306</v>
      </c>
    </row>
    <row r="933" spans="1:11" x14ac:dyDescent="0.35">
      <c r="A933" t="s">
        <v>943</v>
      </c>
      <c r="B933">
        <v>5</v>
      </c>
      <c r="C933">
        <v>-49719103.240000002</v>
      </c>
      <c r="D933">
        <v>0.4</v>
      </c>
      <c r="E933">
        <v>179068961.09999999</v>
      </c>
      <c r="F933">
        <v>459248898.39999998</v>
      </c>
      <c r="G933">
        <v>4</v>
      </c>
      <c r="H933">
        <v>4</v>
      </c>
      <c r="I933">
        <v>1</v>
      </c>
      <c r="J933">
        <v>3.4</v>
      </c>
      <c r="K933" t="s">
        <v>306</v>
      </c>
    </row>
    <row r="934" spans="1:11" x14ac:dyDescent="0.35">
      <c r="A934" t="s">
        <v>944</v>
      </c>
      <c r="B934">
        <v>5</v>
      </c>
      <c r="C934">
        <v>-275365028.19999999</v>
      </c>
      <c r="D934">
        <v>0.2</v>
      </c>
      <c r="E934">
        <v>183580462.5</v>
      </c>
      <c r="F934">
        <v>481899339.30000001</v>
      </c>
      <c r="G934">
        <v>4</v>
      </c>
      <c r="H934">
        <v>4</v>
      </c>
      <c r="I934">
        <v>1</v>
      </c>
      <c r="J934">
        <v>3.4</v>
      </c>
      <c r="K934" t="s">
        <v>306</v>
      </c>
    </row>
    <row r="935" spans="1:11" x14ac:dyDescent="0.35">
      <c r="A935" t="s">
        <v>945</v>
      </c>
      <c r="B935">
        <v>5</v>
      </c>
      <c r="C935">
        <v>-150496567.30000001</v>
      </c>
      <c r="D935">
        <v>0.4</v>
      </c>
      <c r="E935">
        <v>251097452.40000001</v>
      </c>
      <c r="F935">
        <v>457234999</v>
      </c>
      <c r="G935">
        <v>4</v>
      </c>
      <c r="H935">
        <v>4</v>
      </c>
      <c r="I935">
        <v>1</v>
      </c>
      <c r="J935">
        <v>3.4</v>
      </c>
      <c r="K935" t="s">
        <v>306</v>
      </c>
    </row>
    <row r="936" spans="1:11" x14ac:dyDescent="0.35">
      <c r="A936" t="s">
        <v>946</v>
      </c>
      <c r="B936">
        <v>5</v>
      </c>
      <c r="C936">
        <v>-201521139.30000001</v>
      </c>
      <c r="D936">
        <v>0.4</v>
      </c>
      <c r="E936">
        <v>295769264.19999999</v>
      </c>
      <c r="F936">
        <v>447587023.10000002</v>
      </c>
      <c r="G936">
        <v>4</v>
      </c>
      <c r="H936">
        <v>4</v>
      </c>
      <c r="I936">
        <v>1</v>
      </c>
      <c r="J936">
        <v>3.4</v>
      </c>
      <c r="K936" t="s">
        <v>306</v>
      </c>
    </row>
    <row r="937" spans="1:11" x14ac:dyDescent="0.35">
      <c r="A937" t="s">
        <v>947</v>
      </c>
      <c r="B937">
        <v>5</v>
      </c>
      <c r="C937">
        <v>-68841014.180000007</v>
      </c>
      <c r="D937">
        <v>0.4</v>
      </c>
      <c r="E937">
        <v>186565267.5</v>
      </c>
      <c r="F937">
        <v>506597391.39999998</v>
      </c>
      <c r="G937">
        <v>4</v>
      </c>
      <c r="H937">
        <v>4</v>
      </c>
      <c r="I937">
        <v>1</v>
      </c>
      <c r="J937">
        <v>3.4</v>
      </c>
      <c r="K937" t="s">
        <v>306</v>
      </c>
    </row>
    <row r="938" spans="1:11" x14ac:dyDescent="0.35">
      <c r="A938" t="s">
        <v>948</v>
      </c>
      <c r="B938">
        <v>5</v>
      </c>
      <c r="C938">
        <v>-147846113.59999999</v>
      </c>
      <c r="D938">
        <v>0.2</v>
      </c>
      <c r="E938">
        <v>226595147.80000001</v>
      </c>
      <c r="F938">
        <v>526593484.30000001</v>
      </c>
      <c r="G938">
        <v>4</v>
      </c>
      <c r="H938">
        <v>4</v>
      </c>
      <c r="I938">
        <v>1</v>
      </c>
      <c r="J938">
        <v>3.4</v>
      </c>
      <c r="K938" t="s">
        <v>306</v>
      </c>
    </row>
    <row r="939" spans="1:11" x14ac:dyDescent="0.35">
      <c r="A939" t="s">
        <v>949</v>
      </c>
      <c r="B939">
        <v>5</v>
      </c>
      <c r="C939">
        <v>-94343862.079999998</v>
      </c>
      <c r="D939">
        <v>0.4</v>
      </c>
      <c r="E939">
        <v>253031237.80000001</v>
      </c>
      <c r="F939">
        <v>509128392.60000002</v>
      </c>
      <c r="G939">
        <v>4</v>
      </c>
      <c r="H939">
        <v>4</v>
      </c>
      <c r="I939">
        <v>1</v>
      </c>
      <c r="J939">
        <v>3.4</v>
      </c>
      <c r="K939" t="s">
        <v>306</v>
      </c>
    </row>
    <row r="940" spans="1:11" x14ac:dyDescent="0.35">
      <c r="A940" t="s">
        <v>950</v>
      </c>
      <c r="B940">
        <v>5</v>
      </c>
      <c r="C940">
        <v>-138481659</v>
      </c>
      <c r="D940">
        <v>0</v>
      </c>
      <c r="E940">
        <v>52005201.549999997</v>
      </c>
      <c r="F940">
        <v>140867842.40000001</v>
      </c>
      <c r="G940">
        <v>4</v>
      </c>
      <c r="H940">
        <v>3</v>
      </c>
      <c r="I940">
        <v>2</v>
      </c>
      <c r="J940">
        <v>3.3</v>
      </c>
      <c r="K940" t="s">
        <v>306</v>
      </c>
    </row>
    <row r="941" spans="1:11" x14ac:dyDescent="0.35">
      <c r="A941" t="s">
        <v>951</v>
      </c>
      <c r="B941">
        <v>5</v>
      </c>
      <c r="C941">
        <v>8483312.7400000002</v>
      </c>
      <c r="D941">
        <v>0.4</v>
      </c>
      <c r="E941">
        <v>68102560.560000002</v>
      </c>
      <c r="F941">
        <v>140775214</v>
      </c>
      <c r="G941">
        <v>4</v>
      </c>
      <c r="H941">
        <v>3</v>
      </c>
      <c r="I941">
        <v>2</v>
      </c>
      <c r="J941">
        <v>3.3</v>
      </c>
      <c r="K941" t="s">
        <v>306</v>
      </c>
    </row>
    <row r="942" spans="1:11" x14ac:dyDescent="0.35">
      <c r="A942" t="s">
        <v>952</v>
      </c>
      <c r="B942">
        <v>5</v>
      </c>
      <c r="C942">
        <v>-40215409.539999999</v>
      </c>
      <c r="D942">
        <v>0.2</v>
      </c>
      <c r="E942">
        <v>72718222.400000006</v>
      </c>
      <c r="F942">
        <v>150660412.59999999</v>
      </c>
      <c r="G942">
        <v>4</v>
      </c>
      <c r="H942">
        <v>3</v>
      </c>
      <c r="I942">
        <v>2</v>
      </c>
      <c r="J942">
        <v>3.3</v>
      </c>
      <c r="K942" t="s">
        <v>306</v>
      </c>
    </row>
    <row r="943" spans="1:11" x14ac:dyDescent="0.35">
      <c r="A943" t="s">
        <v>953</v>
      </c>
      <c r="B943">
        <v>5</v>
      </c>
      <c r="C943">
        <v>38546156.039999999</v>
      </c>
      <c r="D943">
        <v>0.4</v>
      </c>
      <c r="E943">
        <v>83402505.849999994</v>
      </c>
      <c r="F943">
        <v>144952627.59999999</v>
      </c>
      <c r="G943">
        <v>4</v>
      </c>
      <c r="H943">
        <v>3</v>
      </c>
      <c r="I943">
        <v>2</v>
      </c>
      <c r="J943">
        <v>3.3</v>
      </c>
      <c r="K943" t="s">
        <v>306</v>
      </c>
    </row>
    <row r="944" spans="1:11" x14ac:dyDescent="0.35">
      <c r="A944" t="s">
        <v>954</v>
      </c>
      <c r="B944">
        <v>5</v>
      </c>
      <c r="C944">
        <v>-43484340.880000003</v>
      </c>
      <c r="D944">
        <v>0.4</v>
      </c>
      <c r="E944">
        <v>86482256.030000001</v>
      </c>
      <c r="F944">
        <v>159495989.09999999</v>
      </c>
      <c r="G944">
        <v>4</v>
      </c>
      <c r="H944">
        <v>3</v>
      </c>
      <c r="I944">
        <v>2</v>
      </c>
      <c r="J944">
        <v>3.3</v>
      </c>
      <c r="K944" t="s">
        <v>306</v>
      </c>
    </row>
    <row r="945" spans="1:11" x14ac:dyDescent="0.35">
      <c r="A945" t="s">
        <v>955</v>
      </c>
      <c r="B945">
        <v>5</v>
      </c>
      <c r="C945">
        <v>-41462293.600000001</v>
      </c>
      <c r="D945">
        <v>0.4</v>
      </c>
      <c r="E945">
        <v>73913712.319999993</v>
      </c>
      <c r="F945">
        <v>178159086.80000001</v>
      </c>
      <c r="G945">
        <v>4</v>
      </c>
      <c r="H945">
        <v>3</v>
      </c>
      <c r="I945">
        <v>2</v>
      </c>
      <c r="J945">
        <v>3.3</v>
      </c>
      <c r="K945" t="s">
        <v>306</v>
      </c>
    </row>
    <row r="946" spans="1:11" x14ac:dyDescent="0.35">
      <c r="A946" t="s">
        <v>956</v>
      </c>
      <c r="B946">
        <v>5</v>
      </c>
      <c r="C946">
        <v>-57358812.219999999</v>
      </c>
      <c r="D946">
        <v>0.4</v>
      </c>
      <c r="E946">
        <v>83965444.969999999</v>
      </c>
      <c r="F946">
        <v>103846384.59999999</v>
      </c>
      <c r="G946">
        <v>4</v>
      </c>
      <c r="H946">
        <v>3</v>
      </c>
      <c r="I946">
        <v>2</v>
      </c>
      <c r="J946">
        <v>3.3</v>
      </c>
      <c r="K946" t="s">
        <v>306</v>
      </c>
    </row>
    <row r="947" spans="1:11" x14ac:dyDescent="0.35">
      <c r="A947" t="s">
        <v>957</v>
      </c>
      <c r="B947">
        <v>5</v>
      </c>
      <c r="C947">
        <v>-12389569.279999999</v>
      </c>
      <c r="D947">
        <v>0.4</v>
      </c>
      <c r="E947">
        <v>76236717.430000007</v>
      </c>
      <c r="F947">
        <v>119649455.2</v>
      </c>
      <c r="G947">
        <v>4</v>
      </c>
      <c r="H947">
        <v>3</v>
      </c>
      <c r="I947">
        <v>2</v>
      </c>
      <c r="J947">
        <v>3.3</v>
      </c>
      <c r="K947" t="s">
        <v>306</v>
      </c>
    </row>
    <row r="948" spans="1:11" x14ac:dyDescent="0.35">
      <c r="A948" t="s">
        <v>958</v>
      </c>
      <c r="B948">
        <v>5</v>
      </c>
      <c r="C948">
        <v>-23444221.199999999</v>
      </c>
      <c r="D948">
        <v>0.2</v>
      </c>
      <c r="E948">
        <v>57204264.859999999</v>
      </c>
      <c r="F948">
        <v>119244282.59999999</v>
      </c>
      <c r="G948">
        <v>4</v>
      </c>
      <c r="H948">
        <v>3</v>
      </c>
      <c r="I948">
        <v>2</v>
      </c>
      <c r="J948">
        <v>3.3</v>
      </c>
      <c r="K948" t="s">
        <v>306</v>
      </c>
    </row>
    <row r="949" spans="1:11" x14ac:dyDescent="0.35">
      <c r="A949" t="s">
        <v>959</v>
      </c>
      <c r="B949">
        <v>5</v>
      </c>
      <c r="C949">
        <v>-26686602.18</v>
      </c>
      <c r="D949">
        <v>0.2</v>
      </c>
      <c r="E949">
        <v>55453386.479999997</v>
      </c>
      <c r="F949">
        <v>122350747.90000001</v>
      </c>
      <c r="G949">
        <v>4</v>
      </c>
      <c r="H949">
        <v>3</v>
      </c>
      <c r="I949">
        <v>2</v>
      </c>
      <c r="J949">
        <v>3.3</v>
      </c>
      <c r="K949" t="s">
        <v>306</v>
      </c>
    </row>
    <row r="950" spans="1:11" x14ac:dyDescent="0.35">
      <c r="A950" t="s">
        <v>960</v>
      </c>
      <c r="B950">
        <v>5</v>
      </c>
      <c r="C950">
        <v>-57503998.340000004</v>
      </c>
      <c r="D950">
        <v>0.2</v>
      </c>
      <c r="E950">
        <v>73570569.959999993</v>
      </c>
      <c r="F950">
        <v>117893667.40000001</v>
      </c>
      <c r="G950">
        <v>4</v>
      </c>
      <c r="H950">
        <v>3</v>
      </c>
      <c r="I950">
        <v>2</v>
      </c>
      <c r="J950">
        <v>3.3</v>
      </c>
      <c r="K950" t="s">
        <v>306</v>
      </c>
    </row>
    <row r="951" spans="1:11" x14ac:dyDescent="0.35">
      <c r="A951" t="s">
        <v>961</v>
      </c>
      <c r="B951">
        <v>5</v>
      </c>
      <c r="C951">
        <v>-79361823.260000005</v>
      </c>
      <c r="D951">
        <v>0.2</v>
      </c>
      <c r="E951">
        <v>54119392.469999999</v>
      </c>
      <c r="F951">
        <v>84879640.799999997</v>
      </c>
      <c r="G951">
        <v>4</v>
      </c>
      <c r="H951">
        <v>3</v>
      </c>
      <c r="I951">
        <v>2</v>
      </c>
      <c r="J951">
        <v>3.3</v>
      </c>
      <c r="K951" t="s">
        <v>306</v>
      </c>
    </row>
    <row r="952" spans="1:11" x14ac:dyDescent="0.35">
      <c r="A952" t="s">
        <v>962</v>
      </c>
      <c r="B952">
        <v>5</v>
      </c>
      <c r="C952">
        <v>-34343402.159999996</v>
      </c>
      <c r="D952">
        <v>0.2</v>
      </c>
      <c r="E952">
        <v>60038049.25</v>
      </c>
      <c r="F952">
        <v>87472855.599999994</v>
      </c>
      <c r="G952">
        <v>4</v>
      </c>
      <c r="H952">
        <v>3</v>
      </c>
      <c r="I952">
        <v>2</v>
      </c>
      <c r="J952">
        <v>3.3</v>
      </c>
      <c r="K952" t="s">
        <v>306</v>
      </c>
    </row>
    <row r="953" spans="1:11" x14ac:dyDescent="0.35">
      <c r="A953" t="s">
        <v>963</v>
      </c>
      <c r="B953">
        <v>5</v>
      </c>
      <c r="C953">
        <v>10426850.380000001</v>
      </c>
      <c r="D953">
        <v>0.4</v>
      </c>
      <c r="E953">
        <v>54727719.310000002</v>
      </c>
      <c r="F953">
        <v>93165045.5</v>
      </c>
      <c r="G953">
        <v>4</v>
      </c>
      <c r="H953">
        <v>3</v>
      </c>
      <c r="I953">
        <v>2</v>
      </c>
      <c r="J953">
        <v>3.3</v>
      </c>
      <c r="K953" t="s">
        <v>306</v>
      </c>
    </row>
    <row r="954" spans="1:11" x14ac:dyDescent="0.35">
      <c r="A954" t="s">
        <v>964</v>
      </c>
      <c r="B954">
        <v>5</v>
      </c>
      <c r="C954">
        <v>-35588606.060000002</v>
      </c>
      <c r="D954">
        <v>0.4</v>
      </c>
      <c r="E954">
        <v>57361998.560000002</v>
      </c>
      <c r="F954">
        <v>75038197.099999994</v>
      </c>
      <c r="G954">
        <v>4</v>
      </c>
      <c r="H954">
        <v>3</v>
      </c>
      <c r="I954">
        <v>2</v>
      </c>
      <c r="J954">
        <v>3.3</v>
      </c>
      <c r="K954" t="s">
        <v>306</v>
      </c>
    </row>
    <row r="955" spans="1:11" x14ac:dyDescent="0.35">
      <c r="A955" t="s">
        <v>965</v>
      </c>
      <c r="B955">
        <v>5</v>
      </c>
      <c r="C955">
        <v>-58535188.299999997</v>
      </c>
      <c r="D955">
        <v>0</v>
      </c>
      <c r="E955">
        <v>52759309.780000001</v>
      </c>
      <c r="F955">
        <v>77324026.200000003</v>
      </c>
      <c r="G955">
        <v>4</v>
      </c>
      <c r="H955">
        <v>3</v>
      </c>
      <c r="I955">
        <v>2</v>
      </c>
      <c r="J955">
        <v>3.3</v>
      </c>
      <c r="K955" t="s">
        <v>306</v>
      </c>
    </row>
    <row r="956" spans="1:11" x14ac:dyDescent="0.35">
      <c r="A956" t="s">
        <v>966</v>
      </c>
      <c r="B956">
        <v>5</v>
      </c>
      <c r="C956">
        <v>-43049978.079999998</v>
      </c>
      <c r="D956">
        <v>0.2</v>
      </c>
      <c r="E956">
        <v>53351670.740000002</v>
      </c>
      <c r="F956">
        <v>81682906</v>
      </c>
      <c r="G956">
        <v>4</v>
      </c>
      <c r="H956">
        <v>3</v>
      </c>
      <c r="I956">
        <v>2</v>
      </c>
      <c r="J956">
        <v>3.3</v>
      </c>
      <c r="K956" t="s">
        <v>306</v>
      </c>
    </row>
    <row r="957" spans="1:11" x14ac:dyDescent="0.35">
      <c r="A957" t="s">
        <v>967</v>
      </c>
      <c r="B957">
        <v>5</v>
      </c>
      <c r="C957">
        <v>-27554347.98</v>
      </c>
      <c r="D957">
        <v>0.4</v>
      </c>
      <c r="E957">
        <v>92791671.670000002</v>
      </c>
      <c r="F957">
        <v>79275782.900000006</v>
      </c>
      <c r="G957">
        <v>4</v>
      </c>
      <c r="H957">
        <v>3</v>
      </c>
      <c r="I957">
        <v>2</v>
      </c>
      <c r="J957">
        <v>3.3</v>
      </c>
      <c r="K957" t="s">
        <v>306</v>
      </c>
    </row>
    <row r="958" spans="1:11" x14ac:dyDescent="0.35">
      <c r="A958" t="s">
        <v>968</v>
      </c>
      <c r="B958">
        <v>5</v>
      </c>
      <c r="C958">
        <v>-78617967.879999995</v>
      </c>
      <c r="D958">
        <v>0.2</v>
      </c>
      <c r="E958">
        <v>104059804.09999999</v>
      </c>
      <c r="F958">
        <v>66928685.399999999</v>
      </c>
      <c r="G958">
        <v>4</v>
      </c>
      <c r="H958">
        <v>3</v>
      </c>
      <c r="I958">
        <v>2</v>
      </c>
      <c r="J958">
        <v>3.3</v>
      </c>
      <c r="K958" t="s">
        <v>306</v>
      </c>
    </row>
    <row r="959" spans="1:11" x14ac:dyDescent="0.35">
      <c r="A959" t="s">
        <v>969</v>
      </c>
      <c r="B959">
        <v>5</v>
      </c>
      <c r="C959">
        <v>-28509387.68</v>
      </c>
      <c r="D959">
        <v>0.2</v>
      </c>
      <c r="E959">
        <v>50849191.579999998</v>
      </c>
      <c r="F959">
        <v>62065464.5</v>
      </c>
      <c r="G959">
        <v>4</v>
      </c>
      <c r="H959">
        <v>3</v>
      </c>
      <c r="I959">
        <v>2</v>
      </c>
      <c r="J959">
        <v>3.3</v>
      </c>
      <c r="K959" t="s">
        <v>306</v>
      </c>
    </row>
    <row r="960" spans="1:11" x14ac:dyDescent="0.35">
      <c r="A960" t="s">
        <v>970</v>
      </c>
      <c r="B960">
        <v>5</v>
      </c>
      <c r="C960">
        <v>-25573609.280000001</v>
      </c>
      <c r="D960">
        <v>0.2</v>
      </c>
      <c r="E960">
        <v>48141384.409999996</v>
      </c>
      <c r="F960">
        <v>58721864</v>
      </c>
      <c r="G960">
        <v>4</v>
      </c>
      <c r="H960">
        <v>3</v>
      </c>
      <c r="I960">
        <v>2</v>
      </c>
      <c r="J960">
        <v>3.3</v>
      </c>
      <c r="K960" t="s">
        <v>306</v>
      </c>
    </row>
    <row r="961" spans="1:11" x14ac:dyDescent="0.35">
      <c r="A961" t="s">
        <v>971</v>
      </c>
      <c r="B961">
        <v>5</v>
      </c>
      <c r="C961">
        <v>-41726804.939999998</v>
      </c>
      <c r="D961">
        <v>0.2</v>
      </c>
      <c r="E961">
        <v>56031539.799999997</v>
      </c>
      <c r="F961">
        <v>58251787.5</v>
      </c>
      <c r="G961">
        <v>4</v>
      </c>
      <c r="H961">
        <v>3</v>
      </c>
      <c r="I961">
        <v>2</v>
      </c>
      <c r="J961">
        <v>3.3</v>
      </c>
      <c r="K961" t="s">
        <v>306</v>
      </c>
    </row>
    <row r="962" spans="1:11" x14ac:dyDescent="0.35">
      <c r="A962" t="s">
        <v>972</v>
      </c>
      <c r="B962">
        <v>5</v>
      </c>
      <c r="C962">
        <v>-674471.28</v>
      </c>
      <c r="D962">
        <v>0.4</v>
      </c>
      <c r="E962">
        <v>72867487.870000005</v>
      </c>
      <c r="F962">
        <v>45784819.899999999</v>
      </c>
      <c r="G962">
        <v>4</v>
      </c>
      <c r="H962">
        <v>3</v>
      </c>
      <c r="I962">
        <v>2</v>
      </c>
      <c r="J962">
        <v>3.3</v>
      </c>
      <c r="K962" t="s">
        <v>306</v>
      </c>
    </row>
    <row r="963" spans="1:11" x14ac:dyDescent="0.35">
      <c r="A963" t="s">
        <v>973</v>
      </c>
      <c r="B963">
        <v>5</v>
      </c>
      <c r="C963">
        <v>-13300979.720000001</v>
      </c>
      <c r="D963">
        <v>0.2</v>
      </c>
      <c r="E963">
        <v>47722039.299999997</v>
      </c>
      <c r="F963">
        <v>48812626.100000001</v>
      </c>
      <c r="G963">
        <v>4</v>
      </c>
      <c r="H963">
        <v>3</v>
      </c>
      <c r="I963">
        <v>2</v>
      </c>
      <c r="J963">
        <v>3.3</v>
      </c>
      <c r="K963" t="s">
        <v>306</v>
      </c>
    </row>
    <row r="964" spans="1:11" x14ac:dyDescent="0.35">
      <c r="A964" t="s">
        <v>974</v>
      </c>
      <c r="B964">
        <v>5</v>
      </c>
      <c r="C964">
        <v>-30001887.079999998</v>
      </c>
      <c r="D964">
        <v>0.8</v>
      </c>
      <c r="E964">
        <v>224615989.40000001</v>
      </c>
      <c r="F964">
        <v>23208096.300000001</v>
      </c>
      <c r="G964">
        <v>3</v>
      </c>
      <c r="H964">
        <v>4</v>
      </c>
      <c r="I964">
        <v>3</v>
      </c>
      <c r="J964">
        <v>3.3</v>
      </c>
      <c r="K964" t="s">
        <v>306</v>
      </c>
    </row>
    <row r="965" spans="1:11" x14ac:dyDescent="0.35">
      <c r="A965" t="s">
        <v>975</v>
      </c>
      <c r="B965">
        <v>5</v>
      </c>
      <c r="C965">
        <v>107848195.8</v>
      </c>
      <c r="D965">
        <v>0.8</v>
      </c>
      <c r="E965">
        <v>167066800.5</v>
      </c>
      <c r="F965">
        <v>22954260.800000001</v>
      </c>
      <c r="G965">
        <v>3</v>
      </c>
      <c r="H965">
        <v>4</v>
      </c>
      <c r="I965">
        <v>3</v>
      </c>
      <c r="J965">
        <v>3.3</v>
      </c>
      <c r="K965" t="s">
        <v>306</v>
      </c>
    </row>
    <row r="966" spans="1:11" x14ac:dyDescent="0.35">
      <c r="A966" t="s">
        <v>976</v>
      </c>
      <c r="B966">
        <v>5</v>
      </c>
      <c r="C966">
        <v>-56716493.560000002</v>
      </c>
      <c r="D966">
        <v>0.6</v>
      </c>
      <c r="E966">
        <v>227950912.59999999</v>
      </c>
      <c r="F966">
        <v>25055080.399999999</v>
      </c>
      <c r="G966">
        <v>3</v>
      </c>
      <c r="H966">
        <v>4</v>
      </c>
      <c r="I966">
        <v>3</v>
      </c>
      <c r="J966">
        <v>3.3</v>
      </c>
      <c r="K966" t="s">
        <v>306</v>
      </c>
    </row>
    <row r="967" spans="1:11" x14ac:dyDescent="0.35">
      <c r="A967" t="s">
        <v>977</v>
      </c>
      <c r="B967">
        <v>5</v>
      </c>
      <c r="C967">
        <v>-48953865.579999998</v>
      </c>
      <c r="D967">
        <v>0.2</v>
      </c>
      <c r="E967">
        <v>55332188.57</v>
      </c>
      <c r="F967">
        <v>30621113.899999999</v>
      </c>
      <c r="G967">
        <v>4</v>
      </c>
      <c r="H967">
        <v>3</v>
      </c>
      <c r="I967">
        <v>2</v>
      </c>
      <c r="J967">
        <v>3.3</v>
      </c>
      <c r="K967" t="s">
        <v>306</v>
      </c>
    </row>
    <row r="968" spans="1:11" x14ac:dyDescent="0.35">
      <c r="A968" t="s">
        <v>978</v>
      </c>
      <c r="B968">
        <v>5</v>
      </c>
      <c r="C968">
        <v>104275040.7</v>
      </c>
      <c r="D968">
        <v>0.8</v>
      </c>
      <c r="E968">
        <v>197482869.59999999</v>
      </c>
      <c r="F968">
        <v>10658547.9</v>
      </c>
      <c r="G968">
        <v>3</v>
      </c>
      <c r="H968">
        <v>4</v>
      </c>
      <c r="I968">
        <v>3</v>
      </c>
      <c r="J968">
        <v>3.3</v>
      </c>
      <c r="K968" t="s">
        <v>306</v>
      </c>
    </row>
    <row r="969" spans="1:11" x14ac:dyDescent="0.35">
      <c r="A969" t="s">
        <v>979</v>
      </c>
      <c r="B969">
        <v>5</v>
      </c>
      <c r="C969">
        <v>13453343284</v>
      </c>
      <c r="D969">
        <v>1</v>
      </c>
      <c r="E969">
        <v>1639286694</v>
      </c>
      <c r="F969">
        <v>-35052393</v>
      </c>
      <c r="G969">
        <v>2</v>
      </c>
      <c r="H969">
        <v>5</v>
      </c>
      <c r="I969">
        <v>4</v>
      </c>
      <c r="J969">
        <v>3.3</v>
      </c>
      <c r="K969" t="s">
        <v>306</v>
      </c>
    </row>
    <row r="970" spans="1:11" x14ac:dyDescent="0.35">
      <c r="A970" t="s">
        <v>980</v>
      </c>
      <c r="B970">
        <v>5</v>
      </c>
      <c r="C970">
        <v>-11215218.640000001</v>
      </c>
      <c r="D970">
        <v>0.8</v>
      </c>
      <c r="E970">
        <v>752947607.89999998</v>
      </c>
      <c r="F970">
        <v>-6035877</v>
      </c>
      <c r="G970">
        <v>2</v>
      </c>
      <c r="H970">
        <v>5</v>
      </c>
      <c r="I970">
        <v>4</v>
      </c>
      <c r="J970">
        <v>3.3</v>
      </c>
      <c r="K970" t="s">
        <v>306</v>
      </c>
    </row>
    <row r="971" spans="1:11" x14ac:dyDescent="0.35">
      <c r="A971" t="s">
        <v>981</v>
      </c>
      <c r="B971">
        <v>5</v>
      </c>
      <c r="C971">
        <v>139576723.80000001</v>
      </c>
      <c r="D971">
        <v>0.8</v>
      </c>
      <c r="E971">
        <v>223325324.40000001</v>
      </c>
      <c r="F971">
        <v>-4315718.4000000004</v>
      </c>
      <c r="G971">
        <v>3</v>
      </c>
      <c r="H971">
        <v>4</v>
      </c>
      <c r="I971">
        <v>3</v>
      </c>
      <c r="J971">
        <v>3.3</v>
      </c>
      <c r="K971" t="s">
        <v>306</v>
      </c>
    </row>
    <row r="972" spans="1:11" x14ac:dyDescent="0.35">
      <c r="A972" t="s">
        <v>982</v>
      </c>
      <c r="B972">
        <v>5</v>
      </c>
      <c r="C972">
        <v>460235081.5</v>
      </c>
      <c r="D972">
        <v>0.8</v>
      </c>
      <c r="E972">
        <v>977438347.10000002</v>
      </c>
      <c r="F972">
        <v>-53358081.600000001</v>
      </c>
      <c r="G972">
        <v>2</v>
      </c>
      <c r="H972">
        <v>5</v>
      </c>
      <c r="I972">
        <v>4</v>
      </c>
      <c r="J972">
        <v>3.3</v>
      </c>
      <c r="K972" t="s">
        <v>306</v>
      </c>
    </row>
    <row r="973" spans="1:11" x14ac:dyDescent="0.35">
      <c r="A973" t="s">
        <v>983</v>
      </c>
      <c r="B973">
        <v>5</v>
      </c>
      <c r="C973">
        <v>16626432.699999999</v>
      </c>
      <c r="D973">
        <v>0.8</v>
      </c>
      <c r="E973">
        <v>49789470.689999998</v>
      </c>
      <c r="F973">
        <v>-53562885.100000001</v>
      </c>
      <c r="G973">
        <v>3</v>
      </c>
      <c r="H973">
        <v>3</v>
      </c>
      <c r="I973">
        <v>4</v>
      </c>
      <c r="J973">
        <v>3.2</v>
      </c>
      <c r="K973" t="s">
        <v>306</v>
      </c>
    </row>
    <row r="974" spans="1:11" x14ac:dyDescent="0.35">
      <c r="A974" t="s">
        <v>984</v>
      </c>
      <c r="B974">
        <v>5</v>
      </c>
      <c r="C974">
        <v>-4159178.46</v>
      </c>
      <c r="D974">
        <v>0.6</v>
      </c>
      <c r="E974">
        <v>46518312.210000001</v>
      </c>
      <c r="F974">
        <v>-61936444.700000003</v>
      </c>
      <c r="G974">
        <v>3</v>
      </c>
      <c r="H974">
        <v>3</v>
      </c>
      <c r="I974">
        <v>4</v>
      </c>
      <c r="J974">
        <v>3.2</v>
      </c>
      <c r="K974" t="s">
        <v>306</v>
      </c>
    </row>
    <row r="975" spans="1:11" x14ac:dyDescent="0.35">
      <c r="A975" t="s">
        <v>985</v>
      </c>
      <c r="B975">
        <v>5</v>
      </c>
      <c r="C975">
        <v>-22698297.859999999</v>
      </c>
      <c r="D975">
        <v>0.6</v>
      </c>
      <c r="E975">
        <v>57199800.539999999</v>
      </c>
      <c r="F975">
        <v>-59279373.899999999</v>
      </c>
      <c r="G975">
        <v>3</v>
      </c>
      <c r="H975">
        <v>3</v>
      </c>
      <c r="I975">
        <v>4</v>
      </c>
      <c r="J975">
        <v>3.2</v>
      </c>
      <c r="K975" t="s">
        <v>306</v>
      </c>
    </row>
    <row r="976" spans="1:11" x14ac:dyDescent="0.35">
      <c r="A976" t="s">
        <v>986</v>
      </c>
      <c r="B976">
        <v>5</v>
      </c>
      <c r="C976">
        <v>5624086.8399999999</v>
      </c>
      <c r="D976">
        <v>0.6</v>
      </c>
      <c r="E976">
        <v>103434454.7</v>
      </c>
      <c r="F976">
        <v>-55705237.600000001</v>
      </c>
      <c r="G976">
        <v>3</v>
      </c>
      <c r="H976">
        <v>3</v>
      </c>
      <c r="I976">
        <v>4</v>
      </c>
      <c r="J976">
        <v>3.2</v>
      </c>
      <c r="K976" t="s">
        <v>306</v>
      </c>
    </row>
    <row r="977" spans="1:11" x14ac:dyDescent="0.35">
      <c r="A977" t="s">
        <v>987</v>
      </c>
      <c r="B977">
        <v>5</v>
      </c>
      <c r="C977">
        <v>41661837.100000001</v>
      </c>
      <c r="D977">
        <v>0.8</v>
      </c>
      <c r="E977">
        <v>50524031.450000003</v>
      </c>
      <c r="F977">
        <v>-63782493.299999997</v>
      </c>
      <c r="G977">
        <v>3</v>
      </c>
      <c r="H977">
        <v>3</v>
      </c>
      <c r="I977">
        <v>4</v>
      </c>
      <c r="J977">
        <v>3.2</v>
      </c>
      <c r="K977" t="s">
        <v>306</v>
      </c>
    </row>
    <row r="978" spans="1:11" x14ac:dyDescent="0.35">
      <c r="A978" t="s">
        <v>988</v>
      </c>
      <c r="B978">
        <v>5</v>
      </c>
      <c r="C978">
        <v>-39336294.399999999</v>
      </c>
      <c r="D978">
        <v>0.6</v>
      </c>
      <c r="E978">
        <v>77420335.200000003</v>
      </c>
      <c r="F978">
        <v>-46495138.600000001</v>
      </c>
      <c r="G978">
        <v>3</v>
      </c>
      <c r="H978">
        <v>3</v>
      </c>
      <c r="I978">
        <v>4</v>
      </c>
      <c r="J978">
        <v>3.2</v>
      </c>
      <c r="K978" t="s">
        <v>306</v>
      </c>
    </row>
    <row r="979" spans="1:11" x14ac:dyDescent="0.35">
      <c r="A979" t="s">
        <v>989</v>
      </c>
      <c r="B979">
        <v>5</v>
      </c>
      <c r="C979">
        <v>39704196.359999999</v>
      </c>
      <c r="D979">
        <v>0.8</v>
      </c>
      <c r="E979">
        <v>91365756.180000007</v>
      </c>
      <c r="F979">
        <v>-41286175.799999997</v>
      </c>
      <c r="G979">
        <v>3</v>
      </c>
      <c r="H979">
        <v>3</v>
      </c>
      <c r="I979">
        <v>4</v>
      </c>
      <c r="J979">
        <v>3.2</v>
      </c>
      <c r="K979" t="s">
        <v>306</v>
      </c>
    </row>
    <row r="980" spans="1:11" x14ac:dyDescent="0.35">
      <c r="A980" t="s">
        <v>990</v>
      </c>
      <c r="B980">
        <v>5</v>
      </c>
      <c r="C980">
        <v>29456757.98</v>
      </c>
      <c r="D980">
        <v>0.8</v>
      </c>
      <c r="E980">
        <v>47606433.009999998</v>
      </c>
      <c r="F980">
        <v>-52024022.700000003</v>
      </c>
      <c r="G980">
        <v>3</v>
      </c>
      <c r="H980">
        <v>3</v>
      </c>
      <c r="I980">
        <v>4</v>
      </c>
      <c r="J980">
        <v>3.2</v>
      </c>
      <c r="K980" t="s">
        <v>306</v>
      </c>
    </row>
    <row r="981" spans="1:11" x14ac:dyDescent="0.35">
      <c r="A981" t="s">
        <v>991</v>
      </c>
      <c r="B981">
        <v>5</v>
      </c>
      <c r="C981">
        <v>16501861.02</v>
      </c>
      <c r="D981">
        <v>0.6</v>
      </c>
      <c r="E981">
        <v>105780972.8</v>
      </c>
      <c r="F981">
        <v>-76913199.200000003</v>
      </c>
      <c r="G981">
        <v>3</v>
      </c>
      <c r="H981">
        <v>3</v>
      </c>
      <c r="I981">
        <v>4</v>
      </c>
      <c r="J981">
        <v>3.2</v>
      </c>
      <c r="K981" t="s">
        <v>306</v>
      </c>
    </row>
    <row r="982" spans="1:11" x14ac:dyDescent="0.35">
      <c r="A982" t="s">
        <v>992</v>
      </c>
      <c r="B982">
        <v>5</v>
      </c>
      <c r="C982">
        <v>258322793.90000001</v>
      </c>
      <c r="D982">
        <v>0.8</v>
      </c>
      <c r="E982">
        <v>303075386.39999998</v>
      </c>
      <c r="F982">
        <v>-93616207.299999997</v>
      </c>
      <c r="G982">
        <v>2</v>
      </c>
      <c r="H982">
        <v>4</v>
      </c>
      <c r="I982">
        <v>5</v>
      </c>
      <c r="J982">
        <v>3.2</v>
      </c>
      <c r="K982" t="s">
        <v>306</v>
      </c>
    </row>
    <row r="983" spans="1:11" x14ac:dyDescent="0.35">
      <c r="A983" t="s">
        <v>993</v>
      </c>
      <c r="B983">
        <v>5</v>
      </c>
      <c r="C983">
        <v>320666009.60000002</v>
      </c>
      <c r="D983">
        <v>1</v>
      </c>
      <c r="E983">
        <v>119610767.8</v>
      </c>
      <c r="F983">
        <v>-97875044.400000006</v>
      </c>
      <c r="G983">
        <v>2</v>
      </c>
      <c r="H983">
        <v>4</v>
      </c>
      <c r="I983">
        <v>5</v>
      </c>
      <c r="J983">
        <v>3.2</v>
      </c>
      <c r="K983" t="s">
        <v>306</v>
      </c>
    </row>
    <row r="984" spans="1:11" x14ac:dyDescent="0.35">
      <c r="A984" t="s">
        <v>994</v>
      </c>
      <c r="B984">
        <v>5</v>
      </c>
      <c r="C984">
        <v>335664119.89999998</v>
      </c>
      <c r="D984">
        <v>1</v>
      </c>
      <c r="E984">
        <v>295851581.89999998</v>
      </c>
      <c r="F984">
        <v>-106871910.90000001</v>
      </c>
      <c r="G984">
        <v>2</v>
      </c>
      <c r="H984">
        <v>4</v>
      </c>
      <c r="I984">
        <v>5</v>
      </c>
      <c r="J984">
        <v>3.2</v>
      </c>
      <c r="K984" t="s">
        <v>306</v>
      </c>
    </row>
    <row r="985" spans="1:11" x14ac:dyDescent="0.35">
      <c r="A985" t="s">
        <v>995</v>
      </c>
      <c r="B985">
        <v>5</v>
      </c>
      <c r="C985">
        <v>828222040</v>
      </c>
      <c r="D985">
        <v>1</v>
      </c>
      <c r="E985">
        <v>135384731.19999999</v>
      </c>
      <c r="F985">
        <v>-117945142.90000001</v>
      </c>
      <c r="G985">
        <v>2</v>
      </c>
      <c r="H985">
        <v>4</v>
      </c>
      <c r="I985">
        <v>5</v>
      </c>
      <c r="J985">
        <v>3.2</v>
      </c>
      <c r="K985" t="s">
        <v>306</v>
      </c>
    </row>
    <row r="986" spans="1:11" x14ac:dyDescent="0.35">
      <c r="A986" t="s">
        <v>996</v>
      </c>
      <c r="B986">
        <v>5</v>
      </c>
      <c r="C986">
        <v>6575403.3799999999</v>
      </c>
      <c r="D986">
        <v>0.8</v>
      </c>
      <c r="E986">
        <v>245097051.80000001</v>
      </c>
      <c r="F986">
        <v>-141910957.09999999</v>
      </c>
      <c r="G986">
        <v>2</v>
      </c>
      <c r="H986">
        <v>4</v>
      </c>
      <c r="I986">
        <v>5</v>
      </c>
      <c r="J986">
        <v>3.2</v>
      </c>
      <c r="K986" t="s">
        <v>306</v>
      </c>
    </row>
    <row r="987" spans="1:11" x14ac:dyDescent="0.35">
      <c r="A987" t="s">
        <v>997</v>
      </c>
      <c r="B987">
        <v>5</v>
      </c>
      <c r="C987">
        <v>220551264.5</v>
      </c>
      <c r="D987">
        <v>0.8</v>
      </c>
      <c r="E987">
        <v>146617740.19999999</v>
      </c>
      <c r="F987">
        <v>-283010953.30000001</v>
      </c>
      <c r="G987">
        <v>2</v>
      </c>
      <c r="H987">
        <v>4</v>
      </c>
      <c r="I987">
        <v>5</v>
      </c>
      <c r="J987">
        <v>3.2</v>
      </c>
      <c r="K987" t="s">
        <v>306</v>
      </c>
    </row>
    <row r="988" spans="1:11" x14ac:dyDescent="0.35">
      <c r="A988" t="s">
        <v>998</v>
      </c>
      <c r="B988">
        <v>5</v>
      </c>
      <c r="C988">
        <v>347444090.60000002</v>
      </c>
      <c r="D988">
        <v>1</v>
      </c>
      <c r="E988">
        <v>216884402.19999999</v>
      </c>
      <c r="F988">
        <v>-254960388.09999999</v>
      </c>
      <c r="G988">
        <v>2</v>
      </c>
      <c r="H988">
        <v>4</v>
      </c>
      <c r="I988">
        <v>5</v>
      </c>
      <c r="J988">
        <v>3.2</v>
      </c>
      <c r="K988" t="s">
        <v>306</v>
      </c>
    </row>
    <row r="989" spans="1:11" x14ac:dyDescent="0.35">
      <c r="A989" t="s">
        <v>999</v>
      </c>
      <c r="B989">
        <v>5</v>
      </c>
      <c r="C989">
        <v>219440254</v>
      </c>
      <c r="D989">
        <v>1</v>
      </c>
      <c r="E989">
        <v>115443215.40000001</v>
      </c>
      <c r="F989">
        <v>-257465267.69999999</v>
      </c>
      <c r="G989">
        <v>2</v>
      </c>
      <c r="H989">
        <v>4</v>
      </c>
      <c r="I989">
        <v>5</v>
      </c>
      <c r="J989">
        <v>3.2</v>
      </c>
      <c r="K989" t="s">
        <v>306</v>
      </c>
    </row>
    <row r="990" spans="1:11" x14ac:dyDescent="0.35">
      <c r="A990" t="s">
        <v>1000</v>
      </c>
      <c r="B990">
        <v>5</v>
      </c>
      <c r="C990">
        <v>524399717.19999999</v>
      </c>
      <c r="D990">
        <v>1</v>
      </c>
      <c r="E990">
        <v>191756993.80000001</v>
      </c>
      <c r="F990">
        <v>-259046401.30000001</v>
      </c>
      <c r="G990">
        <v>2</v>
      </c>
      <c r="H990">
        <v>4</v>
      </c>
      <c r="I990">
        <v>5</v>
      </c>
      <c r="J990">
        <v>3.2</v>
      </c>
      <c r="K990" t="s">
        <v>306</v>
      </c>
    </row>
    <row r="991" spans="1:11" x14ac:dyDescent="0.35">
      <c r="A991" t="s">
        <v>1001</v>
      </c>
      <c r="B991">
        <v>5</v>
      </c>
      <c r="C991">
        <v>145445204.09999999</v>
      </c>
      <c r="D991">
        <v>0.8</v>
      </c>
      <c r="E991">
        <v>174377068.90000001</v>
      </c>
      <c r="F991">
        <v>-311494015.39999998</v>
      </c>
      <c r="G991">
        <v>2</v>
      </c>
      <c r="H991">
        <v>4</v>
      </c>
      <c r="I991">
        <v>5</v>
      </c>
      <c r="J991">
        <v>3.2</v>
      </c>
      <c r="K991" t="s">
        <v>306</v>
      </c>
    </row>
    <row r="992" spans="1:11" x14ac:dyDescent="0.35">
      <c r="A992" t="s">
        <v>1002</v>
      </c>
      <c r="B992">
        <v>5</v>
      </c>
      <c r="C992">
        <v>108823704</v>
      </c>
      <c r="D992">
        <v>0.8</v>
      </c>
      <c r="E992">
        <v>133628528.7</v>
      </c>
      <c r="F992">
        <v>-299561023.5</v>
      </c>
      <c r="G992">
        <v>2</v>
      </c>
      <c r="H992">
        <v>4</v>
      </c>
      <c r="I992">
        <v>5</v>
      </c>
      <c r="J992">
        <v>3.2</v>
      </c>
      <c r="K992" t="s">
        <v>306</v>
      </c>
    </row>
    <row r="993" spans="1:11" x14ac:dyDescent="0.35">
      <c r="A993" t="s">
        <v>1003</v>
      </c>
      <c r="B993">
        <v>5</v>
      </c>
      <c r="C993">
        <v>221964908.90000001</v>
      </c>
      <c r="D993">
        <v>0.8</v>
      </c>
      <c r="E993">
        <v>194867087.30000001</v>
      </c>
      <c r="F993">
        <v>-292753425.30000001</v>
      </c>
      <c r="G993">
        <v>2</v>
      </c>
      <c r="H993">
        <v>4</v>
      </c>
      <c r="I993">
        <v>5</v>
      </c>
      <c r="J993">
        <v>3.2</v>
      </c>
      <c r="K993" t="s">
        <v>306</v>
      </c>
    </row>
    <row r="994" spans="1:11" x14ac:dyDescent="0.35">
      <c r="A994" t="s">
        <v>1004</v>
      </c>
      <c r="B994">
        <v>5</v>
      </c>
      <c r="C994">
        <v>16770802</v>
      </c>
      <c r="D994">
        <v>0.8</v>
      </c>
      <c r="E994">
        <v>157148713.30000001</v>
      </c>
      <c r="F994">
        <v>-290098276.19999999</v>
      </c>
      <c r="G994">
        <v>2</v>
      </c>
      <c r="H994">
        <v>4</v>
      </c>
      <c r="I994">
        <v>5</v>
      </c>
      <c r="J994">
        <v>3.2</v>
      </c>
      <c r="K994" t="s">
        <v>306</v>
      </c>
    </row>
    <row r="995" spans="1:11" x14ac:dyDescent="0.35">
      <c r="A995" t="s">
        <v>1005</v>
      </c>
      <c r="B995">
        <v>5</v>
      </c>
      <c r="C995">
        <v>837233721.39999998</v>
      </c>
      <c r="D995">
        <v>1</v>
      </c>
      <c r="E995">
        <v>139409138.5</v>
      </c>
      <c r="F995">
        <v>-367685307.10000002</v>
      </c>
      <c r="G995">
        <v>2</v>
      </c>
      <c r="H995">
        <v>4</v>
      </c>
      <c r="I995">
        <v>5</v>
      </c>
      <c r="J995">
        <v>3.2</v>
      </c>
      <c r="K995" t="s">
        <v>306</v>
      </c>
    </row>
    <row r="996" spans="1:11" x14ac:dyDescent="0.35">
      <c r="A996" t="s">
        <v>1006</v>
      </c>
      <c r="B996">
        <v>5</v>
      </c>
      <c r="C996">
        <v>153370394.59999999</v>
      </c>
      <c r="D996">
        <v>0.8</v>
      </c>
      <c r="E996">
        <v>216135637.5</v>
      </c>
      <c r="F996">
        <v>-358518024</v>
      </c>
      <c r="G996">
        <v>2</v>
      </c>
      <c r="H996">
        <v>4</v>
      </c>
      <c r="I996">
        <v>5</v>
      </c>
      <c r="J996">
        <v>3.2</v>
      </c>
      <c r="K996" t="s">
        <v>306</v>
      </c>
    </row>
    <row r="997" spans="1:11" x14ac:dyDescent="0.35">
      <c r="A997" t="s">
        <v>1007</v>
      </c>
      <c r="B997">
        <v>5</v>
      </c>
      <c r="C997">
        <v>119371136.3</v>
      </c>
      <c r="D997">
        <v>1</v>
      </c>
      <c r="E997">
        <v>262169557.09999999</v>
      </c>
      <c r="F997">
        <v>-585368016.20000005</v>
      </c>
      <c r="G997">
        <v>2</v>
      </c>
      <c r="H997">
        <v>4</v>
      </c>
      <c r="I997">
        <v>5</v>
      </c>
      <c r="J997">
        <v>3.2</v>
      </c>
      <c r="K997" t="s">
        <v>306</v>
      </c>
    </row>
    <row r="998" spans="1:11" x14ac:dyDescent="0.35">
      <c r="A998" t="s">
        <v>1008</v>
      </c>
      <c r="B998">
        <v>5</v>
      </c>
      <c r="C998">
        <v>15645348.779999999</v>
      </c>
      <c r="D998">
        <v>0.8</v>
      </c>
      <c r="E998">
        <v>285929950.60000002</v>
      </c>
      <c r="F998">
        <v>-599830006.29999995</v>
      </c>
      <c r="G998">
        <v>2</v>
      </c>
      <c r="H998">
        <v>4</v>
      </c>
      <c r="I998">
        <v>5</v>
      </c>
      <c r="J998">
        <v>3.2</v>
      </c>
      <c r="K998" t="s">
        <v>306</v>
      </c>
    </row>
    <row r="999" spans="1:11" x14ac:dyDescent="0.35">
      <c r="A999" t="s">
        <v>1009</v>
      </c>
      <c r="B999">
        <v>5</v>
      </c>
      <c r="C999">
        <v>97848765.299999997</v>
      </c>
      <c r="D999">
        <v>1</v>
      </c>
      <c r="E999">
        <v>217160649.90000001</v>
      </c>
      <c r="F999">
        <v>-485799261.69999999</v>
      </c>
      <c r="G999">
        <v>2</v>
      </c>
      <c r="H999">
        <v>4</v>
      </c>
      <c r="I999">
        <v>5</v>
      </c>
      <c r="J999">
        <v>3.2</v>
      </c>
      <c r="K999" t="s">
        <v>306</v>
      </c>
    </row>
    <row r="1000" spans="1:11" x14ac:dyDescent="0.35">
      <c r="A1000" t="s">
        <v>1010</v>
      </c>
      <c r="B1000">
        <v>5</v>
      </c>
      <c r="C1000">
        <v>-19595696.420000002</v>
      </c>
      <c r="D1000">
        <v>0.2</v>
      </c>
      <c r="E1000">
        <v>31403694.530000001</v>
      </c>
      <c r="F1000">
        <v>-3302475.2</v>
      </c>
      <c r="G1000">
        <v>4</v>
      </c>
      <c r="H1000">
        <v>2</v>
      </c>
      <c r="I1000">
        <v>3</v>
      </c>
      <c r="J1000">
        <v>3.2</v>
      </c>
      <c r="K1000" t="s">
        <v>306</v>
      </c>
    </row>
    <row r="1001" spans="1:11" x14ac:dyDescent="0.35">
      <c r="A1001" t="s">
        <v>1011</v>
      </c>
      <c r="B1001">
        <v>5</v>
      </c>
      <c r="C1001">
        <v>-1913648.84</v>
      </c>
      <c r="D1001">
        <v>0.4</v>
      </c>
      <c r="E1001">
        <v>17299114.030000001</v>
      </c>
      <c r="F1001">
        <v>-419600.9</v>
      </c>
      <c r="G1001">
        <v>4</v>
      </c>
      <c r="H1001">
        <v>2</v>
      </c>
      <c r="I1001">
        <v>3</v>
      </c>
      <c r="J1001">
        <v>3.2</v>
      </c>
      <c r="K1001" t="s">
        <v>306</v>
      </c>
    </row>
    <row r="1002" spans="1:11" x14ac:dyDescent="0.35">
      <c r="A1002" t="s">
        <v>1012</v>
      </c>
      <c r="B1002">
        <v>5</v>
      </c>
      <c r="C1002">
        <v>-6017293.2999999998</v>
      </c>
      <c r="D1002">
        <v>0.4</v>
      </c>
      <c r="E1002">
        <v>17457587.870000001</v>
      </c>
      <c r="F1002">
        <v>-1537266.8</v>
      </c>
      <c r="G1002">
        <v>4</v>
      </c>
      <c r="H1002">
        <v>2</v>
      </c>
      <c r="I1002">
        <v>3</v>
      </c>
      <c r="J1002">
        <v>3.2</v>
      </c>
      <c r="K1002" t="s">
        <v>306</v>
      </c>
    </row>
    <row r="1003" spans="1:11" x14ac:dyDescent="0.35">
      <c r="A1003" t="s">
        <v>1013</v>
      </c>
      <c r="B1003">
        <v>5</v>
      </c>
      <c r="C1003">
        <v>-36672133.159999996</v>
      </c>
      <c r="D1003">
        <v>0</v>
      </c>
      <c r="E1003">
        <v>27052507.760000002</v>
      </c>
      <c r="F1003">
        <v>1925271.5</v>
      </c>
      <c r="G1003">
        <v>4</v>
      </c>
      <c r="H1003">
        <v>2</v>
      </c>
      <c r="I1003">
        <v>3</v>
      </c>
      <c r="J1003">
        <v>3.2</v>
      </c>
      <c r="K1003" t="s">
        <v>306</v>
      </c>
    </row>
    <row r="1004" spans="1:11" x14ac:dyDescent="0.35">
      <c r="A1004" t="s">
        <v>1014</v>
      </c>
      <c r="B1004">
        <v>5</v>
      </c>
      <c r="C1004">
        <v>-6258021.4000000004</v>
      </c>
      <c r="D1004">
        <v>0.4</v>
      </c>
      <c r="E1004">
        <v>26396366.5</v>
      </c>
      <c r="F1004">
        <v>1443412.7</v>
      </c>
      <c r="G1004">
        <v>4</v>
      </c>
      <c r="H1004">
        <v>2</v>
      </c>
      <c r="I1004">
        <v>3</v>
      </c>
      <c r="J1004">
        <v>3.2</v>
      </c>
      <c r="K1004" t="s">
        <v>306</v>
      </c>
    </row>
    <row r="1005" spans="1:11" x14ac:dyDescent="0.35">
      <c r="A1005" t="s">
        <v>1015</v>
      </c>
      <c r="B1005">
        <v>5</v>
      </c>
      <c r="C1005">
        <v>1471797.7</v>
      </c>
      <c r="D1005">
        <v>0.4</v>
      </c>
      <c r="E1005">
        <v>21401486.390000001</v>
      </c>
      <c r="F1005">
        <v>4729035.7</v>
      </c>
      <c r="G1005">
        <v>4</v>
      </c>
      <c r="H1005">
        <v>2</v>
      </c>
      <c r="I1005">
        <v>3</v>
      </c>
      <c r="J1005">
        <v>3.2</v>
      </c>
      <c r="K1005" t="s">
        <v>306</v>
      </c>
    </row>
    <row r="1006" spans="1:11" x14ac:dyDescent="0.35">
      <c r="A1006" t="s">
        <v>1016</v>
      </c>
      <c r="B1006">
        <v>5</v>
      </c>
      <c r="C1006">
        <v>-22097755.239999998</v>
      </c>
      <c r="D1006">
        <v>0.2</v>
      </c>
      <c r="E1006">
        <v>42532563.009999998</v>
      </c>
      <c r="F1006">
        <v>4851156.7</v>
      </c>
      <c r="G1006">
        <v>4</v>
      </c>
      <c r="H1006">
        <v>2</v>
      </c>
      <c r="I1006">
        <v>3</v>
      </c>
      <c r="J1006">
        <v>3.2</v>
      </c>
      <c r="K1006" t="s">
        <v>306</v>
      </c>
    </row>
    <row r="1007" spans="1:11" x14ac:dyDescent="0.35">
      <c r="A1007" t="s">
        <v>1017</v>
      </c>
      <c r="B1007">
        <v>5</v>
      </c>
      <c r="C1007">
        <v>-35894498.299999997</v>
      </c>
      <c r="D1007">
        <v>0.2</v>
      </c>
      <c r="E1007">
        <v>24830747.75</v>
      </c>
      <c r="F1007">
        <v>7011383.5</v>
      </c>
      <c r="G1007">
        <v>4</v>
      </c>
      <c r="H1007">
        <v>2</v>
      </c>
      <c r="I1007">
        <v>3</v>
      </c>
      <c r="J1007">
        <v>3.2</v>
      </c>
      <c r="K1007" t="s">
        <v>306</v>
      </c>
    </row>
    <row r="1008" spans="1:11" x14ac:dyDescent="0.35">
      <c r="A1008" t="s">
        <v>1018</v>
      </c>
      <c r="B1008">
        <v>5</v>
      </c>
      <c r="C1008">
        <v>24330366.539999999</v>
      </c>
      <c r="D1008">
        <v>0.8</v>
      </c>
      <c r="E1008">
        <v>81935413.489999995</v>
      </c>
      <c r="F1008">
        <v>-33757844.399999999</v>
      </c>
      <c r="G1008">
        <v>3</v>
      </c>
      <c r="H1008">
        <v>3</v>
      </c>
      <c r="I1008">
        <v>4</v>
      </c>
      <c r="J1008">
        <v>3.2</v>
      </c>
      <c r="K1008" t="s">
        <v>306</v>
      </c>
    </row>
    <row r="1009" spans="1:11" x14ac:dyDescent="0.35">
      <c r="A1009" t="s">
        <v>1019</v>
      </c>
      <c r="B1009">
        <v>5</v>
      </c>
      <c r="C1009">
        <v>-25965648.899999999</v>
      </c>
      <c r="D1009">
        <v>0.4</v>
      </c>
      <c r="E1009">
        <v>46531980.100000001</v>
      </c>
      <c r="F1009">
        <v>-32500252.899999999</v>
      </c>
      <c r="G1009">
        <v>3</v>
      </c>
      <c r="H1009">
        <v>3</v>
      </c>
      <c r="I1009">
        <v>4</v>
      </c>
      <c r="J1009">
        <v>3.2</v>
      </c>
      <c r="K1009" t="s">
        <v>306</v>
      </c>
    </row>
    <row r="1010" spans="1:11" x14ac:dyDescent="0.35">
      <c r="A1010" t="s">
        <v>1020</v>
      </c>
      <c r="B1010">
        <v>5</v>
      </c>
      <c r="C1010">
        <v>-35149174.119999997</v>
      </c>
      <c r="D1010">
        <v>0.6</v>
      </c>
      <c r="E1010">
        <v>110587145.90000001</v>
      </c>
      <c r="F1010">
        <v>-36238200.700000003</v>
      </c>
      <c r="G1010">
        <v>3</v>
      </c>
      <c r="H1010">
        <v>3</v>
      </c>
      <c r="I1010">
        <v>4</v>
      </c>
      <c r="J1010">
        <v>3.2</v>
      </c>
      <c r="K1010" t="s">
        <v>306</v>
      </c>
    </row>
    <row r="1011" spans="1:11" x14ac:dyDescent="0.35">
      <c r="A1011" t="s">
        <v>1021</v>
      </c>
      <c r="B1011">
        <v>5</v>
      </c>
      <c r="C1011">
        <v>37692718.060000002</v>
      </c>
      <c r="D1011">
        <v>0.6</v>
      </c>
      <c r="E1011">
        <v>60073471.5</v>
      </c>
      <c r="F1011">
        <v>-22393188.800000001</v>
      </c>
      <c r="G1011">
        <v>3</v>
      </c>
      <c r="H1011">
        <v>3</v>
      </c>
      <c r="I1011">
        <v>4</v>
      </c>
      <c r="J1011">
        <v>3.2</v>
      </c>
      <c r="K1011" t="s">
        <v>306</v>
      </c>
    </row>
    <row r="1012" spans="1:11" x14ac:dyDescent="0.35">
      <c r="A1012" t="s">
        <v>1022</v>
      </c>
      <c r="B1012">
        <v>5</v>
      </c>
      <c r="C1012">
        <v>-20205909.68</v>
      </c>
      <c r="D1012">
        <v>0.6</v>
      </c>
      <c r="E1012">
        <v>45661432.280000001</v>
      </c>
      <c r="F1012">
        <v>-23264038.100000001</v>
      </c>
      <c r="G1012">
        <v>3</v>
      </c>
      <c r="H1012">
        <v>3</v>
      </c>
      <c r="I1012">
        <v>4</v>
      </c>
      <c r="J1012">
        <v>3.2</v>
      </c>
      <c r="K1012" t="s">
        <v>306</v>
      </c>
    </row>
    <row r="1013" spans="1:11" x14ac:dyDescent="0.35">
      <c r="A1013" t="s">
        <v>1023</v>
      </c>
      <c r="B1013">
        <v>5</v>
      </c>
      <c r="C1013">
        <v>21703388.84</v>
      </c>
      <c r="D1013">
        <v>0.4</v>
      </c>
      <c r="E1013">
        <v>49940294.159999996</v>
      </c>
      <c r="F1013">
        <v>-12908334.699999999</v>
      </c>
      <c r="G1013">
        <v>3</v>
      </c>
      <c r="H1013">
        <v>3</v>
      </c>
      <c r="I1013">
        <v>4</v>
      </c>
      <c r="J1013">
        <v>3.2</v>
      </c>
      <c r="K1013" t="s">
        <v>306</v>
      </c>
    </row>
    <row r="1014" spans="1:11" x14ac:dyDescent="0.35">
      <c r="A1014" t="s">
        <v>1024</v>
      </c>
      <c r="B1014">
        <v>5</v>
      </c>
      <c r="C1014">
        <v>-10202300.66</v>
      </c>
      <c r="D1014">
        <v>0.6</v>
      </c>
      <c r="E1014">
        <v>70115970.650000006</v>
      </c>
      <c r="F1014">
        <v>-7748366</v>
      </c>
      <c r="G1014">
        <v>3</v>
      </c>
      <c r="H1014">
        <v>3</v>
      </c>
      <c r="I1014">
        <v>4</v>
      </c>
      <c r="J1014">
        <v>3.2</v>
      </c>
      <c r="K1014" t="s">
        <v>306</v>
      </c>
    </row>
    <row r="1015" spans="1:11" x14ac:dyDescent="0.35">
      <c r="A1015" t="s">
        <v>1025</v>
      </c>
      <c r="B1015">
        <v>5</v>
      </c>
      <c r="C1015">
        <v>-13238858.76</v>
      </c>
      <c r="D1015">
        <v>0.2</v>
      </c>
      <c r="E1015">
        <v>17081580.469999999</v>
      </c>
      <c r="F1015">
        <v>8556913</v>
      </c>
      <c r="G1015">
        <v>4</v>
      </c>
      <c r="H1015">
        <v>2</v>
      </c>
      <c r="I1015">
        <v>3</v>
      </c>
      <c r="J1015">
        <v>3.2</v>
      </c>
      <c r="K1015" t="s">
        <v>306</v>
      </c>
    </row>
    <row r="1016" spans="1:11" x14ac:dyDescent="0.35">
      <c r="A1016" t="s">
        <v>1026</v>
      </c>
      <c r="B1016">
        <v>5</v>
      </c>
      <c r="C1016">
        <v>-17436740.420000002</v>
      </c>
      <c r="D1016">
        <v>0.4</v>
      </c>
      <c r="E1016">
        <v>28449191.77</v>
      </c>
      <c r="F1016">
        <v>12165877.300000001</v>
      </c>
      <c r="G1016">
        <v>4</v>
      </c>
      <c r="H1016">
        <v>2</v>
      </c>
      <c r="I1016">
        <v>3</v>
      </c>
      <c r="J1016">
        <v>3.2</v>
      </c>
      <c r="K1016" t="s">
        <v>306</v>
      </c>
    </row>
    <row r="1017" spans="1:11" x14ac:dyDescent="0.35">
      <c r="A1017" t="s">
        <v>1027</v>
      </c>
      <c r="B1017">
        <v>5</v>
      </c>
      <c r="C1017">
        <v>-19268977.34</v>
      </c>
      <c r="D1017">
        <v>0</v>
      </c>
      <c r="E1017">
        <v>27366093.129999999</v>
      </c>
      <c r="F1017">
        <v>18161466</v>
      </c>
      <c r="G1017">
        <v>4</v>
      </c>
      <c r="H1017">
        <v>2</v>
      </c>
      <c r="I1017">
        <v>3</v>
      </c>
      <c r="J1017">
        <v>3.2</v>
      </c>
      <c r="K1017" t="s">
        <v>306</v>
      </c>
    </row>
    <row r="1018" spans="1:11" x14ac:dyDescent="0.35">
      <c r="A1018" t="s">
        <v>1028</v>
      </c>
      <c r="B1018">
        <v>5</v>
      </c>
      <c r="C1018">
        <v>-15338386.92</v>
      </c>
      <c r="D1018">
        <v>0.4</v>
      </c>
      <c r="E1018">
        <v>42468960.100000001</v>
      </c>
      <c r="F1018">
        <v>16698115</v>
      </c>
      <c r="G1018">
        <v>4</v>
      </c>
      <c r="H1018">
        <v>2</v>
      </c>
      <c r="I1018">
        <v>3</v>
      </c>
      <c r="J1018">
        <v>3.2</v>
      </c>
      <c r="K1018" t="s">
        <v>306</v>
      </c>
    </row>
    <row r="1019" spans="1:11" x14ac:dyDescent="0.35">
      <c r="A1019" t="s">
        <v>1029</v>
      </c>
      <c r="B1019">
        <v>5</v>
      </c>
      <c r="C1019">
        <v>-30214177.82</v>
      </c>
      <c r="D1019">
        <v>0.2</v>
      </c>
      <c r="E1019">
        <v>31745269.550000001</v>
      </c>
      <c r="F1019">
        <v>13742890.9</v>
      </c>
      <c r="G1019">
        <v>4</v>
      </c>
      <c r="H1019">
        <v>2</v>
      </c>
      <c r="I1019">
        <v>3</v>
      </c>
      <c r="J1019">
        <v>3.2</v>
      </c>
      <c r="K1019" t="s">
        <v>306</v>
      </c>
    </row>
    <row r="1020" spans="1:11" x14ac:dyDescent="0.35">
      <c r="A1020" t="s">
        <v>1030</v>
      </c>
      <c r="B1020">
        <v>5</v>
      </c>
      <c r="C1020">
        <v>-24954860.739999998</v>
      </c>
      <c r="D1020">
        <v>0.2</v>
      </c>
      <c r="E1020">
        <v>33451962.050000001</v>
      </c>
      <c r="F1020">
        <v>12673844</v>
      </c>
      <c r="G1020">
        <v>4</v>
      </c>
      <c r="H1020">
        <v>2</v>
      </c>
      <c r="I1020">
        <v>3</v>
      </c>
      <c r="J1020">
        <v>3.2</v>
      </c>
      <c r="K1020" t="s">
        <v>306</v>
      </c>
    </row>
    <row r="1021" spans="1:11" x14ac:dyDescent="0.35">
      <c r="A1021" t="s">
        <v>1031</v>
      </c>
      <c r="B1021">
        <v>5</v>
      </c>
      <c r="C1021">
        <v>-9567641.6400000006</v>
      </c>
      <c r="D1021">
        <v>0.4</v>
      </c>
      <c r="E1021">
        <v>24627715.510000002</v>
      </c>
      <c r="F1021">
        <v>12667253.199999999</v>
      </c>
      <c r="G1021">
        <v>4</v>
      </c>
      <c r="H1021">
        <v>2</v>
      </c>
      <c r="I1021">
        <v>3</v>
      </c>
      <c r="J1021">
        <v>3.2</v>
      </c>
      <c r="K1021" t="s">
        <v>306</v>
      </c>
    </row>
    <row r="1022" spans="1:11" x14ac:dyDescent="0.35">
      <c r="A1022" t="s">
        <v>1032</v>
      </c>
      <c r="B1022">
        <v>5</v>
      </c>
      <c r="C1022">
        <v>-25259077.960000001</v>
      </c>
      <c r="D1022">
        <v>0</v>
      </c>
      <c r="E1022">
        <v>12064944.84</v>
      </c>
      <c r="F1022">
        <v>27547751.800000001</v>
      </c>
      <c r="G1022">
        <v>5</v>
      </c>
      <c r="H1022">
        <v>1</v>
      </c>
      <c r="I1022">
        <v>2</v>
      </c>
      <c r="J1022">
        <v>3.2</v>
      </c>
      <c r="K1022" t="s">
        <v>306</v>
      </c>
    </row>
    <row r="1023" spans="1:11" x14ac:dyDescent="0.35">
      <c r="A1023" t="s">
        <v>1033</v>
      </c>
      <c r="B1023">
        <v>5</v>
      </c>
      <c r="C1023">
        <v>-20500350.460000001</v>
      </c>
      <c r="D1023">
        <v>0</v>
      </c>
      <c r="E1023">
        <v>10868419.01</v>
      </c>
      <c r="F1023">
        <v>28398606</v>
      </c>
      <c r="G1023">
        <v>5</v>
      </c>
      <c r="H1023">
        <v>1</v>
      </c>
      <c r="I1023">
        <v>2</v>
      </c>
      <c r="J1023">
        <v>3.2</v>
      </c>
      <c r="K1023" t="s">
        <v>306</v>
      </c>
    </row>
    <row r="1024" spans="1:11" x14ac:dyDescent="0.35">
      <c r="A1024" t="s">
        <v>1034</v>
      </c>
      <c r="B1024">
        <v>5</v>
      </c>
      <c r="C1024">
        <v>-51253089.240000002</v>
      </c>
      <c r="D1024">
        <v>0</v>
      </c>
      <c r="E1024">
        <v>12951146.08</v>
      </c>
      <c r="F1024">
        <v>27898687.600000001</v>
      </c>
      <c r="G1024">
        <v>5</v>
      </c>
      <c r="H1024">
        <v>1</v>
      </c>
      <c r="I1024">
        <v>2</v>
      </c>
      <c r="J1024">
        <v>3.2</v>
      </c>
      <c r="K1024" t="s">
        <v>306</v>
      </c>
    </row>
    <row r="1025" spans="1:11" x14ac:dyDescent="0.35">
      <c r="A1025" t="s">
        <v>1035</v>
      </c>
      <c r="B1025">
        <v>5</v>
      </c>
      <c r="C1025">
        <v>-36547983.380000003</v>
      </c>
      <c r="D1025">
        <v>0</v>
      </c>
      <c r="E1025">
        <v>14143335.050000001</v>
      </c>
      <c r="F1025">
        <v>32423267.899999999</v>
      </c>
      <c r="G1025">
        <v>5</v>
      </c>
      <c r="H1025">
        <v>1</v>
      </c>
      <c r="I1025">
        <v>2</v>
      </c>
      <c r="J1025">
        <v>3.2</v>
      </c>
      <c r="K1025" t="s">
        <v>306</v>
      </c>
    </row>
    <row r="1026" spans="1:11" x14ac:dyDescent="0.35">
      <c r="A1026" t="s">
        <v>1036</v>
      </c>
      <c r="B1026">
        <v>5</v>
      </c>
      <c r="C1026">
        <v>-53518897.18</v>
      </c>
      <c r="D1026">
        <v>0</v>
      </c>
      <c r="E1026">
        <v>13706747.609999999</v>
      </c>
      <c r="F1026">
        <v>33433697.899999999</v>
      </c>
      <c r="G1026">
        <v>5</v>
      </c>
      <c r="H1026">
        <v>1</v>
      </c>
      <c r="I1026">
        <v>2</v>
      </c>
      <c r="J1026">
        <v>3.2</v>
      </c>
      <c r="K1026" t="s">
        <v>306</v>
      </c>
    </row>
    <row r="1027" spans="1:11" x14ac:dyDescent="0.35">
      <c r="A1027" t="s">
        <v>1037</v>
      </c>
      <c r="B1027">
        <v>5</v>
      </c>
      <c r="C1027">
        <v>-17523420.219999999</v>
      </c>
      <c r="D1027">
        <v>0.4</v>
      </c>
      <c r="E1027">
        <v>34912443.350000001</v>
      </c>
      <c r="F1027">
        <v>25598763.100000001</v>
      </c>
      <c r="G1027">
        <v>4</v>
      </c>
      <c r="H1027">
        <v>2</v>
      </c>
      <c r="I1027">
        <v>3</v>
      </c>
      <c r="J1027">
        <v>3.2</v>
      </c>
      <c r="K1027" t="s">
        <v>306</v>
      </c>
    </row>
    <row r="1028" spans="1:11" x14ac:dyDescent="0.35">
      <c r="A1028" t="s">
        <v>1038</v>
      </c>
      <c r="B1028">
        <v>5</v>
      </c>
      <c r="C1028">
        <v>-13583866.279999999</v>
      </c>
      <c r="D1028">
        <v>0.2</v>
      </c>
      <c r="E1028">
        <v>18402999.809999999</v>
      </c>
      <c r="F1028">
        <v>23852221.5</v>
      </c>
      <c r="G1028">
        <v>4</v>
      </c>
      <c r="H1028">
        <v>2</v>
      </c>
      <c r="I1028">
        <v>3</v>
      </c>
      <c r="J1028">
        <v>3.2</v>
      </c>
      <c r="K1028" t="s">
        <v>306</v>
      </c>
    </row>
    <row r="1029" spans="1:11" x14ac:dyDescent="0.35">
      <c r="A1029" t="s">
        <v>1039</v>
      </c>
      <c r="B1029">
        <v>5</v>
      </c>
      <c r="C1029">
        <v>4973744.1399999997</v>
      </c>
      <c r="D1029">
        <v>0.4</v>
      </c>
      <c r="E1029">
        <v>23452794.579999998</v>
      </c>
      <c r="F1029">
        <v>23734309.5</v>
      </c>
      <c r="G1029">
        <v>4</v>
      </c>
      <c r="H1029">
        <v>2</v>
      </c>
      <c r="I1029">
        <v>3</v>
      </c>
      <c r="J1029">
        <v>3.2</v>
      </c>
      <c r="K1029" t="s">
        <v>306</v>
      </c>
    </row>
    <row r="1030" spans="1:11" x14ac:dyDescent="0.35">
      <c r="A1030" t="s">
        <v>1040</v>
      </c>
      <c r="B1030">
        <v>5</v>
      </c>
      <c r="C1030">
        <v>-72648844.239999995</v>
      </c>
      <c r="D1030">
        <v>0</v>
      </c>
      <c r="E1030">
        <v>25888506.949999999</v>
      </c>
      <c r="F1030">
        <v>21215480.399999999</v>
      </c>
      <c r="G1030">
        <v>4</v>
      </c>
      <c r="H1030">
        <v>2</v>
      </c>
      <c r="I1030">
        <v>3</v>
      </c>
      <c r="J1030">
        <v>3.2</v>
      </c>
      <c r="K1030" t="s">
        <v>306</v>
      </c>
    </row>
    <row r="1031" spans="1:11" x14ac:dyDescent="0.35">
      <c r="A1031" t="s">
        <v>1041</v>
      </c>
      <c r="B1031">
        <v>5</v>
      </c>
      <c r="C1031">
        <v>412457742.60000002</v>
      </c>
      <c r="D1031">
        <v>0.8</v>
      </c>
      <c r="E1031">
        <v>625508151.5</v>
      </c>
      <c r="F1031">
        <v>212505962.19999999</v>
      </c>
      <c r="G1031">
        <v>3</v>
      </c>
      <c r="H1031">
        <v>5</v>
      </c>
      <c r="I1031">
        <v>1</v>
      </c>
      <c r="J1031">
        <v>3.2</v>
      </c>
      <c r="K1031" t="s">
        <v>306</v>
      </c>
    </row>
    <row r="1032" spans="1:11" x14ac:dyDescent="0.35">
      <c r="A1032" t="s">
        <v>1042</v>
      </c>
      <c r="B1032">
        <v>5</v>
      </c>
      <c r="C1032">
        <v>-165043557.30000001</v>
      </c>
      <c r="D1032">
        <v>0.8</v>
      </c>
      <c r="E1032">
        <v>1376059093</v>
      </c>
      <c r="F1032">
        <v>215565649.69999999</v>
      </c>
      <c r="G1032">
        <v>3</v>
      </c>
      <c r="H1032">
        <v>5</v>
      </c>
      <c r="I1032">
        <v>1</v>
      </c>
      <c r="J1032">
        <v>3.2</v>
      </c>
      <c r="K1032" t="s">
        <v>306</v>
      </c>
    </row>
    <row r="1033" spans="1:11" x14ac:dyDescent="0.35">
      <c r="A1033" t="s">
        <v>1043</v>
      </c>
      <c r="B1033">
        <v>5</v>
      </c>
      <c r="C1033">
        <v>115709213.40000001</v>
      </c>
      <c r="D1033">
        <v>0.8</v>
      </c>
      <c r="E1033">
        <v>465170430.10000002</v>
      </c>
      <c r="F1033">
        <v>213774215</v>
      </c>
      <c r="G1033">
        <v>3</v>
      </c>
      <c r="H1033">
        <v>5</v>
      </c>
      <c r="I1033">
        <v>1</v>
      </c>
      <c r="J1033">
        <v>3.2</v>
      </c>
      <c r="K1033" t="s">
        <v>306</v>
      </c>
    </row>
    <row r="1034" spans="1:11" x14ac:dyDescent="0.35">
      <c r="A1034" t="s">
        <v>1044</v>
      </c>
      <c r="B1034">
        <v>5</v>
      </c>
      <c r="C1034">
        <v>-25905439.98</v>
      </c>
      <c r="D1034">
        <v>0.8</v>
      </c>
      <c r="E1034">
        <v>415672646.39999998</v>
      </c>
      <c r="F1034">
        <v>246154937.40000001</v>
      </c>
      <c r="G1034">
        <v>3</v>
      </c>
      <c r="H1034">
        <v>5</v>
      </c>
      <c r="I1034">
        <v>1</v>
      </c>
      <c r="J1034">
        <v>3.2</v>
      </c>
      <c r="K1034" t="s">
        <v>306</v>
      </c>
    </row>
    <row r="1035" spans="1:11" x14ac:dyDescent="0.35">
      <c r="A1035" t="s">
        <v>1045</v>
      </c>
      <c r="B1035">
        <v>5</v>
      </c>
      <c r="C1035">
        <v>108569843.90000001</v>
      </c>
      <c r="D1035">
        <v>0.8</v>
      </c>
      <c r="E1035">
        <v>446917243.39999998</v>
      </c>
      <c r="F1035">
        <v>274984637.39999998</v>
      </c>
      <c r="G1035">
        <v>3</v>
      </c>
      <c r="H1035">
        <v>5</v>
      </c>
      <c r="I1035">
        <v>1</v>
      </c>
      <c r="J1035">
        <v>3.2</v>
      </c>
      <c r="K1035" t="s">
        <v>306</v>
      </c>
    </row>
    <row r="1036" spans="1:11" x14ac:dyDescent="0.35">
      <c r="A1036" t="s">
        <v>1046</v>
      </c>
      <c r="B1036">
        <v>5</v>
      </c>
      <c r="C1036">
        <v>652015885.39999998</v>
      </c>
      <c r="D1036">
        <v>0.8</v>
      </c>
      <c r="E1036">
        <v>418420475</v>
      </c>
      <c r="F1036">
        <v>292546841.69999999</v>
      </c>
      <c r="G1036">
        <v>3</v>
      </c>
      <c r="H1036">
        <v>5</v>
      </c>
      <c r="I1036">
        <v>1</v>
      </c>
      <c r="J1036">
        <v>3.2</v>
      </c>
      <c r="K1036" t="s">
        <v>306</v>
      </c>
    </row>
    <row r="1037" spans="1:11" x14ac:dyDescent="0.35">
      <c r="A1037" t="s">
        <v>1047</v>
      </c>
      <c r="B1037">
        <v>5</v>
      </c>
      <c r="C1037">
        <v>96955666.980000004</v>
      </c>
      <c r="D1037">
        <v>0.6</v>
      </c>
      <c r="E1037">
        <v>364873825.39999998</v>
      </c>
      <c r="F1037">
        <v>288344606.10000002</v>
      </c>
      <c r="G1037">
        <v>3</v>
      </c>
      <c r="H1037">
        <v>5</v>
      </c>
      <c r="I1037">
        <v>1</v>
      </c>
      <c r="J1037">
        <v>3.2</v>
      </c>
      <c r="K1037" t="s">
        <v>306</v>
      </c>
    </row>
    <row r="1038" spans="1:11" x14ac:dyDescent="0.35">
      <c r="A1038" t="s">
        <v>1048</v>
      </c>
      <c r="B1038">
        <v>5</v>
      </c>
      <c r="C1038">
        <v>607735666.89999998</v>
      </c>
      <c r="D1038">
        <v>0.8</v>
      </c>
      <c r="E1038">
        <v>803803577.20000005</v>
      </c>
      <c r="F1038">
        <v>284202976.60000002</v>
      </c>
      <c r="G1038">
        <v>3</v>
      </c>
      <c r="H1038">
        <v>5</v>
      </c>
      <c r="I1038">
        <v>1</v>
      </c>
      <c r="J1038">
        <v>3.2</v>
      </c>
      <c r="K1038" t="s">
        <v>306</v>
      </c>
    </row>
    <row r="1039" spans="1:11" x14ac:dyDescent="0.35">
      <c r="A1039" t="s">
        <v>1049</v>
      </c>
      <c r="B1039">
        <v>5</v>
      </c>
      <c r="C1039">
        <v>104499528.40000001</v>
      </c>
      <c r="D1039">
        <v>0.8</v>
      </c>
      <c r="E1039">
        <v>792278343</v>
      </c>
      <c r="F1039">
        <v>327609564.30000001</v>
      </c>
      <c r="G1039">
        <v>3</v>
      </c>
      <c r="H1039">
        <v>5</v>
      </c>
      <c r="I1039">
        <v>1</v>
      </c>
      <c r="J1039">
        <v>3.2</v>
      </c>
      <c r="K1039" t="s">
        <v>306</v>
      </c>
    </row>
    <row r="1040" spans="1:11" x14ac:dyDescent="0.35">
      <c r="A1040" t="s">
        <v>1050</v>
      </c>
      <c r="B1040">
        <v>5</v>
      </c>
      <c r="C1040">
        <v>291567742.5</v>
      </c>
      <c r="D1040">
        <v>0.8</v>
      </c>
      <c r="E1040">
        <v>418096139</v>
      </c>
      <c r="F1040">
        <v>434961151.80000001</v>
      </c>
      <c r="G1040">
        <v>3</v>
      </c>
      <c r="H1040">
        <v>5</v>
      </c>
      <c r="I1040">
        <v>1</v>
      </c>
      <c r="J1040">
        <v>3.2</v>
      </c>
      <c r="K1040" t="s">
        <v>306</v>
      </c>
    </row>
    <row r="1041" spans="1:11" x14ac:dyDescent="0.35">
      <c r="A1041" t="s">
        <v>1051</v>
      </c>
      <c r="B1041">
        <v>5</v>
      </c>
      <c r="C1041">
        <v>7127194564</v>
      </c>
      <c r="D1041">
        <v>0.6</v>
      </c>
      <c r="E1041">
        <v>12959488324</v>
      </c>
      <c r="F1041">
        <v>378523156</v>
      </c>
      <c r="G1041">
        <v>3</v>
      </c>
      <c r="H1041">
        <v>5</v>
      </c>
      <c r="I1041">
        <v>1</v>
      </c>
      <c r="J1041">
        <v>3.2</v>
      </c>
      <c r="K1041" t="s">
        <v>306</v>
      </c>
    </row>
    <row r="1042" spans="1:11" x14ac:dyDescent="0.35">
      <c r="A1042" t="s">
        <v>1052</v>
      </c>
      <c r="B1042">
        <v>5</v>
      </c>
      <c r="C1042">
        <v>3478851993</v>
      </c>
      <c r="D1042">
        <v>0.8</v>
      </c>
      <c r="E1042">
        <v>2450284570</v>
      </c>
      <c r="F1042">
        <v>374762621</v>
      </c>
      <c r="G1042">
        <v>3</v>
      </c>
      <c r="H1042">
        <v>5</v>
      </c>
      <c r="I1042">
        <v>1</v>
      </c>
      <c r="J1042">
        <v>3.2</v>
      </c>
      <c r="K1042" t="s">
        <v>306</v>
      </c>
    </row>
    <row r="1043" spans="1:11" x14ac:dyDescent="0.35">
      <c r="A1043" t="s">
        <v>1053</v>
      </c>
      <c r="B1043">
        <v>5</v>
      </c>
      <c r="C1043">
        <v>-305189194.89999998</v>
      </c>
      <c r="D1043">
        <v>0.6</v>
      </c>
      <c r="E1043">
        <v>944774684.79999995</v>
      </c>
      <c r="F1043">
        <v>508448587.69999999</v>
      </c>
      <c r="G1043">
        <v>3</v>
      </c>
      <c r="H1043">
        <v>5</v>
      </c>
      <c r="I1043">
        <v>1</v>
      </c>
      <c r="J1043">
        <v>3.2</v>
      </c>
      <c r="K1043" t="s">
        <v>306</v>
      </c>
    </row>
    <row r="1044" spans="1:11" x14ac:dyDescent="0.35">
      <c r="A1044" t="s">
        <v>1054</v>
      </c>
      <c r="B1044">
        <v>5</v>
      </c>
      <c r="C1044">
        <v>144161812.30000001</v>
      </c>
      <c r="D1044">
        <v>0.6</v>
      </c>
      <c r="E1044">
        <v>331227693.39999998</v>
      </c>
      <c r="F1044">
        <v>529711420.69999999</v>
      </c>
      <c r="G1044">
        <v>3</v>
      </c>
      <c r="H1044">
        <v>5</v>
      </c>
      <c r="I1044">
        <v>1</v>
      </c>
      <c r="J1044">
        <v>3.2</v>
      </c>
      <c r="K1044" t="s">
        <v>306</v>
      </c>
    </row>
    <row r="1045" spans="1:11" x14ac:dyDescent="0.35">
      <c r="A1045" t="s">
        <v>1055</v>
      </c>
      <c r="B1045">
        <v>5</v>
      </c>
      <c r="C1045">
        <v>209845781.69999999</v>
      </c>
      <c r="D1045">
        <v>0.6</v>
      </c>
      <c r="E1045">
        <v>349847403.19999999</v>
      </c>
      <c r="F1045">
        <v>495569770.80000001</v>
      </c>
      <c r="G1045">
        <v>3</v>
      </c>
      <c r="H1045">
        <v>5</v>
      </c>
      <c r="I1045">
        <v>1</v>
      </c>
      <c r="J1045">
        <v>3.2</v>
      </c>
      <c r="K1045" t="s">
        <v>306</v>
      </c>
    </row>
    <row r="1046" spans="1:11" x14ac:dyDescent="0.35">
      <c r="A1046" t="s">
        <v>1056</v>
      </c>
      <c r="B1046">
        <v>5</v>
      </c>
      <c r="C1046">
        <v>412052877.89999998</v>
      </c>
      <c r="D1046">
        <v>0.6</v>
      </c>
      <c r="E1046">
        <v>962214319.70000005</v>
      </c>
      <c r="F1046">
        <v>455966647.39999998</v>
      </c>
      <c r="G1046">
        <v>3</v>
      </c>
      <c r="H1046">
        <v>5</v>
      </c>
      <c r="I1046">
        <v>1</v>
      </c>
      <c r="J1046">
        <v>3.2</v>
      </c>
      <c r="K1046" t="s">
        <v>306</v>
      </c>
    </row>
    <row r="1047" spans="1:11" x14ac:dyDescent="0.35">
      <c r="A1047" t="s">
        <v>1057</v>
      </c>
      <c r="B1047">
        <v>5</v>
      </c>
      <c r="C1047">
        <v>357402945.60000002</v>
      </c>
      <c r="D1047">
        <v>0.8</v>
      </c>
      <c r="E1047">
        <v>333961766.39999998</v>
      </c>
      <c r="F1047">
        <v>457396831.5</v>
      </c>
      <c r="G1047">
        <v>3</v>
      </c>
      <c r="H1047">
        <v>5</v>
      </c>
      <c r="I1047">
        <v>1</v>
      </c>
      <c r="J1047">
        <v>3.2</v>
      </c>
      <c r="K1047" t="s">
        <v>306</v>
      </c>
    </row>
    <row r="1048" spans="1:11" x14ac:dyDescent="0.35">
      <c r="A1048" t="s">
        <v>1058</v>
      </c>
      <c r="B1048">
        <v>5</v>
      </c>
      <c r="C1048">
        <v>-222683253.09999999</v>
      </c>
      <c r="D1048">
        <v>0.6</v>
      </c>
      <c r="E1048">
        <v>394482403.10000002</v>
      </c>
      <c r="F1048">
        <v>554499652.89999998</v>
      </c>
      <c r="G1048">
        <v>3</v>
      </c>
      <c r="H1048">
        <v>5</v>
      </c>
      <c r="I1048">
        <v>1</v>
      </c>
      <c r="J1048">
        <v>3.2</v>
      </c>
      <c r="K1048" t="s">
        <v>306</v>
      </c>
    </row>
    <row r="1049" spans="1:11" x14ac:dyDescent="0.35">
      <c r="A1049" t="s">
        <v>1059</v>
      </c>
      <c r="B1049">
        <v>5</v>
      </c>
      <c r="C1049">
        <v>-3657763.38</v>
      </c>
      <c r="D1049">
        <v>0.6</v>
      </c>
      <c r="E1049">
        <v>448226944.69999999</v>
      </c>
      <c r="F1049">
        <v>543153106.29999995</v>
      </c>
      <c r="G1049">
        <v>3</v>
      </c>
      <c r="H1049">
        <v>5</v>
      </c>
      <c r="I1049">
        <v>1</v>
      </c>
      <c r="J1049">
        <v>3.2</v>
      </c>
      <c r="K1049" t="s">
        <v>306</v>
      </c>
    </row>
    <row r="1050" spans="1:11" x14ac:dyDescent="0.35">
      <c r="A1050" t="s">
        <v>1060</v>
      </c>
      <c r="B1050">
        <v>5</v>
      </c>
      <c r="C1050">
        <v>131010618</v>
      </c>
      <c r="D1050">
        <v>0.6</v>
      </c>
      <c r="E1050">
        <v>1281099013</v>
      </c>
      <c r="F1050">
        <v>541368125.29999995</v>
      </c>
      <c r="G1050">
        <v>3</v>
      </c>
      <c r="H1050">
        <v>5</v>
      </c>
      <c r="I1050">
        <v>1</v>
      </c>
      <c r="J1050">
        <v>3.2</v>
      </c>
      <c r="K1050" t="s">
        <v>306</v>
      </c>
    </row>
    <row r="1051" spans="1:11" x14ac:dyDescent="0.35">
      <c r="A1051" t="s">
        <v>1061</v>
      </c>
      <c r="B1051">
        <v>5</v>
      </c>
      <c r="C1051">
        <v>522077542.80000001</v>
      </c>
      <c r="D1051">
        <v>0.8</v>
      </c>
      <c r="E1051">
        <v>467279775</v>
      </c>
      <c r="F1051">
        <v>633582771.70000005</v>
      </c>
      <c r="G1051">
        <v>3</v>
      </c>
      <c r="H1051">
        <v>5</v>
      </c>
      <c r="I1051">
        <v>1</v>
      </c>
      <c r="J1051">
        <v>3.2</v>
      </c>
      <c r="K1051" t="s">
        <v>306</v>
      </c>
    </row>
    <row r="1052" spans="1:11" x14ac:dyDescent="0.35">
      <c r="A1052" t="s">
        <v>1062</v>
      </c>
      <c r="B1052">
        <v>5</v>
      </c>
      <c r="C1052">
        <v>363032659.19999999</v>
      </c>
      <c r="D1052">
        <v>0.8</v>
      </c>
      <c r="E1052">
        <v>353374625</v>
      </c>
      <c r="F1052">
        <v>610453785</v>
      </c>
      <c r="G1052">
        <v>3</v>
      </c>
      <c r="H1052">
        <v>5</v>
      </c>
      <c r="I1052">
        <v>1</v>
      </c>
      <c r="J1052">
        <v>3.2</v>
      </c>
      <c r="K1052" t="s">
        <v>306</v>
      </c>
    </row>
    <row r="1053" spans="1:11" x14ac:dyDescent="0.35">
      <c r="A1053" t="s">
        <v>1063</v>
      </c>
      <c r="B1053">
        <v>5</v>
      </c>
      <c r="C1053">
        <v>311783700.69999999</v>
      </c>
      <c r="D1053">
        <v>0.6</v>
      </c>
      <c r="E1053">
        <v>357569584.19999999</v>
      </c>
      <c r="F1053">
        <v>598516800.29999995</v>
      </c>
      <c r="G1053">
        <v>3</v>
      </c>
      <c r="H1053">
        <v>5</v>
      </c>
      <c r="I1053">
        <v>1</v>
      </c>
      <c r="J1053">
        <v>3.2</v>
      </c>
      <c r="K1053" t="s">
        <v>306</v>
      </c>
    </row>
    <row r="1054" spans="1:11" x14ac:dyDescent="0.35">
      <c r="A1054" t="s">
        <v>1064</v>
      </c>
      <c r="B1054">
        <v>5</v>
      </c>
      <c r="C1054">
        <v>-509799435.60000002</v>
      </c>
      <c r="D1054">
        <v>0.4</v>
      </c>
      <c r="E1054">
        <v>1085936374</v>
      </c>
      <c r="F1054">
        <v>593793420.60000002</v>
      </c>
      <c r="G1054">
        <v>3</v>
      </c>
      <c r="H1054">
        <v>5</v>
      </c>
      <c r="I1054">
        <v>1</v>
      </c>
      <c r="J1054">
        <v>3.2</v>
      </c>
      <c r="K1054" t="s">
        <v>306</v>
      </c>
    </row>
    <row r="1055" spans="1:11" x14ac:dyDescent="0.35">
      <c r="A1055" t="s">
        <v>1065</v>
      </c>
      <c r="B1055">
        <v>5</v>
      </c>
      <c r="C1055">
        <v>212439837.19999999</v>
      </c>
      <c r="D1055">
        <v>0.6</v>
      </c>
      <c r="E1055">
        <v>828033570.70000005</v>
      </c>
      <c r="F1055">
        <v>676532402.70000005</v>
      </c>
      <c r="G1055">
        <v>3</v>
      </c>
      <c r="H1055">
        <v>5</v>
      </c>
      <c r="I1055">
        <v>1</v>
      </c>
      <c r="J1055">
        <v>3.2</v>
      </c>
      <c r="K1055" t="s">
        <v>306</v>
      </c>
    </row>
    <row r="1056" spans="1:11" x14ac:dyDescent="0.35">
      <c r="A1056" t="s">
        <v>1066</v>
      </c>
      <c r="B1056">
        <v>5</v>
      </c>
      <c r="C1056">
        <v>228925836.80000001</v>
      </c>
      <c r="D1056">
        <v>0.6</v>
      </c>
      <c r="E1056">
        <v>1427238992</v>
      </c>
      <c r="F1056">
        <v>667339052.39999998</v>
      </c>
      <c r="G1056">
        <v>3</v>
      </c>
      <c r="H1056">
        <v>5</v>
      </c>
      <c r="I1056">
        <v>1</v>
      </c>
      <c r="J1056">
        <v>3.2</v>
      </c>
      <c r="K1056" t="s">
        <v>306</v>
      </c>
    </row>
    <row r="1057" spans="1:11" x14ac:dyDescent="0.35">
      <c r="A1057" t="s">
        <v>1067</v>
      </c>
      <c r="B1057">
        <v>5</v>
      </c>
      <c r="C1057">
        <v>908079918.10000002</v>
      </c>
      <c r="D1057">
        <v>0.8</v>
      </c>
      <c r="E1057">
        <v>788397128.20000005</v>
      </c>
      <c r="F1057">
        <v>655064303.10000002</v>
      </c>
      <c r="G1057">
        <v>3</v>
      </c>
      <c r="H1057">
        <v>5</v>
      </c>
      <c r="I1057">
        <v>1</v>
      </c>
      <c r="J1057">
        <v>3.2</v>
      </c>
      <c r="K1057" t="s">
        <v>306</v>
      </c>
    </row>
    <row r="1058" spans="1:11" x14ac:dyDescent="0.35">
      <c r="A1058" t="s">
        <v>1068</v>
      </c>
      <c r="B1058">
        <v>5</v>
      </c>
      <c r="C1058">
        <v>805047622.10000002</v>
      </c>
      <c r="D1058">
        <v>0.8</v>
      </c>
      <c r="E1058">
        <v>547620141.70000005</v>
      </c>
      <c r="F1058">
        <v>734874323.89999998</v>
      </c>
      <c r="G1058">
        <v>3</v>
      </c>
      <c r="H1058">
        <v>5</v>
      </c>
      <c r="I1058">
        <v>1</v>
      </c>
      <c r="J1058">
        <v>3.2</v>
      </c>
      <c r="K1058" t="s">
        <v>306</v>
      </c>
    </row>
    <row r="1059" spans="1:11" x14ac:dyDescent="0.35">
      <c r="A1059" t="s">
        <v>1069</v>
      </c>
      <c r="B1059">
        <v>5</v>
      </c>
      <c r="C1059">
        <v>134702167</v>
      </c>
      <c r="D1059">
        <v>0.6</v>
      </c>
      <c r="E1059">
        <v>451126299.19999999</v>
      </c>
      <c r="F1059">
        <v>718780343.70000005</v>
      </c>
      <c r="G1059">
        <v>3</v>
      </c>
      <c r="H1059">
        <v>5</v>
      </c>
      <c r="I1059">
        <v>1</v>
      </c>
      <c r="J1059">
        <v>3.2</v>
      </c>
      <c r="K1059" t="s">
        <v>306</v>
      </c>
    </row>
    <row r="1060" spans="1:11" x14ac:dyDescent="0.35">
      <c r="A1060" t="s">
        <v>1070</v>
      </c>
      <c r="B1060">
        <v>5</v>
      </c>
      <c r="C1060">
        <v>348071305.5</v>
      </c>
      <c r="D1060">
        <v>0.8</v>
      </c>
      <c r="E1060">
        <v>1194711091</v>
      </c>
      <c r="F1060">
        <v>683414075.5</v>
      </c>
      <c r="G1060">
        <v>3</v>
      </c>
      <c r="H1060">
        <v>5</v>
      </c>
      <c r="I1060">
        <v>1</v>
      </c>
      <c r="J1060">
        <v>3.2</v>
      </c>
      <c r="K1060" t="s">
        <v>306</v>
      </c>
    </row>
    <row r="1061" spans="1:11" x14ac:dyDescent="0.35">
      <c r="A1061" t="s">
        <v>1071</v>
      </c>
      <c r="B1061">
        <v>5</v>
      </c>
      <c r="C1061">
        <v>419491609.30000001</v>
      </c>
      <c r="D1061">
        <v>0.8</v>
      </c>
      <c r="E1061">
        <v>456831561.19999999</v>
      </c>
      <c r="F1061">
        <v>938247014.5</v>
      </c>
      <c r="G1061">
        <v>3</v>
      </c>
      <c r="H1061">
        <v>5</v>
      </c>
      <c r="I1061">
        <v>1</v>
      </c>
      <c r="J1061">
        <v>3.2</v>
      </c>
      <c r="K1061" t="s">
        <v>306</v>
      </c>
    </row>
    <row r="1062" spans="1:11" x14ac:dyDescent="0.35">
      <c r="A1062" t="s">
        <v>1072</v>
      </c>
      <c r="B1062">
        <v>5</v>
      </c>
      <c r="C1062">
        <v>65768840.719999999</v>
      </c>
      <c r="D1062">
        <v>0.6</v>
      </c>
      <c r="E1062">
        <v>1244263374</v>
      </c>
      <c r="F1062">
        <v>934259458.39999998</v>
      </c>
      <c r="G1062">
        <v>3</v>
      </c>
      <c r="H1062">
        <v>5</v>
      </c>
      <c r="I1062">
        <v>1</v>
      </c>
      <c r="J1062">
        <v>3.2</v>
      </c>
      <c r="K1062" t="s">
        <v>306</v>
      </c>
    </row>
    <row r="1063" spans="1:11" x14ac:dyDescent="0.35">
      <c r="A1063" t="s">
        <v>1073</v>
      </c>
      <c r="B1063">
        <v>5</v>
      </c>
      <c r="C1063">
        <v>1429614786</v>
      </c>
      <c r="D1063">
        <v>0.8</v>
      </c>
      <c r="E1063">
        <v>1436475327</v>
      </c>
      <c r="F1063">
        <v>988513790</v>
      </c>
      <c r="G1063">
        <v>3</v>
      </c>
      <c r="H1063">
        <v>5</v>
      </c>
      <c r="I1063">
        <v>1</v>
      </c>
      <c r="J1063">
        <v>3.2</v>
      </c>
      <c r="K1063" t="s">
        <v>306</v>
      </c>
    </row>
    <row r="1064" spans="1:11" x14ac:dyDescent="0.35">
      <c r="A1064" t="s">
        <v>1074</v>
      </c>
      <c r="B1064">
        <v>5</v>
      </c>
      <c r="C1064">
        <v>204843813</v>
      </c>
      <c r="D1064">
        <v>0.6</v>
      </c>
      <c r="E1064">
        <v>751523693.70000005</v>
      </c>
      <c r="F1064">
        <v>972404602.29999995</v>
      </c>
      <c r="G1064">
        <v>3</v>
      </c>
      <c r="H1064">
        <v>5</v>
      </c>
      <c r="I1064">
        <v>1</v>
      </c>
      <c r="J1064">
        <v>3.2</v>
      </c>
      <c r="K1064" t="s">
        <v>306</v>
      </c>
    </row>
    <row r="1065" spans="1:11" x14ac:dyDescent="0.35">
      <c r="A1065" t="s">
        <v>1075</v>
      </c>
      <c r="B1065">
        <v>5</v>
      </c>
      <c r="C1065">
        <v>316504808.80000001</v>
      </c>
      <c r="D1065">
        <v>0.6</v>
      </c>
      <c r="E1065">
        <v>399585999</v>
      </c>
      <c r="F1065">
        <v>963414258.70000005</v>
      </c>
      <c r="G1065">
        <v>3</v>
      </c>
      <c r="H1065">
        <v>5</v>
      </c>
      <c r="I1065">
        <v>1</v>
      </c>
      <c r="J1065">
        <v>3.2</v>
      </c>
      <c r="K1065" t="s">
        <v>306</v>
      </c>
    </row>
    <row r="1066" spans="1:11" x14ac:dyDescent="0.35">
      <c r="A1066" t="s">
        <v>1076</v>
      </c>
      <c r="B1066">
        <v>5</v>
      </c>
      <c r="C1066">
        <v>4628070116</v>
      </c>
      <c r="D1066">
        <v>0.8</v>
      </c>
      <c r="E1066">
        <v>5911570887</v>
      </c>
      <c r="F1066">
        <v>956609188</v>
      </c>
      <c r="G1066">
        <v>3</v>
      </c>
      <c r="H1066">
        <v>5</v>
      </c>
      <c r="I1066">
        <v>1</v>
      </c>
      <c r="J1066">
        <v>3.2</v>
      </c>
      <c r="K1066" t="s">
        <v>306</v>
      </c>
    </row>
    <row r="1067" spans="1:11" x14ac:dyDescent="0.35">
      <c r="A1067" t="s">
        <v>1077</v>
      </c>
      <c r="B1067">
        <v>5</v>
      </c>
      <c r="C1067">
        <v>541651660.70000005</v>
      </c>
      <c r="D1067">
        <v>0.8</v>
      </c>
      <c r="E1067">
        <v>2143409717</v>
      </c>
      <c r="F1067">
        <v>873425747.60000002</v>
      </c>
      <c r="G1067">
        <v>3</v>
      </c>
      <c r="H1067">
        <v>5</v>
      </c>
      <c r="I1067">
        <v>1</v>
      </c>
      <c r="J1067">
        <v>3.2</v>
      </c>
      <c r="K1067" t="s">
        <v>306</v>
      </c>
    </row>
    <row r="1068" spans="1:11" x14ac:dyDescent="0.35">
      <c r="A1068" t="s">
        <v>1078</v>
      </c>
      <c r="B1068">
        <v>5</v>
      </c>
      <c r="C1068">
        <v>450025392.5</v>
      </c>
      <c r="D1068">
        <v>0.8</v>
      </c>
      <c r="E1068">
        <v>712841203.70000005</v>
      </c>
      <c r="F1068">
        <v>786474910.39999998</v>
      </c>
      <c r="G1068">
        <v>3</v>
      </c>
      <c r="H1068">
        <v>5</v>
      </c>
      <c r="I1068">
        <v>1</v>
      </c>
      <c r="J1068">
        <v>3.2</v>
      </c>
      <c r="K1068" t="s">
        <v>306</v>
      </c>
    </row>
    <row r="1069" spans="1:11" x14ac:dyDescent="0.35">
      <c r="A1069" t="s">
        <v>1079</v>
      </c>
      <c r="B1069">
        <v>5</v>
      </c>
      <c r="C1069">
        <v>252886839.59999999</v>
      </c>
      <c r="D1069">
        <v>0.6</v>
      </c>
      <c r="E1069">
        <v>1996251179</v>
      </c>
      <c r="F1069">
        <v>775360421.20000005</v>
      </c>
      <c r="G1069">
        <v>3</v>
      </c>
      <c r="H1069">
        <v>5</v>
      </c>
      <c r="I1069">
        <v>1</v>
      </c>
      <c r="J1069">
        <v>3.2</v>
      </c>
      <c r="K1069" t="s">
        <v>306</v>
      </c>
    </row>
    <row r="1070" spans="1:11" x14ac:dyDescent="0.35">
      <c r="A1070" t="s">
        <v>1080</v>
      </c>
      <c r="B1070">
        <v>5</v>
      </c>
      <c r="C1070">
        <v>29429139.719999999</v>
      </c>
      <c r="D1070">
        <v>0.6</v>
      </c>
      <c r="E1070">
        <v>1184622142</v>
      </c>
      <c r="F1070">
        <v>2552524724</v>
      </c>
      <c r="G1070">
        <v>3</v>
      </c>
      <c r="H1070">
        <v>5</v>
      </c>
      <c r="I1070">
        <v>1</v>
      </c>
      <c r="J1070">
        <v>3.2</v>
      </c>
      <c r="K1070" t="s">
        <v>306</v>
      </c>
    </row>
    <row r="1071" spans="1:11" x14ac:dyDescent="0.35">
      <c r="A1071" t="s">
        <v>1081</v>
      </c>
      <c r="B1071">
        <v>5</v>
      </c>
      <c r="C1071">
        <v>1176304136</v>
      </c>
      <c r="D1071">
        <v>0.8</v>
      </c>
      <c r="E1071">
        <v>1628854382</v>
      </c>
      <c r="F1071">
        <v>2265488046</v>
      </c>
      <c r="G1071">
        <v>3</v>
      </c>
      <c r="H1071">
        <v>5</v>
      </c>
      <c r="I1071">
        <v>1</v>
      </c>
      <c r="J1071">
        <v>3.2</v>
      </c>
      <c r="K1071" t="s">
        <v>306</v>
      </c>
    </row>
    <row r="1072" spans="1:11" x14ac:dyDescent="0.35">
      <c r="A1072" t="s">
        <v>1082</v>
      </c>
      <c r="B1072">
        <v>5</v>
      </c>
      <c r="C1072">
        <v>555698647.70000005</v>
      </c>
      <c r="D1072">
        <v>0.6</v>
      </c>
      <c r="E1072">
        <v>1672764924</v>
      </c>
      <c r="F1072">
        <v>3033781751</v>
      </c>
      <c r="G1072">
        <v>3</v>
      </c>
      <c r="H1072">
        <v>5</v>
      </c>
      <c r="I1072">
        <v>1</v>
      </c>
      <c r="J1072">
        <v>3.2</v>
      </c>
      <c r="K1072" t="s">
        <v>306</v>
      </c>
    </row>
    <row r="1073" spans="1:11" x14ac:dyDescent="0.35">
      <c r="A1073" t="s">
        <v>1083</v>
      </c>
      <c r="B1073">
        <v>5</v>
      </c>
      <c r="C1073">
        <v>2322276489</v>
      </c>
      <c r="D1073">
        <v>0.8</v>
      </c>
      <c r="E1073">
        <v>2087792950</v>
      </c>
      <c r="F1073">
        <v>2980455182</v>
      </c>
      <c r="G1073">
        <v>3</v>
      </c>
      <c r="H1073">
        <v>5</v>
      </c>
      <c r="I1073">
        <v>1</v>
      </c>
      <c r="J1073">
        <v>3.2</v>
      </c>
      <c r="K1073" t="s">
        <v>306</v>
      </c>
    </row>
    <row r="1074" spans="1:11" x14ac:dyDescent="0.35">
      <c r="A1074" t="s">
        <v>1084</v>
      </c>
      <c r="B1074">
        <v>5</v>
      </c>
      <c r="C1074">
        <v>1078183195</v>
      </c>
      <c r="D1074">
        <v>0.8</v>
      </c>
      <c r="E1074">
        <v>3495062014</v>
      </c>
      <c r="F1074">
        <v>2915922962</v>
      </c>
      <c r="G1074">
        <v>3</v>
      </c>
      <c r="H1074">
        <v>5</v>
      </c>
      <c r="I1074">
        <v>1</v>
      </c>
      <c r="J1074">
        <v>3.2</v>
      </c>
      <c r="K1074" t="s">
        <v>306</v>
      </c>
    </row>
    <row r="1075" spans="1:11" x14ac:dyDescent="0.35">
      <c r="A1075" t="s">
        <v>1085</v>
      </c>
      <c r="B1075">
        <v>5</v>
      </c>
      <c r="C1075">
        <v>2721512146</v>
      </c>
      <c r="D1075">
        <v>0.8</v>
      </c>
      <c r="E1075">
        <v>2511743789</v>
      </c>
      <c r="F1075">
        <v>2841845718</v>
      </c>
      <c r="G1075">
        <v>3</v>
      </c>
      <c r="H1075">
        <v>5</v>
      </c>
      <c r="I1075">
        <v>1</v>
      </c>
      <c r="J1075">
        <v>3.2</v>
      </c>
      <c r="K1075" t="s">
        <v>306</v>
      </c>
    </row>
    <row r="1076" spans="1:11" x14ac:dyDescent="0.35">
      <c r="A1076" t="s">
        <v>1086</v>
      </c>
      <c r="B1076">
        <v>5</v>
      </c>
      <c r="C1076">
        <v>3042637564</v>
      </c>
      <c r="D1076">
        <v>0.8</v>
      </c>
      <c r="E1076">
        <v>7113440532</v>
      </c>
      <c r="F1076">
        <v>4270357982</v>
      </c>
      <c r="G1076">
        <v>3</v>
      </c>
      <c r="H1076">
        <v>5</v>
      </c>
      <c r="I1076">
        <v>1</v>
      </c>
      <c r="J1076">
        <v>3.2</v>
      </c>
      <c r="K1076" t="s">
        <v>306</v>
      </c>
    </row>
    <row r="1077" spans="1:11" x14ac:dyDescent="0.35">
      <c r="A1077" t="s">
        <v>1087</v>
      </c>
      <c r="B1077">
        <v>5</v>
      </c>
      <c r="C1077">
        <v>1920809970</v>
      </c>
      <c r="D1077">
        <v>0.6</v>
      </c>
      <c r="E1077">
        <v>3512410686</v>
      </c>
      <c r="F1077">
        <v>4017166466</v>
      </c>
      <c r="G1077">
        <v>3</v>
      </c>
      <c r="H1077">
        <v>5</v>
      </c>
      <c r="I1077">
        <v>1</v>
      </c>
      <c r="J1077">
        <v>3.2</v>
      </c>
      <c r="K1077" t="s">
        <v>306</v>
      </c>
    </row>
    <row r="1078" spans="1:11" x14ac:dyDescent="0.35">
      <c r="A1078" t="s">
        <v>1088</v>
      </c>
      <c r="B1078">
        <v>5</v>
      </c>
      <c r="C1078">
        <v>8502170138</v>
      </c>
      <c r="D1078">
        <v>0.8</v>
      </c>
      <c r="E1078">
        <v>7600488340</v>
      </c>
      <c r="F1078">
        <v>3996713586</v>
      </c>
      <c r="G1078">
        <v>3</v>
      </c>
      <c r="H1078">
        <v>5</v>
      </c>
      <c r="I1078">
        <v>1</v>
      </c>
      <c r="J1078">
        <v>3.2</v>
      </c>
      <c r="K1078" t="s">
        <v>306</v>
      </c>
    </row>
    <row r="1079" spans="1:11" x14ac:dyDescent="0.35">
      <c r="A1079" t="s">
        <v>1089</v>
      </c>
      <c r="B1079">
        <v>5</v>
      </c>
      <c r="C1079">
        <v>-246152976.80000001</v>
      </c>
      <c r="D1079">
        <v>0.6</v>
      </c>
      <c r="E1079">
        <v>3662454480</v>
      </c>
      <c r="F1079">
        <v>6067695338</v>
      </c>
      <c r="G1079">
        <v>3</v>
      </c>
      <c r="H1079">
        <v>5</v>
      </c>
      <c r="I1079">
        <v>1</v>
      </c>
      <c r="J1079">
        <v>3.2</v>
      </c>
      <c r="K1079" t="s">
        <v>306</v>
      </c>
    </row>
    <row r="1080" spans="1:11" x14ac:dyDescent="0.35">
      <c r="A1080" t="s">
        <v>1090</v>
      </c>
      <c r="B1080">
        <v>5</v>
      </c>
      <c r="C1080">
        <v>-1121567306</v>
      </c>
      <c r="D1080">
        <v>0.6</v>
      </c>
      <c r="E1080">
        <v>2828078871</v>
      </c>
      <c r="F1080">
        <v>6172611287</v>
      </c>
      <c r="G1080">
        <v>3</v>
      </c>
      <c r="H1080">
        <v>5</v>
      </c>
      <c r="I1080">
        <v>1</v>
      </c>
      <c r="J1080">
        <v>3.2</v>
      </c>
      <c r="K1080" t="s">
        <v>306</v>
      </c>
    </row>
    <row r="1081" spans="1:11" x14ac:dyDescent="0.35">
      <c r="A1081" t="s">
        <v>1091</v>
      </c>
      <c r="B1081">
        <v>5</v>
      </c>
      <c r="C1081">
        <v>3856371889</v>
      </c>
      <c r="D1081">
        <v>0.6</v>
      </c>
      <c r="E1081">
        <v>8330252120</v>
      </c>
      <c r="F1081">
        <v>4481867045</v>
      </c>
      <c r="G1081">
        <v>3</v>
      </c>
      <c r="H1081">
        <v>5</v>
      </c>
      <c r="I1081">
        <v>1</v>
      </c>
      <c r="J1081">
        <v>3.2</v>
      </c>
      <c r="K1081" t="s">
        <v>306</v>
      </c>
    </row>
    <row r="1082" spans="1:11" x14ac:dyDescent="0.35">
      <c r="A1082" t="s">
        <v>1092</v>
      </c>
      <c r="B1082">
        <v>5</v>
      </c>
      <c r="C1082">
        <v>4353908098</v>
      </c>
      <c r="D1082">
        <v>0.8</v>
      </c>
      <c r="E1082">
        <v>3424405655</v>
      </c>
      <c r="F1082">
        <v>4873023059</v>
      </c>
      <c r="G1082">
        <v>3</v>
      </c>
      <c r="H1082">
        <v>5</v>
      </c>
      <c r="I1082">
        <v>1</v>
      </c>
      <c r="J1082">
        <v>3.2</v>
      </c>
      <c r="K1082" t="s">
        <v>306</v>
      </c>
    </row>
    <row r="1083" spans="1:11" x14ac:dyDescent="0.35">
      <c r="A1083" t="s">
        <v>1093</v>
      </c>
      <c r="B1083">
        <v>5</v>
      </c>
      <c r="C1083">
        <v>5404835302</v>
      </c>
      <c r="D1083">
        <v>0.8</v>
      </c>
      <c r="E1083">
        <v>9824771772</v>
      </c>
      <c r="F1083">
        <v>7642366643</v>
      </c>
      <c r="G1083">
        <v>3</v>
      </c>
      <c r="H1083">
        <v>5</v>
      </c>
      <c r="I1083">
        <v>1</v>
      </c>
      <c r="J1083">
        <v>3.2</v>
      </c>
      <c r="K1083" t="s">
        <v>306</v>
      </c>
    </row>
    <row r="1084" spans="1:11" x14ac:dyDescent="0.35">
      <c r="A1084" t="s">
        <v>1094</v>
      </c>
      <c r="B1084">
        <v>5</v>
      </c>
      <c r="C1084">
        <v>57533770978</v>
      </c>
      <c r="D1084">
        <v>0.8</v>
      </c>
      <c r="E1084">
        <v>49872379340</v>
      </c>
      <c r="F1084">
        <v>10515437363</v>
      </c>
      <c r="G1084">
        <v>3</v>
      </c>
      <c r="H1084">
        <v>5</v>
      </c>
      <c r="I1084">
        <v>1</v>
      </c>
      <c r="J1084">
        <v>3.2</v>
      </c>
      <c r="K1084" t="s">
        <v>306</v>
      </c>
    </row>
    <row r="1085" spans="1:11" x14ac:dyDescent="0.35">
      <c r="A1085" t="s">
        <v>1095</v>
      </c>
      <c r="B1085">
        <v>5</v>
      </c>
      <c r="C1085">
        <v>4012280546</v>
      </c>
      <c r="D1085">
        <v>0.8</v>
      </c>
      <c r="E1085">
        <v>3676584654</v>
      </c>
      <c r="F1085">
        <v>9705344653</v>
      </c>
      <c r="G1085">
        <v>3</v>
      </c>
      <c r="H1085">
        <v>5</v>
      </c>
      <c r="I1085">
        <v>1</v>
      </c>
      <c r="J1085">
        <v>3.2</v>
      </c>
      <c r="K1085" t="s">
        <v>306</v>
      </c>
    </row>
    <row r="1086" spans="1:11" x14ac:dyDescent="0.35">
      <c r="A1086" t="s">
        <v>1096</v>
      </c>
      <c r="B1086">
        <v>5</v>
      </c>
      <c r="C1086">
        <v>1807111245</v>
      </c>
      <c r="D1086">
        <v>0.6</v>
      </c>
      <c r="E1086">
        <v>4487557397</v>
      </c>
      <c r="F1086">
        <v>8736387227</v>
      </c>
      <c r="G1086">
        <v>3</v>
      </c>
      <c r="H1086">
        <v>5</v>
      </c>
      <c r="I1086">
        <v>1</v>
      </c>
      <c r="J1086">
        <v>3.2</v>
      </c>
      <c r="K1086" t="s">
        <v>306</v>
      </c>
    </row>
    <row r="1087" spans="1:11" x14ac:dyDescent="0.35">
      <c r="A1087" t="s">
        <v>1097</v>
      </c>
      <c r="B1087">
        <v>5</v>
      </c>
      <c r="C1087">
        <v>810380000.10000002</v>
      </c>
      <c r="D1087">
        <v>0.6</v>
      </c>
      <c r="E1087">
        <v>6871232824</v>
      </c>
      <c r="F1087">
        <v>14370556417</v>
      </c>
      <c r="G1087">
        <v>3</v>
      </c>
      <c r="H1087">
        <v>5</v>
      </c>
      <c r="I1087">
        <v>1</v>
      </c>
      <c r="J1087">
        <v>3.2</v>
      </c>
      <c r="K1087" t="s">
        <v>306</v>
      </c>
    </row>
    <row r="1088" spans="1:11" x14ac:dyDescent="0.35">
      <c r="A1088" t="s">
        <v>1098</v>
      </c>
      <c r="B1088">
        <v>5</v>
      </c>
      <c r="C1088">
        <v>-2193707510</v>
      </c>
      <c r="D1088">
        <v>0.6</v>
      </c>
      <c r="E1088">
        <v>7365178788</v>
      </c>
      <c r="F1088">
        <v>13975779122</v>
      </c>
      <c r="G1088">
        <v>3</v>
      </c>
      <c r="H1088">
        <v>5</v>
      </c>
      <c r="I1088">
        <v>1</v>
      </c>
      <c r="J1088">
        <v>3.2</v>
      </c>
      <c r="K1088" t="s">
        <v>306</v>
      </c>
    </row>
    <row r="1089" spans="1:11" x14ac:dyDescent="0.35">
      <c r="A1089" t="s">
        <v>1099</v>
      </c>
      <c r="B1089">
        <v>5</v>
      </c>
      <c r="C1089">
        <v>18573422683</v>
      </c>
      <c r="D1089">
        <v>0.8</v>
      </c>
      <c r="E1089">
        <v>14337006345</v>
      </c>
      <c r="F1089">
        <v>18800995500</v>
      </c>
      <c r="G1089">
        <v>3</v>
      </c>
      <c r="H1089">
        <v>5</v>
      </c>
      <c r="I1089">
        <v>1</v>
      </c>
      <c r="J1089">
        <v>3.2</v>
      </c>
      <c r="K1089" t="s">
        <v>306</v>
      </c>
    </row>
    <row r="1090" spans="1:11" x14ac:dyDescent="0.35">
      <c r="A1090" t="s">
        <v>1100</v>
      </c>
      <c r="B1090">
        <v>5</v>
      </c>
      <c r="C1090">
        <v>13514680870</v>
      </c>
      <c r="D1090">
        <v>0.8</v>
      </c>
      <c r="E1090">
        <v>15398390026</v>
      </c>
      <c r="F1090">
        <v>17512013267</v>
      </c>
      <c r="G1090">
        <v>3</v>
      </c>
      <c r="H1090">
        <v>5</v>
      </c>
      <c r="I1090">
        <v>1</v>
      </c>
      <c r="J1090">
        <v>3.2</v>
      </c>
      <c r="K1090" t="s">
        <v>306</v>
      </c>
    </row>
    <row r="1091" spans="1:11" x14ac:dyDescent="0.35">
      <c r="A1091" t="s">
        <v>1101</v>
      </c>
      <c r="B1091">
        <v>5</v>
      </c>
      <c r="C1091">
        <v>723197580.39999998</v>
      </c>
      <c r="D1091">
        <v>0.8</v>
      </c>
      <c r="E1091">
        <v>1862528576</v>
      </c>
      <c r="F1091">
        <v>1580637159</v>
      </c>
      <c r="G1091">
        <v>3</v>
      </c>
      <c r="H1091">
        <v>5</v>
      </c>
      <c r="I1091">
        <v>1</v>
      </c>
      <c r="J1091">
        <v>3.2</v>
      </c>
      <c r="K1091" t="s">
        <v>306</v>
      </c>
    </row>
    <row r="1092" spans="1:11" x14ac:dyDescent="0.35">
      <c r="A1092" t="s">
        <v>1102</v>
      </c>
      <c r="B1092">
        <v>5</v>
      </c>
      <c r="C1092">
        <v>669244458.79999995</v>
      </c>
      <c r="D1092">
        <v>0.8</v>
      </c>
      <c r="E1092">
        <v>1026423446</v>
      </c>
      <c r="F1092">
        <v>1718239141</v>
      </c>
      <c r="G1092">
        <v>3</v>
      </c>
      <c r="H1092">
        <v>5</v>
      </c>
      <c r="I1092">
        <v>1</v>
      </c>
      <c r="J1092">
        <v>3.2</v>
      </c>
      <c r="K1092" t="s">
        <v>306</v>
      </c>
    </row>
    <row r="1093" spans="1:11" x14ac:dyDescent="0.35">
      <c r="A1093" t="s">
        <v>1103</v>
      </c>
      <c r="B1093">
        <v>5</v>
      </c>
      <c r="C1093">
        <v>722407316.20000005</v>
      </c>
      <c r="D1093">
        <v>0.4</v>
      </c>
      <c r="E1093">
        <v>1055401558</v>
      </c>
      <c r="F1093">
        <v>1678329734</v>
      </c>
      <c r="G1093">
        <v>3</v>
      </c>
      <c r="H1093">
        <v>5</v>
      </c>
      <c r="I1093">
        <v>1</v>
      </c>
      <c r="J1093">
        <v>3.2</v>
      </c>
      <c r="K1093" t="s">
        <v>306</v>
      </c>
    </row>
    <row r="1094" spans="1:11" x14ac:dyDescent="0.35">
      <c r="A1094" t="s">
        <v>1104</v>
      </c>
      <c r="B1094">
        <v>5</v>
      </c>
      <c r="C1094">
        <v>655724414.20000005</v>
      </c>
      <c r="D1094">
        <v>0.8</v>
      </c>
      <c r="E1094">
        <v>1066061390</v>
      </c>
      <c r="F1094">
        <v>1774017984</v>
      </c>
      <c r="G1094">
        <v>3</v>
      </c>
      <c r="H1094">
        <v>5</v>
      </c>
      <c r="I1094">
        <v>1</v>
      </c>
      <c r="J1094">
        <v>3.2</v>
      </c>
      <c r="K1094" t="s">
        <v>306</v>
      </c>
    </row>
    <row r="1095" spans="1:11" x14ac:dyDescent="0.35">
      <c r="A1095" t="s">
        <v>1105</v>
      </c>
      <c r="B1095">
        <v>5</v>
      </c>
      <c r="C1095">
        <v>-376535893.80000001</v>
      </c>
      <c r="D1095">
        <v>0.6</v>
      </c>
      <c r="E1095">
        <v>821849387.29999995</v>
      </c>
      <c r="F1095">
        <v>1758383399</v>
      </c>
      <c r="G1095">
        <v>3</v>
      </c>
      <c r="H1095">
        <v>5</v>
      </c>
      <c r="I1095">
        <v>1</v>
      </c>
      <c r="J1095">
        <v>3.2</v>
      </c>
      <c r="K1095" t="s">
        <v>306</v>
      </c>
    </row>
    <row r="1096" spans="1:11" x14ac:dyDescent="0.35">
      <c r="A1096" t="s">
        <v>1106</v>
      </c>
      <c r="B1096">
        <v>5</v>
      </c>
      <c r="C1096">
        <v>2015694609</v>
      </c>
      <c r="D1096">
        <v>0.8</v>
      </c>
      <c r="E1096">
        <v>1914671497</v>
      </c>
      <c r="F1096">
        <v>2166846549</v>
      </c>
      <c r="G1096">
        <v>3</v>
      </c>
      <c r="H1096">
        <v>5</v>
      </c>
      <c r="I1096">
        <v>1</v>
      </c>
      <c r="J1096">
        <v>3.2</v>
      </c>
      <c r="K1096" t="s">
        <v>306</v>
      </c>
    </row>
    <row r="1097" spans="1:11" x14ac:dyDescent="0.35">
      <c r="A1097" t="s">
        <v>1107</v>
      </c>
      <c r="B1097">
        <v>5</v>
      </c>
      <c r="C1097">
        <v>2236569194</v>
      </c>
      <c r="D1097">
        <v>0.8</v>
      </c>
      <c r="E1097">
        <v>3037658470</v>
      </c>
      <c r="F1097">
        <v>1930931804</v>
      </c>
      <c r="G1097">
        <v>3</v>
      </c>
      <c r="H1097">
        <v>5</v>
      </c>
      <c r="I1097">
        <v>1</v>
      </c>
      <c r="J1097">
        <v>3.2</v>
      </c>
      <c r="K1097" t="s">
        <v>306</v>
      </c>
    </row>
    <row r="1098" spans="1:11" x14ac:dyDescent="0.35">
      <c r="A1098" t="s">
        <v>1108</v>
      </c>
      <c r="B1098">
        <v>5</v>
      </c>
      <c r="C1098">
        <v>1511645848</v>
      </c>
      <c r="D1098">
        <v>0.8</v>
      </c>
      <c r="E1098">
        <v>1310075750</v>
      </c>
      <c r="F1098">
        <v>1927204260</v>
      </c>
      <c r="G1098">
        <v>3</v>
      </c>
      <c r="H1098">
        <v>5</v>
      </c>
      <c r="I1098">
        <v>1</v>
      </c>
      <c r="J1098">
        <v>3.2</v>
      </c>
      <c r="K1098" t="s">
        <v>306</v>
      </c>
    </row>
    <row r="1099" spans="1:11" x14ac:dyDescent="0.35">
      <c r="A1099" t="s">
        <v>1109</v>
      </c>
      <c r="B1099">
        <v>5</v>
      </c>
      <c r="C1099">
        <v>62602350.740000002</v>
      </c>
      <c r="D1099">
        <v>0.4</v>
      </c>
      <c r="E1099">
        <v>780037325.10000002</v>
      </c>
      <c r="F1099">
        <v>1895253413</v>
      </c>
      <c r="G1099">
        <v>3</v>
      </c>
      <c r="H1099">
        <v>5</v>
      </c>
      <c r="I1099">
        <v>1</v>
      </c>
      <c r="J1099">
        <v>3.2</v>
      </c>
      <c r="K1099" t="s">
        <v>306</v>
      </c>
    </row>
    <row r="1100" spans="1:11" x14ac:dyDescent="0.35">
      <c r="A1100" t="s">
        <v>1110</v>
      </c>
      <c r="B1100">
        <v>5</v>
      </c>
      <c r="C1100">
        <v>312516920.60000002</v>
      </c>
      <c r="D1100">
        <v>0.6</v>
      </c>
      <c r="E1100">
        <v>2215514038</v>
      </c>
      <c r="F1100">
        <v>3599250349</v>
      </c>
      <c r="G1100">
        <v>3</v>
      </c>
      <c r="H1100">
        <v>5</v>
      </c>
      <c r="I1100">
        <v>1</v>
      </c>
      <c r="J1100">
        <v>3.2</v>
      </c>
      <c r="K1100" t="s">
        <v>306</v>
      </c>
    </row>
    <row r="1101" spans="1:11" x14ac:dyDescent="0.35">
      <c r="A1101" t="s">
        <v>1111</v>
      </c>
      <c r="B1101">
        <v>5</v>
      </c>
      <c r="C1101">
        <v>1112683510</v>
      </c>
      <c r="D1101">
        <v>0.6</v>
      </c>
      <c r="E1101">
        <v>2150091651</v>
      </c>
      <c r="F1101">
        <v>1476974540</v>
      </c>
      <c r="G1101">
        <v>3</v>
      </c>
      <c r="H1101">
        <v>5</v>
      </c>
      <c r="I1101">
        <v>1</v>
      </c>
      <c r="J1101">
        <v>3.2</v>
      </c>
      <c r="K1101" t="s">
        <v>306</v>
      </c>
    </row>
    <row r="1102" spans="1:11" x14ac:dyDescent="0.35">
      <c r="A1102" t="s">
        <v>1112</v>
      </c>
      <c r="B1102">
        <v>5</v>
      </c>
      <c r="C1102">
        <v>137076734.30000001</v>
      </c>
      <c r="D1102">
        <v>0.6</v>
      </c>
      <c r="E1102">
        <v>1972234905</v>
      </c>
      <c r="F1102">
        <v>1826614911</v>
      </c>
      <c r="G1102">
        <v>3</v>
      </c>
      <c r="H1102">
        <v>5</v>
      </c>
      <c r="I1102">
        <v>1</v>
      </c>
      <c r="J1102">
        <v>3.2</v>
      </c>
      <c r="K1102" t="s">
        <v>306</v>
      </c>
    </row>
    <row r="1103" spans="1:11" x14ac:dyDescent="0.35">
      <c r="A1103" t="s">
        <v>1113</v>
      </c>
      <c r="B1103">
        <v>5</v>
      </c>
      <c r="C1103">
        <v>96577607.439999998</v>
      </c>
      <c r="D1103">
        <v>0.6</v>
      </c>
      <c r="E1103">
        <v>677667715.60000002</v>
      </c>
      <c r="F1103">
        <v>1616497276</v>
      </c>
      <c r="G1103">
        <v>3</v>
      </c>
      <c r="H1103">
        <v>5</v>
      </c>
      <c r="I1103">
        <v>1</v>
      </c>
      <c r="J1103">
        <v>3.2</v>
      </c>
      <c r="K1103" t="s">
        <v>306</v>
      </c>
    </row>
    <row r="1104" spans="1:11" x14ac:dyDescent="0.35">
      <c r="A1104" t="s">
        <v>1114</v>
      </c>
      <c r="B1104">
        <v>5</v>
      </c>
      <c r="C1104">
        <v>169991711.19999999</v>
      </c>
      <c r="D1104">
        <v>0.6</v>
      </c>
      <c r="E1104">
        <v>1176470640</v>
      </c>
      <c r="F1104">
        <v>1533208048</v>
      </c>
      <c r="G1104">
        <v>3</v>
      </c>
      <c r="H1104">
        <v>5</v>
      </c>
      <c r="I1104">
        <v>1</v>
      </c>
      <c r="J1104">
        <v>3.2</v>
      </c>
      <c r="K1104" t="s">
        <v>306</v>
      </c>
    </row>
    <row r="1105" spans="1:11" x14ac:dyDescent="0.35">
      <c r="A1105" t="s">
        <v>1115</v>
      </c>
      <c r="B1105">
        <v>5</v>
      </c>
      <c r="C1105">
        <v>2353575560</v>
      </c>
      <c r="D1105">
        <v>0.8</v>
      </c>
      <c r="E1105">
        <v>2746627946</v>
      </c>
      <c r="F1105">
        <v>1494468163</v>
      </c>
      <c r="G1105">
        <v>3</v>
      </c>
      <c r="H1105">
        <v>5</v>
      </c>
      <c r="I1105">
        <v>1</v>
      </c>
      <c r="J1105">
        <v>3.2</v>
      </c>
      <c r="K1105" t="s">
        <v>306</v>
      </c>
    </row>
    <row r="1106" spans="1:11" x14ac:dyDescent="0.35">
      <c r="A1106" t="s">
        <v>1116</v>
      </c>
      <c r="B1106">
        <v>5</v>
      </c>
      <c r="C1106">
        <v>-190627132.30000001</v>
      </c>
      <c r="D1106">
        <v>0.6</v>
      </c>
      <c r="E1106">
        <v>583787421.20000005</v>
      </c>
      <c r="F1106">
        <v>1299080298</v>
      </c>
      <c r="G1106">
        <v>3</v>
      </c>
      <c r="H1106">
        <v>5</v>
      </c>
      <c r="I1106">
        <v>1</v>
      </c>
      <c r="J1106">
        <v>3.2</v>
      </c>
      <c r="K1106" t="s">
        <v>306</v>
      </c>
    </row>
    <row r="1107" spans="1:11" x14ac:dyDescent="0.35">
      <c r="A1107" t="s">
        <v>1117</v>
      </c>
      <c r="B1107">
        <v>5</v>
      </c>
      <c r="C1107">
        <v>686999266.60000002</v>
      </c>
      <c r="D1107">
        <v>0.8</v>
      </c>
      <c r="E1107">
        <v>626076056.60000002</v>
      </c>
      <c r="F1107">
        <v>1265964004</v>
      </c>
      <c r="G1107">
        <v>3</v>
      </c>
      <c r="H1107">
        <v>5</v>
      </c>
      <c r="I1107">
        <v>1</v>
      </c>
      <c r="J1107">
        <v>3.2</v>
      </c>
      <c r="K1107" t="s">
        <v>306</v>
      </c>
    </row>
    <row r="1108" spans="1:11" x14ac:dyDescent="0.35">
      <c r="A1108" t="s">
        <v>1118</v>
      </c>
      <c r="B1108">
        <v>5</v>
      </c>
      <c r="C1108">
        <v>325142584.39999998</v>
      </c>
      <c r="D1108">
        <v>0.8</v>
      </c>
      <c r="E1108">
        <v>690519031.70000005</v>
      </c>
      <c r="F1108">
        <v>1263632659</v>
      </c>
      <c r="G1108">
        <v>3</v>
      </c>
      <c r="H1108">
        <v>5</v>
      </c>
      <c r="I1108">
        <v>1</v>
      </c>
      <c r="J1108">
        <v>3.2</v>
      </c>
      <c r="K1108" t="s">
        <v>306</v>
      </c>
    </row>
    <row r="1109" spans="1:11" x14ac:dyDescent="0.35">
      <c r="A1109" t="s">
        <v>1119</v>
      </c>
      <c r="B1109">
        <v>5</v>
      </c>
      <c r="C1109">
        <v>281530292.19999999</v>
      </c>
      <c r="D1109">
        <v>0.6</v>
      </c>
      <c r="E1109">
        <v>480564385.69999999</v>
      </c>
      <c r="F1109">
        <v>1202021405</v>
      </c>
      <c r="G1109">
        <v>3</v>
      </c>
      <c r="H1109">
        <v>5</v>
      </c>
      <c r="I1109">
        <v>1</v>
      </c>
      <c r="J1109">
        <v>3.2</v>
      </c>
      <c r="K1109" t="s">
        <v>306</v>
      </c>
    </row>
    <row r="1110" spans="1:11" x14ac:dyDescent="0.35">
      <c r="A1110" t="s">
        <v>1120</v>
      </c>
      <c r="B1110">
        <v>5</v>
      </c>
      <c r="C1110">
        <v>599279002.70000005</v>
      </c>
      <c r="D1110">
        <v>0.6</v>
      </c>
      <c r="E1110">
        <v>816272699.39999998</v>
      </c>
      <c r="F1110">
        <v>1195484927</v>
      </c>
      <c r="G1110">
        <v>3</v>
      </c>
      <c r="H1110">
        <v>5</v>
      </c>
      <c r="I1110">
        <v>1</v>
      </c>
      <c r="J1110">
        <v>3.2</v>
      </c>
      <c r="K1110" t="s">
        <v>306</v>
      </c>
    </row>
    <row r="1111" spans="1:11" x14ac:dyDescent="0.35">
      <c r="A1111" t="s">
        <v>1121</v>
      </c>
      <c r="B1111">
        <v>5</v>
      </c>
      <c r="C1111">
        <v>770735395</v>
      </c>
      <c r="D1111">
        <v>0.8</v>
      </c>
      <c r="E1111">
        <v>629742149.5</v>
      </c>
      <c r="F1111">
        <v>1140895462</v>
      </c>
      <c r="G1111">
        <v>3</v>
      </c>
      <c r="H1111">
        <v>5</v>
      </c>
      <c r="I1111">
        <v>1</v>
      </c>
      <c r="J1111">
        <v>3.2</v>
      </c>
      <c r="K1111" t="s">
        <v>306</v>
      </c>
    </row>
    <row r="1112" spans="1:11" x14ac:dyDescent="0.35">
      <c r="A1112" t="s">
        <v>1122</v>
      </c>
      <c r="B1112">
        <v>5</v>
      </c>
      <c r="C1112">
        <v>1049766126</v>
      </c>
      <c r="D1112">
        <v>0.8</v>
      </c>
      <c r="E1112">
        <v>1816959273</v>
      </c>
      <c r="F1112">
        <v>1109225242</v>
      </c>
      <c r="G1112">
        <v>3</v>
      </c>
      <c r="H1112">
        <v>5</v>
      </c>
      <c r="I1112">
        <v>1</v>
      </c>
      <c r="J1112">
        <v>3.2</v>
      </c>
      <c r="K1112" t="s">
        <v>306</v>
      </c>
    </row>
    <row r="1113" spans="1:11" x14ac:dyDescent="0.35">
      <c r="A1113" t="s">
        <v>1123</v>
      </c>
      <c r="B1113">
        <v>5</v>
      </c>
      <c r="C1113">
        <v>329155633</v>
      </c>
      <c r="D1113">
        <v>0.6</v>
      </c>
      <c r="E1113">
        <v>761176010.20000005</v>
      </c>
      <c r="F1113">
        <v>1026471576</v>
      </c>
      <c r="G1113">
        <v>3</v>
      </c>
      <c r="H1113">
        <v>5</v>
      </c>
      <c r="I1113">
        <v>1</v>
      </c>
      <c r="J1113">
        <v>3.2</v>
      </c>
      <c r="K1113" t="s">
        <v>306</v>
      </c>
    </row>
    <row r="1114" spans="1:11" x14ac:dyDescent="0.35">
      <c r="A1114" t="s">
        <v>1124</v>
      </c>
      <c r="B1114">
        <v>5</v>
      </c>
      <c r="C1114">
        <v>50332131.18</v>
      </c>
      <c r="D1114">
        <v>0.6</v>
      </c>
      <c r="E1114">
        <v>669371283.29999995</v>
      </c>
      <c r="F1114">
        <v>1017867957</v>
      </c>
      <c r="G1114">
        <v>3</v>
      </c>
      <c r="H1114">
        <v>5</v>
      </c>
      <c r="I1114">
        <v>1</v>
      </c>
      <c r="J1114">
        <v>3.2</v>
      </c>
      <c r="K1114" t="s">
        <v>306</v>
      </c>
    </row>
    <row r="1115" spans="1:11" x14ac:dyDescent="0.35">
      <c r="A1115" t="s">
        <v>1125</v>
      </c>
      <c r="B1115">
        <v>5</v>
      </c>
      <c r="C1115">
        <v>133926353.40000001</v>
      </c>
      <c r="D1115">
        <v>0.6</v>
      </c>
      <c r="E1115">
        <v>743389285</v>
      </c>
      <c r="F1115">
        <v>996116308.60000002</v>
      </c>
      <c r="G1115">
        <v>3</v>
      </c>
      <c r="H1115">
        <v>5</v>
      </c>
      <c r="I1115">
        <v>1</v>
      </c>
      <c r="J1115">
        <v>3.2</v>
      </c>
      <c r="K1115" t="s">
        <v>306</v>
      </c>
    </row>
    <row r="1116" spans="1:11" x14ac:dyDescent="0.35">
      <c r="A1116" t="s">
        <v>1126</v>
      </c>
      <c r="B1116">
        <v>5</v>
      </c>
      <c r="C1116">
        <v>-15869621.02</v>
      </c>
      <c r="D1116">
        <v>0.4</v>
      </c>
      <c r="E1116">
        <v>101539133</v>
      </c>
      <c r="F1116">
        <v>274876394.60000002</v>
      </c>
      <c r="G1116">
        <v>4</v>
      </c>
      <c r="H1116">
        <v>3</v>
      </c>
      <c r="I1116">
        <v>1</v>
      </c>
      <c r="J1116">
        <v>3.1</v>
      </c>
      <c r="K1116" t="s">
        <v>306</v>
      </c>
    </row>
    <row r="1117" spans="1:11" x14ac:dyDescent="0.35">
      <c r="A1117" t="s">
        <v>1127</v>
      </c>
      <c r="B1117">
        <v>5</v>
      </c>
      <c r="C1117">
        <v>25118989.34</v>
      </c>
      <c r="D1117">
        <v>0.6</v>
      </c>
      <c r="E1117">
        <v>111282682.90000001</v>
      </c>
      <c r="F1117">
        <v>181724335.90000001</v>
      </c>
      <c r="G1117">
        <v>3</v>
      </c>
      <c r="H1117">
        <v>4</v>
      </c>
      <c r="I1117">
        <v>2</v>
      </c>
      <c r="J1117">
        <v>3.1</v>
      </c>
      <c r="K1117" t="s">
        <v>306</v>
      </c>
    </row>
    <row r="1118" spans="1:11" x14ac:dyDescent="0.35">
      <c r="A1118" t="s">
        <v>1128</v>
      </c>
      <c r="B1118">
        <v>5</v>
      </c>
      <c r="C1118">
        <v>95284063.140000001</v>
      </c>
      <c r="D1118">
        <v>0.6</v>
      </c>
      <c r="E1118">
        <v>168493930.19999999</v>
      </c>
      <c r="F1118">
        <v>182684893.90000001</v>
      </c>
      <c r="G1118">
        <v>3</v>
      </c>
      <c r="H1118">
        <v>4</v>
      </c>
      <c r="I1118">
        <v>2</v>
      </c>
      <c r="J1118">
        <v>3.1</v>
      </c>
      <c r="K1118" t="s">
        <v>306</v>
      </c>
    </row>
    <row r="1119" spans="1:11" x14ac:dyDescent="0.35">
      <c r="A1119" t="s">
        <v>1129</v>
      </c>
      <c r="B1119">
        <v>5</v>
      </c>
      <c r="C1119">
        <v>46737034.539999999</v>
      </c>
      <c r="D1119">
        <v>0.4</v>
      </c>
      <c r="E1119">
        <v>123403626.7</v>
      </c>
      <c r="F1119">
        <v>193005909.40000001</v>
      </c>
      <c r="G1119">
        <v>3</v>
      </c>
      <c r="H1119">
        <v>4</v>
      </c>
      <c r="I1119">
        <v>2</v>
      </c>
      <c r="J1119">
        <v>3.1</v>
      </c>
      <c r="K1119" t="s">
        <v>306</v>
      </c>
    </row>
    <row r="1120" spans="1:11" x14ac:dyDescent="0.35">
      <c r="A1120" t="s">
        <v>1130</v>
      </c>
      <c r="B1120">
        <v>5</v>
      </c>
      <c r="C1120">
        <v>-111664315.40000001</v>
      </c>
      <c r="D1120">
        <v>0.4</v>
      </c>
      <c r="E1120">
        <v>205809913</v>
      </c>
      <c r="F1120">
        <v>197858776.30000001</v>
      </c>
      <c r="G1120">
        <v>3</v>
      </c>
      <c r="H1120">
        <v>4</v>
      </c>
      <c r="I1120">
        <v>2</v>
      </c>
      <c r="J1120">
        <v>3.1</v>
      </c>
      <c r="K1120" t="s">
        <v>306</v>
      </c>
    </row>
    <row r="1121" spans="1:11" x14ac:dyDescent="0.35">
      <c r="A1121" t="s">
        <v>1131</v>
      </c>
      <c r="B1121">
        <v>5</v>
      </c>
      <c r="C1121">
        <v>419586385.80000001</v>
      </c>
      <c r="D1121">
        <v>0.8</v>
      </c>
      <c r="E1121">
        <v>248486768.40000001</v>
      </c>
      <c r="F1121">
        <v>159313192.59999999</v>
      </c>
      <c r="G1121">
        <v>3</v>
      </c>
      <c r="H1121">
        <v>4</v>
      </c>
      <c r="I1121">
        <v>2</v>
      </c>
      <c r="J1121">
        <v>3.1</v>
      </c>
      <c r="K1121" t="s">
        <v>306</v>
      </c>
    </row>
    <row r="1122" spans="1:11" x14ac:dyDescent="0.35">
      <c r="A1122" t="s">
        <v>1132</v>
      </c>
      <c r="B1122">
        <v>5</v>
      </c>
      <c r="C1122">
        <v>309881051.30000001</v>
      </c>
      <c r="D1122">
        <v>0.8</v>
      </c>
      <c r="E1122">
        <v>270316226.10000002</v>
      </c>
      <c r="F1122">
        <v>154875390.30000001</v>
      </c>
      <c r="G1122">
        <v>3</v>
      </c>
      <c r="H1122">
        <v>4</v>
      </c>
      <c r="I1122">
        <v>2</v>
      </c>
      <c r="J1122">
        <v>3.1</v>
      </c>
      <c r="K1122" t="s">
        <v>306</v>
      </c>
    </row>
    <row r="1123" spans="1:11" x14ac:dyDescent="0.35">
      <c r="A1123" t="s">
        <v>1133</v>
      </c>
      <c r="B1123">
        <v>5</v>
      </c>
      <c r="C1123">
        <v>54710736.68</v>
      </c>
      <c r="D1123">
        <v>0.6</v>
      </c>
      <c r="E1123">
        <v>135491991.40000001</v>
      </c>
      <c r="F1123">
        <v>145358416.80000001</v>
      </c>
      <c r="G1123">
        <v>3</v>
      </c>
      <c r="H1123">
        <v>4</v>
      </c>
      <c r="I1123">
        <v>2</v>
      </c>
      <c r="J1123">
        <v>3.1</v>
      </c>
      <c r="K1123" t="s">
        <v>306</v>
      </c>
    </row>
    <row r="1124" spans="1:11" x14ac:dyDescent="0.35">
      <c r="A1124" t="s">
        <v>1134</v>
      </c>
      <c r="B1124">
        <v>5</v>
      </c>
      <c r="C1124">
        <v>-23341486.420000002</v>
      </c>
      <c r="D1124">
        <v>0.6</v>
      </c>
      <c r="E1124">
        <v>214992947.19999999</v>
      </c>
      <c r="F1124">
        <v>35545716.100000001</v>
      </c>
      <c r="G1124">
        <v>3</v>
      </c>
      <c r="H1124">
        <v>4</v>
      </c>
      <c r="I1124">
        <v>2</v>
      </c>
      <c r="J1124">
        <v>3.1</v>
      </c>
      <c r="K1124" t="s">
        <v>306</v>
      </c>
    </row>
    <row r="1125" spans="1:11" x14ac:dyDescent="0.35">
      <c r="A1125" t="s">
        <v>1135</v>
      </c>
      <c r="B1125">
        <v>5</v>
      </c>
      <c r="C1125">
        <v>87107749.340000004</v>
      </c>
      <c r="D1125">
        <v>0.6</v>
      </c>
      <c r="E1125">
        <v>135938194.30000001</v>
      </c>
      <c r="F1125">
        <v>31117988.800000001</v>
      </c>
      <c r="G1125">
        <v>3</v>
      </c>
      <c r="H1125">
        <v>4</v>
      </c>
      <c r="I1125">
        <v>2</v>
      </c>
      <c r="J1125">
        <v>3.1</v>
      </c>
      <c r="K1125" t="s">
        <v>306</v>
      </c>
    </row>
    <row r="1126" spans="1:11" x14ac:dyDescent="0.35">
      <c r="A1126" t="s">
        <v>1136</v>
      </c>
      <c r="B1126">
        <v>5</v>
      </c>
      <c r="C1126">
        <v>84058106.319999993</v>
      </c>
      <c r="D1126">
        <v>0.8</v>
      </c>
      <c r="E1126">
        <v>142116228.59999999</v>
      </c>
      <c r="F1126">
        <v>33490757.800000001</v>
      </c>
      <c r="G1126">
        <v>3</v>
      </c>
      <c r="H1126">
        <v>4</v>
      </c>
      <c r="I1126">
        <v>2</v>
      </c>
      <c r="J1126">
        <v>3.1</v>
      </c>
      <c r="K1126" t="s">
        <v>306</v>
      </c>
    </row>
    <row r="1127" spans="1:11" x14ac:dyDescent="0.35">
      <c r="A1127" t="s">
        <v>1137</v>
      </c>
      <c r="B1127">
        <v>5</v>
      </c>
      <c r="C1127">
        <v>9459239.1799999997</v>
      </c>
      <c r="D1127">
        <v>0.8</v>
      </c>
      <c r="E1127">
        <v>115037396.59999999</v>
      </c>
      <c r="F1127">
        <v>39122951.399999999</v>
      </c>
      <c r="G1127">
        <v>3</v>
      </c>
      <c r="H1127">
        <v>4</v>
      </c>
      <c r="I1127">
        <v>2</v>
      </c>
      <c r="J1127">
        <v>3.1</v>
      </c>
      <c r="K1127" t="s">
        <v>306</v>
      </c>
    </row>
    <row r="1128" spans="1:11" x14ac:dyDescent="0.35">
      <c r="A1128" t="s">
        <v>1138</v>
      </c>
      <c r="B1128">
        <v>5</v>
      </c>
      <c r="C1128">
        <v>410757073.30000001</v>
      </c>
      <c r="D1128">
        <v>0.8</v>
      </c>
      <c r="E1128">
        <v>290456222.19999999</v>
      </c>
      <c r="F1128">
        <v>55821685.799999997</v>
      </c>
      <c r="G1128">
        <v>3</v>
      </c>
      <c r="H1128">
        <v>4</v>
      </c>
      <c r="I1128">
        <v>2</v>
      </c>
      <c r="J1128">
        <v>3.1</v>
      </c>
      <c r="K1128" t="s">
        <v>306</v>
      </c>
    </row>
    <row r="1129" spans="1:11" x14ac:dyDescent="0.35">
      <c r="A1129" t="s">
        <v>1139</v>
      </c>
      <c r="B1129">
        <v>5</v>
      </c>
      <c r="C1129">
        <v>155813188.69999999</v>
      </c>
      <c r="D1129">
        <v>0.8</v>
      </c>
      <c r="E1129">
        <v>193182666.90000001</v>
      </c>
      <c r="F1129">
        <v>63093299.5</v>
      </c>
      <c r="G1129">
        <v>3</v>
      </c>
      <c r="H1129">
        <v>4</v>
      </c>
      <c r="I1129">
        <v>2</v>
      </c>
      <c r="J1129">
        <v>3.1</v>
      </c>
      <c r="K1129" t="s">
        <v>306</v>
      </c>
    </row>
    <row r="1130" spans="1:11" x14ac:dyDescent="0.35">
      <c r="A1130" t="s">
        <v>1140</v>
      </c>
      <c r="B1130">
        <v>5</v>
      </c>
      <c r="C1130">
        <v>138436600.19999999</v>
      </c>
      <c r="D1130">
        <v>0.8</v>
      </c>
      <c r="E1130">
        <v>142801000.5</v>
      </c>
      <c r="F1130">
        <v>66278778.299999997</v>
      </c>
      <c r="G1130">
        <v>3</v>
      </c>
      <c r="H1130">
        <v>4</v>
      </c>
      <c r="I1130">
        <v>2</v>
      </c>
      <c r="J1130">
        <v>3.1</v>
      </c>
      <c r="K1130" t="s">
        <v>306</v>
      </c>
    </row>
    <row r="1131" spans="1:11" x14ac:dyDescent="0.35">
      <c r="A1131" t="s">
        <v>1141</v>
      </c>
      <c r="B1131">
        <v>5</v>
      </c>
      <c r="C1131">
        <v>-14360681.48</v>
      </c>
      <c r="D1131">
        <v>0.6</v>
      </c>
      <c r="E1131">
        <v>159075306.59999999</v>
      </c>
      <c r="F1131">
        <v>76481119.900000006</v>
      </c>
      <c r="G1131">
        <v>3</v>
      </c>
      <c r="H1131">
        <v>4</v>
      </c>
      <c r="I1131">
        <v>2</v>
      </c>
      <c r="J1131">
        <v>3.1</v>
      </c>
      <c r="K1131" t="s">
        <v>306</v>
      </c>
    </row>
    <row r="1132" spans="1:11" x14ac:dyDescent="0.35">
      <c r="A1132" t="s">
        <v>1142</v>
      </c>
      <c r="B1132">
        <v>5</v>
      </c>
      <c r="C1132">
        <v>150658742</v>
      </c>
      <c r="D1132">
        <v>0.8</v>
      </c>
      <c r="E1132">
        <v>258131599.80000001</v>
      </c>
      <c r="F1132">
        <v>92623152.400000006</v>
      </c>
      <c r="G1132">
        <v>3</v>
      </c>
      <c r="H1132">
        <v>4</v>
      </c>
      <c r="I1132">
        <v>2</v>
      </c>
      <c r="J1132">
        <v>3.1</v>
      </c>
      <c r="K1132" t="s">
        <v>306</v>
      </c>
    </row>
    <row r="1133" spans="1:11" x14ac:dyDescent="0.35">
      <c r="A1133" t="s">
        <v>1143</v>
      </c>
      <c r="B1133">
        <v>5</v>
      </c>
      <c r="C1133">
        <v>36076006.259999998</v>
      </c>
      <c r="D1133">
        <v>0.6</v>
      </c>
      <c r="E1133">
        <v>122864456.7</v>
      </c>
      <c r="F1133">
        <v>95468499.799999997</v>
      </c>
      <c r="G1133">
        <v>3</v>
      </c>
      <c r="H1133">
        <v>4</v>
      </c>
      <c r="I1133">
        <v>2</v>
      </c>
      <c r="J1133">
        <v>3.1</v>
      </c>
      <c r="K1133" t="s">
        <v>306</v>
      </c>
    </row>
    <row r="1134" spans="1:11" x14ac:dyDescent="0.35">
      <c r="A1134" t="s">
        <v>1144</v>
      </c>
      <c r="B1134">
        <v>5</v>
      </c>
      <c r="C1134">
        <v>-9422860.7200000007</v>
      </c>
      <c r="D1134">
        <v>0.6</v>
      </c>
      <c r="E1134">
        <v>117585074.5</v>
      </c>
      <c r="F1134">
        <v>95294052.299999997</v>
      </c>
      <c r="G1134">
        <v>3</v>
      </c>
      <c r="H1134">
        <v>4</v>
      </c>
      <c r="I1134">
        <v>2</v>
      </c>
      <c r="J1134">
        <v>3.1</v>
      </c>
      <c r="K1134" t="s">
        <v>306</v>
      </c>
    </row>
    <row r="1135" spans="1:11" x14ac:dyDescent="0.35">
      <c r="A1135" t="s">
        <v>1145</v>
      </c>
      <c r="B1135">
        <v>5</v>
      </c>
      <c r="C1135">
        <v>4668998.4000000004</v>
      </c>
      <c r="D1135">
        <v>0.6</v>
      </c>
      <c r="E1135">
        <v>170913888.40000001</v>
      </c>
      <c r="F1135">
        <v>90765889.099999994</v>
      </c>
      <c r="G1135">
        <v>3</v>
      </c>
      <c r="H1135">
        <v>4</v>
      </c>
      <c r="I1135">
        <v>2</v>
      </c>
      <c r="J1135">
        <v>3.1</v>
      </c>
      <c r="K1135" t="s">
        <v>306</v>
      </c>
    </row>
    <row r="1136" spans="1:11" x14ac:dyDescent="0.35">
      <c r="A1136" t="s">
        <v>1146</v>
      </c>
      <c r="B1136">
        <v>5</v>
      </c>
      <c r="C1136">
        <v>18092551.16</v>
      </c>
      <c r="D1136">
        <v>0.8</v>
      </c>
      <c r="E1136">
        <v>269500558.30000001</v>
      </c>
      <c r="F1136">
        <v>118611192.09999999</v>
      </c>
      <c r="G1136">
        <v>3</v>
      </c>
      <c r="H1136">
        <v>4</v>
      </c>
      <c r="I1136">
        <v>2</v>
      </c>
      <c r="J1136">
        <v>3.1</v>
      </c>
      <c r="K1136" t="s">
        <v>306</v>
      </c>
    </row>
    <row r="1137" spans="1:11" x14ac:dyDescent="0.35">
      <c r="A1137" t="s">
        <v>1147</v>
      </c>
      <c r="B1137">
        <v>5</v>
      </c>
      <c r="C1137">
        <v>-39103601.359999999</v>
      </c>
      <c r="D1137">
        <v>0.4</v>
      </c>
      <c r="E1137">
        <v>165764959.09999999</v>
      </c>
      <c r="F1137">
        <v>130295572.09999999</v>
      </c>
      <c r="G1137">
        <v>3</v>
      </c>
      <c r="H1137">
        <v>4</v>
      </c>
      <c r="I1137">
        <v>2</v>
      </c>
      <c r="J1137">
        <v>3.1</v>
      </c>
      <c r="K1137" t="s">
        <v>306</v>
      </c>
    </row>
    <row r="1138" spans="1:11" x14ac:dyDescent="0.35">
      <c r="A1138" t="s">
        <v>1148</v>
      </c>
      <c r="B1138">
        <v>5</v>
      </c>
      <c r="C1138">
        <v>-6183093.3600000003</v>
      </c>
      <c r="D1138">
        <v>0.6</v>
      </c>
      <c r="E1138">
        <v>237228496.40000001</v>
      </c>
      <c r="F1138">
        <v>96656568</v>
      </c>
      <c r="G1138">
        <v>3</v>
      </c>
      <c r="H1138">
        <v>4</v>
      </c>
      <c r="I1138">
        <v>2</v>
      </c>
      <c r="J1138">
        <v>3.1</v>
      </c>
      <c r="K1138" t="s">
        <v>306</v>
      </c>
    </row>
    <row r="1139" spans="1:11" x14ac:dyDescent="0.35">
      <c r="A1139" t="s">
        <v>1149</v>
      </c>
      <c r="B1139">
        <v>5</v>
      </c>
      <c r="C1139">
        <v>-3259616.76</v>
      </c>
      <c r="D1139">
        <v>0.2</v>
      </c>
      <c r="E1139">
        <v>3274619.6460000002</v>
      </c>
      <c r="F1139">
        <v>-7462731.5999999996</v>
      </c>
      <c r="G1139">
        <v>4</v>
      </c>
      <c r="H1139">
        <v>1</v>
      </c>
      <c r="I1139">
        <v>4</v>
      </c>
      <c r="J1139">
        <v>3.1</v>
      </c>
      <c r="K1139" t="s">
        <v>306</v>
      </c>
    </row>
    <row r="1140" spans="1:11" x14ac:dyDescent="0.35">
      <c r="A1140" t="s">
        <v>1150</v>
      </c>
      <c r="B1140">
        <v>5</v>
      </c>
      <c r="C1140">
        <v>-8959122.5800000001</v>
      </c>
      <c r="D1140">
        <v>0.2</v>
      </c>
      <c r="E1140">
        <v>5909521.25</v>
      </c>
      <c r="F1140">
        <v>-7528934.0999999996</v>
      </c>
      <c r="G1140">
        <v>4</v>
      </c>
      <c r="H1140">
        <v>1</v>
      </c>
      <c r="I1140">
        <v>4</v>
      </c>
      <c r="J1140">
        <v>3.1</v>
      </c>
      <c r="K1140" t="s">
        <v>306</v>
      </c>
    </row>
    <row r="1141" spans="1:11" x14ac:dyDescent="0.35">
      <c r="A1141" t="s">
        <v>1151</v>
      </c>
      <c r="B1141">
        <v>5</v>
      </c>
      <c r="C1141">
        <v>-5546352.8200000003</v>
      </c>
      <c r="D1141">
        <v>0</v>
      </c>
      <c r="E1141">
        <v>3246968.8050000002</v>
      </c>
      <c r="F1141">
        <v>-7293713.7999999998</v>
      </c>
      <c r="G1141">
        <v>4</v>
      </c>
      <c r="H1141">
        <v>1</v>
      </c>
      <c r="I1141">
        <v>4</v>
      </c>
      <c r="J1141">
        <v>3.1</v>
      </c>
      <c r="K1141" t="s">
        <v>306</v>
      </c>
    </row>
    <row r="1142" spans="1:11" x14ac:dyDescent="0.35">
      <c r="A1142" t="s">
        <v>1152</v>
      </c>
      <c r="B1142">
        <v>5</v>
      </c>
      <c r="C1142">
        <v>-2097817.36</v>
      </c>
      <c r="D1142">
        <v>0.4</v>
      </c>
      <c r="E1142">
        <v>4215056.0930000003</v>
      </c>
      <c r="F1142">
        <v>-7333657.7000000002</v>
      </c>
      <c r="G1142">
        <v>4</v>
      </c>
      <c r="H1142">
        <v>1</v>
      </c>
      <c r="I1142">
        <v>4</v>
      </c>
      <c r="J1142">
        <v>3.1</v>
      </c>
      <c r="K1142" t="s">
        <v>306</v>
      </c>
    </row>
    <row r="1143" spans="1:11" x14ac:dyDescent="0.35">
      <c r="A1143" t="s">
        <v>1153</v>
      </c>
      <c r="B1143">
        <v>5</v>
      </c>
      <c r="C1143">
        <v>-16417790.42</v>
      </c>
      <c r="D1143">
        <v>0.2</v>
      </c>
      <c r="E1143">
        <v>12221347.34</v>
      </c>
      <c r="F1143">
        <v>-6939697.2999999998</v>
      </c>
      <c r="G1143">
        <v>4</v>
      </c>
      <c r="H1143">
        <v>1</v>
      </c>
      <c r="I1143">
        <v>4</v>
      </c>
      <c r="J1143">
        <v>3.1</v>
      </c>
      <c r="K1143" t="s">
        <v>306</v>
      </c>
    </row>
    <row r="1144" spans="1:11" x14ac:dyDescent="0.35">
      <c r="A1144" t="s">
        <v>1154</v>
      </c>
      <c r="B1144">
        <v>5</v>
      </c>
      <c r="C1144">
        <v>-1436593.7</v>
      </c>
      <c r="D1144">
        <v>0.2</v>
      </c>
      <c r="E1144">
        <v>4770970.6490000002</v>
      </c>
      <c r="F1144">
        <v>-9781749.1999999993</v>
      </c>
      <c r="G1144">
        <v>4</v>
      </c>
      <c r="H1144">
        <v>1</v>
      </c>
      <c r="I1144">
        <v>4</v>
      </c>
      <c r="J1144">
        <v>3.1</v>
      </c>
      <c r="K1144" t="s">
        <v>306</v>
      </c>
    </row>
    <row r="1145" spans="1:11" x14ac:dyDescent="0.35">
      <c r="A1145" t="s">
        <v>1155</v>
      </c>
      <c r="B1145">
        <v>5</v>
      </c>
      <c r="C1145">
        <v>-3680655.42</v>
      </c>
      <c r="D1145">
        <v>0.4</v>
      </c>
      <c r="E1145">
        <v>5737659.0970000001</v>
      </c>
      <c r="F1145">
        <v>-10130659</v>
      </c>
      <c r="G1145">
        <v>4</v>
      </c>
      <c r="H1145">
        <v>1</v>
      </c>
      <c r="I1145">
        <v>4</v>
      </c>
      <c r="J1145">
        <v>3.1</v>
      </c>
      <c r="K1145" t="s">
        <v>306</v>
      </c>
    </row>
    <row r="1146" spans="1:11" x14ac:dyDescent="0.35">
      <c r="A1146" t="s">
        <v>1156</v>
      </c>
      <c r="B1146">
        <v>5</v>
      </c>
      <c r="C1146">
        <v>-13239417.859999999</v>
      </c>
      <c r="D1146">
        <v>0</v>
      </c>
      <c r="E1146">
        <v>3804285.3590000002</v>
      </c>
      <c r="F1146">
        <v>-8804718.0999999996</v>
      </c>
      <c r="G1146">
        <v>4</v>
      </c>
      <c r="H1146">
        <v>1</v>
      </c>
      <c r="I1146">
        <v>4</v>
      </c>
      <c r="J1146">
        <v>3.1</v>
      </c>
      <c r="K1146" t="s">
        <v>306</v>
      </c>
    </row>
    <row r="1147" spans="1:11" x14ac:dyDescent="0.35">
      <c r="A1147" t="s">
        <v>1157</v>
      </c>
      <c r="B1147">
        <v>5</v>
      </c>
      <c r="C1147">
        <v>-22687954.5</v>
      </c>
      <c r="D1147">
        <v>0</v>
      </c>
      <c r="E1147">
        <v>8874911.4069999997</v>
      </c>
      <c r="F1147">
        <v>-8831493.4000000004</v>
      </c>
      <c r="G1147">
        <v>4</v>
      </c>
      <c r="H1147">
        <v>1</v>
      </c>
      <c r="I1147">
        <v>4</v>
      </c>
      <c r="J1147">
        <v>3.1</v>
      </c>
      <c r="K1147" t="s">
        <v>306</v>
      </c>
    </row>
    <row r="1148" spans="1:11" x14ac:dyDescent="0.35">
      <c r="A1148" t="s">
        <v>1158</v>
      </c>
      <c r="B1148">
        <v>5</v>
      </c>
      <c r="C1148">
        <v>-18788791.199999999</v>
      </c>
      <c r="D1148">
        <v>0</v>
      </c>
      <c r="E1148">
        <v>6879006.415</v>
      </c>
      <c r="F1148">
        <v>-8856280.5999999996</v>
      </c>
      <c r="G1148">
        <v>4</v>
      </c>
      <c r="H1148">
        <v>1</v>
      </c>
      <c r="I1148">
        <v>4</v>
      </c>
      <c r="J1148">
        <v>3.1</v>
      </c>
      <c r="K1148" t="s">
        <v>306</v>
      </c>
    </row>
    <row r="1149" spans="1:11" x14ac:dyDescent="0.35">
      <c r="A1149" t="s">
        <v>1159</v>
      </c>
      <c r="B1149">
        <v>5</v>
      </c>
      <c r="C1149">
        <v>-6198429.6799999997</v>
      </c>
      <c r="D1149">
        <v>0.4</v>
      </c>
      <c r="E1149">
        <v>10764178.949999999</v>
      </c>
      <c r="F1149">
        <v>-11955210.6</v>
      </c>
      <c r="G1149">
        <v>4</v>
      </c>
      <c r="H1149">
        <v>1</v>
      </c>
      <c r="I1149">
        <v>4</v>
      </c>
      <c r="J1149">
        <v>3.1</v>
      </c>
      <c r="K1149" t="s">
        <v>306</v>
      </c>
    </row>
    <row r="1150" spans="1:11" x14ac:dyDescent="0.35">
      <c r="A1150" t="s">
        <v>1160</v>
      </c>
      <c r="B1150">
        <v>5</v>
      </c>
      <c r="C1150">
        <v>-7501424.4199999999</v>
      </c>
      <c r="D1150">
        <v>0.4</v>
      </c>
      <c r="E1150">
        <v>10273239.75</v>
      </c>
      <c r="F1150">
        <v>-12173723</v>
      </c>
      <c r="G1150">
        <v>4</v>
      </c>
      <c r="H1150">
        <v>1</v>
      </c>
      <c r="I1150">
        <v>4</v>
      </c>
      <c r="J1150">
        <v>3.1</v>
      </c>
      <c r="K1150" t="s">
        <v>306</v>
      </c>
    </row>
    <row r="1151" spans="1:11" x14ac:dyDescent="0.35">
      <c r="A1151" t="s">
        <v>1161</v>
      </c>
      <c r="B1151">
        <v>5</v>
      </c>
      <c r="C1151">
        <v>-8080114.1600000001</v>
      </c>
      <c r="D1151">
        <v>0.2</v>
      </c>
      <c r="E1151">
        <v>14401552.91</v>
      </c>
      <c r="F1151">
        <v>-12240715.5</v>
      </c>
      <c r="G1151">
        <v>4</v>
      </c>
      <c r="H1151">
        <v>1</v>
      </c>
      <c r="I1151">
        <v>4</v>
      </c>
      <c r="J1151">
        <v>3.1</v>
      </c>
      <c r="K1151" t="s">
        <v>306</v>
      </c>
    </row>
    <row r="1152" spans="1:11" x14ac:dyDescent="0.35">
      <c r="A1152" t="s">
        <v>1162</v>
      </c>
      <c r="B1152">
        <v>5</v>
      </c>
      <c r="C1152">
        <v>-54878917.579999998</v>
      </c>
      <c r="D1152">
        <v>0</v>
      </c>
      <c r="E1152">
        <v>10460455.77</v>
      </c>
      <c r="F1152">
        <v>-12262453.1</v>
      </c>
      <c r="G1152">
        <v>4</v>
      </c>
      <c r="H1152">
        <v>1</v>
      </c>
      <c r="I1152">
        <v>4</v>
      </c>
      <c r="J1152">
        <v>3.1</v>
      </c>
      <c r="K1152" t="s">
        <v>306</v>
      </c>
    </row>
    <row r="1153" spans="1:11" x14ac:dyDescent="0.35">
      <c r="A1153" t="s">
        <v>1163</v>
      </c>
      <c r="B1153">
        <v>5</v>
      </c>
      <c r="C1153">
        <v>-3443497.2</v>
      </c>
      <c r="D1153">
        <v>0.4</v>
      </c>
      <c r="E1153">
        <v>7286984.7199999997</v>
      </c>
      <c r="F1153">
        <v>-10836413.699999999</v>
      </c>
      <c r="G1153">
        <v>4</v>
      </c>
      <c r="H1153">
        <v>1</v>
      </c>
      <c r="I1153">
        <v>4</v>
      </c>
      <c r="J1153">
        <v>3.1</v>
      </c>
      <c r="K1153" t="s">
        <v>306</v>
      </c>
    </row>
    <row r="1154" spans="1:11" x14ac:dyDescent="0.35">
      <c r="A1154" t="s">
        <v>1164</v>
      </c>
      <c r="B1154">
        <v>5</v>
      </c>
      <c r="C1154">
        <v>-5950339.7199999997</v>
      </c>
      <c r="D1154">
        <v>0.2</v>
      </c>
      <c r="E1154">
        <v>15396532.189999999</v>
      </c>
      <c r="F1154">
        <v>-12597051.5</v>
      </c>
      <c r="G1154">
        <v>4</v>
      </c>
      <c r="H1154">
        <v>1</v>
      </c>
      <c r="I1154">
        <v>4</v>
      </c>
      <c r="J1154">
        <v>3.1</v>
      </c>
      <c r="K1154" t="s">
        <v>306</v>
      </c>
    </row>
    <row r="1155" spans="1:11" x14ac:dyDescent="0.35">
      <c r="A1155" t="s">
        <v>1165</v>
      </c>
      <c r="B1155">
        <v>5</v>
      </c>
      <c r="C1155">
        <v>-25120944.219999999</v>
      </c>
      <c r="D1155">
        <v>0</v>
      </c>
      <c r="E1155">
        <v>13539230.23</v>
      </c>
      <c r="F1155">
        <v>-12709534.800000001</v>
      </c>
      <c r="G1155">
        <v>4</v>
      </c>
      <c r="H1155">
        <v>1</v>
      </c>
      <c r="I1155">
        <v>4</v>
      </c>
      <c r="J1155">
        <v>3.1</v>
      </c>
      <c r="K1155" t="s">
        <v>306</v>
      </c>
    </row>
    <row r="1156" spans="1:11" x14ac:dyDescent="0.35">
      <c r="A1156" t="s">
        <v>1166</v>
      </c>
      <c r="B1156">
        <v>5</v>
      </c>
      <c r="C1156">
        <v>-6528535.7599999998</v>
      </c>
      <c r="D1156">
        <v>0.2</v>
      </c>
      <c r="E1156">
        <v>5290021.1220000004</v>
      </c>
      <c r="F1156">
        <v>-12924635.9</v>
      </c>
      <c r="G1156">
        <v>4</v>
      </c>
      <c r="H1156">
        <v>1</v>
      </c>
      <c r="I1156">
        <v>4</v>
      </c>
      <c r="J1156">
        <v>3.1</v>
      </c>
      <c r="K1156" t="s">
        <v>306</v>
      </c>
    </row>
    <row r="1157" spans="1:11" x14ac:dyDescent="0.35">
      <c r="A1157" t="s">
        <v>1167</v>
      </c>
      <c r="B1157">
        <v>5</v>
      </c>
      <c r="C1157">
        <v>758035.6</v>
      </c>
      <c r="D1157">
        <v>0.4</v>
      </c>
      <c r="E1157">
        <v>12906810.41</v>
      </c>
      <c r="F1157">
        <v>-13016848.1</v>
      </c>
      <c r="G1157">
        <v>4</v>
      </c>
      <c r="H1157">
        <v>1</v>
      </c>
      <c r="I1157">
        <v>4</v>
      </c>
      <c r="J1157">
        <v>3.1</v>
      </c>
      <c r="K1157" t="s">
        <v>306</v>
      </c>
    </row>
    <row r="1158" spans="1:11" x14ac:dyDescent="0.35">
      <c r="A1158" t="s">
        <v>1168</v>
      </c>
      <c r="B1158">
        <v>5</v>
      </c>
      <c r="C1158">
        <v>1533613.36</v>
      </c>
      <c r="D1158">
        <v>0.4</v>
      </c>
      <c r="E1158">
        <v>13389824.210000001</v>
      </c>
      <c r="F1158">
        <v>-13777136.199999999</v>
      </c>
      <c r="G1158">
        <v>4</v>
      </c>
      <c r="H1158">
        <v>1</v>
      </c>
      <c r="I1158">
        <v>4</v>
      </c>
      <c r="J1158">
        <v>3.1</v>
      </c>
      <c r="K1158" t="s">
        <v>306</v>
      </c>
    </row>
    <row r="1159" spans="1:11" x14ac:dyDescent="0.35">
      <c r="A1159" t="s">
        <v>1169</v>
      </c>
      <c r="B1159">
        <v>5</v>
      </c>
      <c r="C1159">
        <v>-5345773.9400000004</v>
      </c>
      <c r="D1159">
        <v>0.2</v>
      </c>
      <c r="E1159">
        <v>5555230.0800000001</v>
      </c>
      <c r="F1159">
        <v>-13811152.1</v>
      </c>
      <c r="G1159">
        <v>4</v>
      </c>
      <c r="H1159">
        <v>1</v>
      </c>
      <c r="I1159">
        <v>4</v>
      </c>
      <c r="J1159">
        <v>3.1</v>
      </c>
      <c r="K1159" t="s">
        <v>306</v>
      </c>
    </row>
    <row r="1160" spans="1:11" x14ac:dyDescent="0.35">
      <c r="A1160" t="s">
        <v>1170</v>
      </c>
      <c r="B1160">
        <v>5</v>
      </c>
      <c r="C1160">
        <v>-6923951.3200000003</v>
      </c>
      <c r="D1160">
        <v>0.2</v>
      </c>
      <c r="E1160">
        <v>7687772.1749999998</v>
      </c>
      <c r="F1160">
        <v>-14959513.199999999</v>
      </c>
      <c r="G1160">
        <v>4</v>
      </c>
      <c r="H1160">
        <v>1</v>
      </c>
      <c r="I1160">
        <v>4</v>
      </c>
      <c r="J1160">
        <v>3.1</v>
      </c>
      <c r="K1160" t="s">
        <v>306</v>
      </c>
    </row>
    <row r="1161" spans="1:11" x14ac:dyDescent="0.35">
      <c r="A1161" t="s">
        <v>1171</v>
      </c>
      <c r="B1161">
        <v>5</v>
      </c>
      <c r="C1161">
        <v>-2964628.58</v>
      </c>
      <c r="D1161">
        <v>0.2</v>
      </c>
      <c r="E1161">
        <v>7842431.4890000001</v>
      </c>
      <c r="F1161">
        <v>-17013420.199999999</v>
      </c>
      <c r="G1161">
        <v>4</v>
      </c>
      <c r="H1161">
        <v>1</v>
      </c>
      <c r="I1161">
        <v>4</v>
      </c>
      <c r="J1161">
        <v>3.1</v>
      </c>
      <c r="K1161" t="s">
        <v>306</v>
      </c>
    </row>
    <row r="1162" spans="1:11" x14ac:dyDescent="0.35">
      <c r="A1162" t="s">
        <v>1172</v>
      </c>
      <c r="B1162">
        <v>5</v>
      </c>
      <c r="C1162">
        <v>-31530486</v>
      </c>
      <c r="D1162">
        <v>0</v>
      </c>
      <c r="E1162">
        <v>13725916.130000001</v>
      </c>
      <c r="F1162">
        <v>-17527622.300000001</v>
      </c>
      <c r="G1162">
        <v>4</v>
      </c>
      <c r="H1162">
        <v>1</v>
      </c>
      <c r="I1162">
        <v>4</v>
      </c>
      <c r="J1162">
        <v>3.1</v>
      </c>
      <c r="K1162" t="s">
        <v>306</v>
      </c>
    </row>
    <row r="1163" spans="1:11" x14ac:dyDescent="0.35">
      <c r="A1163" t="s">
        <v>1173</v>
      </c>
      <c r="B1163">
        <v>5</v>
      </c>
      <c r="C1163">
        <v>-12042978.640000001</v>
      </c>
      <c r="D1163">
        <v>0</v>
      </c>
      <c r="E1163">
        <v>7074463.2180000003</v>
      </c>
      <c r="F1163">
        <v>-15881859.1</v>
      </c>
      <c r="G1163">
        <v>4</v>
      </c>
      <c r="H1163">
        <v>1</v>
      </c>
      <c r="I1163">
        <v>4</v>
      </c>
      <c r="J1163">
        <v>3.1</v>
      </c>
      <c r="K1163" t="s">
        <v>306</v>
      </c>
    </row>
    <row r="1164" spans="1:11" x14ac:dyDescent="0.35">
      <c r="A1164" t="s">
        <v>1174</v>
      </c>
      <c r="B1164">
        <v>5</v>
      </c>
      <c r="C1164">
        <v>-5512719.5599999996</v>
      </c>
      <c r="D1164">
        <v>0.2</v>
      </c>
      <c r="E1164">
        <v>8848716.9690000005</v>
      </c>
      <c r="F1164">
        <v>-16294464</v>
      </c>
      <c r="G1164">
        <v>4</v>
      </c>
      <c r="H1164">
        <v>1</v>
      </c>
      <c r="I1164">
        <v>4</v>
      </c>
      <c r="J1164">
        <v>3.1</v>
      </c>
      <c r="K1164" t="s">
        <v>306</v>
      </c>
    </row>
    <row r="1165" spans="1:11" x14ac:dyDescent="0.35">
      <c r="A1165" t="s">
        <v>1175</v>
      </c>
      <c r="B1165">
        <v>5</v>
      </c>
      <c r="C1165">
        <v>-7721389.7599999998</v>
      </c>
      <c r="D1165">
        <v>0.2</v>
      </c>
      <c r="E1165">
        <v>7891567.7240000004</v>
      </c>
      <c r="F1165">
        <v>-16405991.699999999</v>
      </c>
      <c r="G1165">
        <v>4</v>
      </c>
      <c r="H1165">
        <v>1</v>
      </c>
      <c r="I1165">
        <v>4</v>
      </c>
      <c r="J1165">
        <v>3.1</v>
      </c>
      <c r="K1165" t="s">
        <v>306</v>
      </c>
    </row>
    <row r="1166" spans="1:11" x14ac:dyDescent="0.35">
      <c r="A1166" t="s">
        <v>1176</v>
      </c>
      <c r="B1166">
        <v>5</v>
      </c>
      <c r="C1166">
        <v>-21152428.34</v>
      </c>
      <c r="D1166">
        <v>0</v>
      </c>
      <c r="E1166">
        <v>10198833.83</v>
      </c>
      <c r="F1166">
        <v>-16615963.9</v>
      </c>
      <c r="G1166">
        <v>4</v>
      </c>
      <c r="H1166">
        <v>1</v>
      </c>
      <c r="I1166">
        <v>4</v>
      </c>
      <c r="J1166">
        <v>3.1</v>
      </c>
      <c r="K1166" t="s">
        <v>306</v>
      </c>
    </row>
    <row r="1167" spans="1:11" x14ac:dyDescent="0.35">
      <c r="A1167" t="s">
        <v>1177</v>
      </c>
      <c r="B1167">
        <v>5</v>
      </c>
      <c r="C1167">
        <v>-6652676.3799999999</v>
      </c>
      <c r="D1167">
        <v>0.4</v>
      </c>
      <c r="E1167">
        <v>14059133.16</v>
      </c>
      <c r="F1167">
        <v>-14771656.4</v>
      </c>
      <c r="G1167">
        <v>4</v>
      </c>
      <c r="H1167">
        <v>1</v>
      </c>
      <c r="I1167">
        <v>4</v>
      </c>
      <c r="J1167">
        <v>3.1</v>
      </c>
      <c r="K1167" t="s">
        <v>306</v>
      </c>
    </row>
    <row r="1168" spans="1:11" x14ac:dyDescent="0.35">
      <c r="A1168" t="s">
        <v>1178</v>
      </c>
      <c r="B1168">
        <v>5</v>
      </c>
      <c r="C1168">
        <v>-11668606.300000001</v>
      </c>
      <c r="D1168">
        <v>0.2</v>
      </c>
      <c r="E1168">
        <v>9321680.1720000003</v>
      </c>
      <c r="F1168">
        <v>-22750237.600000001</v>
      </c>
      <c r="G1168">
        <v>4</v>
      </c>
      <c r="H1168">
        <v>1</v>
      </c>
      <c r="I1168">
        <v>4</v>
      </c>
      <c r="J1168">
        <v>3.1</v>
      </c>
      <c r="K1168" t="s">
        <v>306</v>
      </c>
    </row>
    <row r="1169" spans="1:11" x14ac:dyDescent="0.35">
      <c r="A1169" t="s">
        <v>1179</v>
      </c>
      <c r="B1169">
        <v>5</v>
      </c>
      <c r="C1169">
        <v>-11568339.18</v>
      </c>
      <c r="D1169">
        <v>0.2</v>
      </c>
      <c r="E1169">
        <v>9885234.6870000008</v>
      </c>
      <c r="F1169">
        <v>-23587302.300000001</v>
      </c>
      <c r="G1169">
        <v>4</v>
      </c>
      <c r="H1169">
        <v>1</v>
      </c>
      <c r="I1169">
        <v>4</v>
      </c>
      <c r="J1169">
        <v>3.1</v>
      </c>
      <c r="K1169" t="s">
        <v>306</v>
      </c>
    </row>
    <row r="1170" spans="1:11" x14ac:dyDescent="0.35">
      <c r="A1170" t="s">
        <v>1180</v>
      </c>
      <c r="B1170">
        <v>5</v>
      </c>
      <c r="C1170">
        <v>-35227624.140000001</v>
      </c>
      <c r="D1170">
        <v>0</v>
      </c>
      <c r="E1170">
        <v>13490010.82</v>
      </c>
      <c r="F1170">
        <v>-26386198.199999999</v>
      </c>
      <c r="G1170">
        <v>4</v>
      </c>
      <c r="H1170">
        <v>1</v>
      </c>
      <c r="I1170">
        <v>4</v>
      </c>
      <c r="J1170">
        <v>3.1</v>
      </c>
      <c r="K1170" t="s">
        <v>306</v>
      </c>
    </row>
    <row r="1171" spans="1:11" x14ac:dyDescent="0.35">
      <c r="A1171" t="s">
        <v>1181</v>
      </c>
      <c r="B1171">
        <v>5</v>
      </c>
      <c r="C1171">
        <v>-35513086.859999999</v>
      </c>
      <c r="D1171">
        <v>0</v>
      </c>
      <c r="E1171">
        <v>10214652.9</v>
      </c>
      <c r="F1171">
        <v>-25788294.899999999</v>
      </c>
      <c r="G1171">
        <v>4</v>
      </c>
      <c r="H1171">
        <v>1</v>
      </c>
      <c r="I1171">
        <v>4</v>
      </c>
      <c r="J1171">
        <v>3.1</v>
      </c>
      <c r="K1171" t="s">
        <v>306</v>
      </c>
    </row>
    <row r="1172" spans="1:11" x14ac:dyDescent="0.35">
      <c r="A1172" t="s">
        <v>1182</v>
      </c>
      <c r="B1172">
        <v>5</v>
      </c>
      <c r="C1172">
        <v>-9280179.6400000006</v>
      </c>
      <c r="D1172">
        <v>0.4</v>
      </c>
      <c r="E1172">
        <v>11845043.66</v>
      </c>
      <c r="F1172">
        <v>-21033061.699999999</v>
      </c>
      <c r="G1172">
        <v>4</v>
      </c>
      <c r="H1172">
        <v>1</v>
      </c>
      <c r="I1172">
        <v>4</v>
      </c>
      <c r="J1172">
        <v>3.1</v>
      </c>
      <c r="K1172" t="s">
        <v>306</v>
      </c>
    </row>
    <row r="1173" spans="1:11" x14ac:dyDescent="0.35">
      <c r="A1173" t="s">
        <v>1183</v>
      </c>
      <c r="B1173">
        <v>5</v>
      </c>
      <c r="C1173">
        <v>-25751452.32</v>
      </c>
      <c r="D1173">
        <v>0</v>
      </c>
      <c r="E1173">
        <v>7673084.9589999998</v>
      </c>
      <c r="F1173">
        <v>-19194581.300000001</v>
      </c>
      <c r="G1173">
        <v>4</v>
      </c>
      <c r="H1173">
        <v>1</v>
      </c>
      <c r="I1173">
        <v>4</v>
      </c>
      <c r="J1173">
        <v>3.1</v>
      </c>
      <c r="K1173" t="s">
        <v>306</v>
      </c>
    </row>
    <row r="1174" spans="1:11" x14ac:dyDescent="0.35">
      <c r="A1174" t="s">
        <v>1184</v>
      </c>
      <c r="B1174">
        <v>5</v>
      </c>
      <c r="C1174">
        <v>5629668.8200000003</v>
      </c>
      <c r="D1174">
        <v>0.4</v>
      </c>
      <c r="E1174">
        <v>12293253.439999999</v>
      </c>
      <c r="F1174">
        <v>-19945053.199999999</v>
      </c>
      <c r="G1174">
        <v>4</v>
      </c>
      <c r="H1174">
        <v>1</v>
      </c>
      <c r="I1174">
        <v>4</v>
      </c>
      <c r="J1174">
        <v>3.1</v>
      </c>
      <c r="K1174" t="s">
        <v>306</v>
      </c>
    </row>
    <row r="1175" spans="1:11" x14ac:dyDescent="0.35">
      <c r="A1175" t="s">
        <v>1185</v>
      </c>
      <c r="B1175">
        <v>5</v>
      </c>
      <c r="C1175">
        <v>-27718304.600000001</v>
      </c>
      <c r="D1175">
        <v>0</v>
      </c>
      <c r="E1175">
        <v>11718653.529999999</v>
      </c>
      <c r="F1175">
        <v>-18532535.399999999</v>
      </c>
      <c r="G1175">
        <v>4</v>
      </c>
      <c r="H1175">
        <v>1</v>
      </c>
      <c r="I1175">
        <v>4</v>
      </c>
      <c r="J1175">
        <v>3.1</v>
      </c>
      <c r="K1175" t="s">
        <v>306</v>
      </c>
    </row>
    <row r="1176" spans="1:11" x14ac:dyDescent="0.35">
      <c r="A1176" t="s">
        <v>1186</v>
      </c>
      <c r="B1176">
        <v>5</v>
      </c>
      <c r="C1176">
        <v>-35357348.280000001</v>
      </c>
      <c r="D1176">
        <v>0</v>
      </c>
      <c r="E1176">
        <v>14156093.289999999</v>
      </c>
      <c r="F1176">
        <v>-34242636.399999999</v>
      </c>
      <c r="G1176">
        <v>4</v>
      </c>
      <c r="H1176">
        <v>1</v>
      </c>
      <c r="I1176">
        <v>4</v>
      </c>
      <c r="J1176">
        <v>3.1</v>
      </c>
      <c r="K1176" t="s">
        <v>306</v>
      </c>
    </row>
    <row r="1177" spans="1:11" x14ac:dyDescent="0.35">
      <c r="A1177" t="s">
        <v>1187</v>
      </c>
      <c r="B1177">
        <v>5</v>
      </c>
      <c r="C1177">
        <v>-16038652.92</v>
      </c>
      <c r="D1177">
        <v>0.2</v>
      </c>
      <c r="E1177">
        <v>11981114.23</v>
      </c>
      <c r="F1177">
        <v>-33603402.399999999</v>
      </c>
      <c r="G1177">
        <v>4</v>
      </c>
      <c r="H1177">
        <v>1</v>
      </c>
      <c r="I1177">
        <v>4</v>
      </c>
      <c r="J1177">
        <v>3.1</v>
      </c>
      <c r="K1177" t="s">
        <v>306</v>
      </c>
    </row>
    <row r="1178" spans="1:11" x14ac:dyDescent="0.35">
      <c r="A1178" t="s">
        <v>1188</v>
      </c>
      <c r="B1178">
        <v>5</v>
      </c>
      <c r="C1178">
        <v>-14600280.68</v>
      </c>
      <c r="D1178">
        <v>0.2</v>
      </c>
      <c r="E1178">
        <v>14435026.35</v>
      </c>
      <c r="F1178">
        <v>-29300857</v>
      </c>
      <c r="G1178">
        <v>4</v>
      </c>
      <c r="H1178">
        <v>1</v>
      </c>
      <c r="I1178">
        <v>4</v>
      </c>
      <c r="J1178">
        <v>3.1</v>
      </c>
      <c r="K1178" t="s">
        <v>306</v>
      </c>
    </row>
    <row r="1179" spans="1:11" x14ac:dyDescent="0.35">
      <c r="A1179" t="s">
        <v>1189</v>
      </c>
      <c r="B1179">
        <v>5</v>
      </c>
      <c r="C1179">
        <v>-1534662.62</v>
      </c>
      <c r="D1179">
        <v>0.2</v>
      </c>
      <c r="E1179">
        <v>3486673.7450000001</v>
      </c>
      <c r="F1179">
        <v>-6108800.2999999998</v>
      </c>
      <c r="G1179">
        <v>4</v>
      </c>
      <c r="H1179">
        <v>1</v>
      </c>
      <c r="I1179">
        <v>4</v>
      </c>
      <c r="J1179">
        <v>3.1</v>
      </c>
      <c r="K1179" t="s">
        <v>306</v>
      </c>
    </row>
    <row r="1180" spans="1:11" x14ac:dyDescent="0.35">
      <c r="A1180" t="s">
        <v>1190</v>
      </c>
      <c r="B1180">
        <v>5</v>
      </c>
      <c r="C1180">
        <v>-29609089.120000001</v>
      </c>
      <c r="D1180">
        <v>0</v>
      </c>
      <c r="E1180">
        <v>5578927.682</v>
      </c>
      <c r="F1180">
        <v>-6779905.2999999998</v>
      </c>
      <c r="G1180">
        <v>4</v>
      </c>
      <c r="H1180">
        <v>1</v>
      </c>
      <c r="I1180">
        <v>4</v>
      </c>
      <c r="J1180">
        <v>3.1</v>
      </c>
      <c r="K1180" t="s">
        <v>306</v>
      </c>
    </row>
    <row r="1181" spans="1:11" x14ac:dyDescent="0.35">
      <c r="A1181" t="s">
        <v>1191</v>
      </c>
      <c r="B1181">
        <v>5</v>
      </c>
      <c r="C1181">
        <v>-2761500.18</v>
      </c>
      <c r="D1181">
        <v>0.4</v>
      </c>
      <c r="E1181">
        <v>12882733.699999999</v>
      </c>
      <c r="F1181">
        <v>-6816923.7999999998</v>
      </c>
      <c r="G1181">
        <v>4</v>
      </c>
      <c r="H1181">
        <v>1</v>
      </c>
      <c r="I1181">
        <v>4</v>
      </c>
      <c r="J1181">
        <v>3.1</v>
      </c>
      <c r="K1181" t="s">
        <v>306</v>
      </c>
    </row>
    <row r="1182" spans="1:11" x14ac:dyDescent="0.35">
      <c r="A1182" t="s">
        <v>1192</v>
      </c>
      <c r="B1182">
        <v>5</v>
      </c>
      <c r="C1182">
        <v>-1651318.66</v>
      </c>
      <c r="D1182">
        <v>0.2</v>
      </c>
      <c r="E1182">
        <v>2398656.176</v>
      </c>
      <c r="F1182">
        <v>-5748969.7000000002</v>
      </c>
      <c r="G1182">
        <v>4</v>
      </c>
      <c r="H1182">
        <v>1</v>
      </c>
      <c r="I1182">
        <v>4</v>
      </c>
      <c r="J1182">
        <v>3.1</v>
      </c>
      <c r="K1182" t="s">
        <v>306</v>
      </c>
    </row>
    <row r="1183" spans="1:11" x14ac:dyDescent="0.35">
      <c r="A1183" t="s">
        <v>1193</v>
      </c>
      <c r="B1183">
        <v>5</v>
      </c>
      <c r="C1183">
        <v>-14805734.68</v>
      </c>
      <c r="D1183">
        <v>0</v>
      </c>
      <c r="E1183">
        <v>4675360.7659999998</v>
      </c>
      <c r="F1183">
        <v>-5677604.9000000004</v>
      </c>
      <c r="G1183">
        <v>4</v>
      </c>
      <c r="H1183">
        <v>1</v>
      </c>
      <c r="I1183">
        <v>4</v>
      </c>
      <c r="J1183">
        <v>3.1</v>
      </c>
      <c r="K1183" t="s">
        <v>306</v>
      </c>
    </row>
    <row r="1184" spans="1:11" x14ac:dyDescent="0.35">
      <c r="A1184" t="s">
        <v>1194</v>
      </c>
      <c r="B1184">
        <v>5</v>
      </c>
      <c r="C1184">
        <v>-8123364.2400000002</v>
      </c>
      <c r="D1184">
        <v>0.6</v>
      </c>
      <c r="E1184">
        <v>36513750.140000001</v>
      </c>
      <c r="F1184">
        <v>-93795938.5</v>
      </c>
      <c r="G1184">
        <v>3</v>
      </c>
      <c r="H1184">
        <v>2</v>
      </c>
      <c r="I1184">
        <v>5</v>
      </c>
      <c r="J1184">
        <v>3.1</v>
      </c>
      <c r="K1184" t="s">
        <v>306</v>
      </c>
    </row>
    <row r="1185" spans="1:11" x14ac:dyDescent="0.35">
      <c r="A1185" t="s">
        <v>1195</v>
      </c>
      <c r="B1185">
        <v>5</v>
      </c>
      <c r="C1185">
        <v>27617679.34</v>
      </c>
      <c r="D1185">
        <v>0.8</v>
      </c>
      <c r="E1185">
        <v>42154935.32</v>
      </c>
      <c r="F1185">
        <v>-78693238.400000006</v>
      </c>
      <c r="G1185">
        <v>3</v>
      </c>
      <c r="H1185">
        <v>2</v>
      </c>
      <c r="I1185">
        <v>5</v>
      </c>
      <c r="J1185">
        <v>3.1</v>
      </c>
      <c r="K1185" t="s">
        <v>306</v>
      </c>
    </row>
    <row r="1186" spans="1:11" x14ac:dyDescent="0.35">
      <c r="A1186" t="s">
        <v>1196</v>
      </c>
      <c r="B1186">
        <v>5</v>
      </c>
      <c r="C1186">
        <v>-14074736.279999999</v>
      </c>
      <c r="D1186">
        <v>0.2</v>
      </c>
      <c r="E1186">
        <v>15143419.25</v>
      </c>
      <c r="F1186">
        <v>-39049481.799999997</v>
      </c>
      <c r="G1186">
        <v>4</v>
      </c>
      <c r="H1186">
        <v>1</v>
      </c>
      <c r="I1186">
        <v>4</v>
      </c>
      <c r="J1186">
        <v>3.1</v>
      </c>
      <c r="K1186" t="s">
        <v>306</v>
      </c>
    </row>
    <row r="1187" spans="1:11" x14ac:dyDescent="0.35">
      <c r="A1187" t="s">
        <v>1197</v>
      </c>
      <c r="B1187">
        <v>5</v>
      </c>
      <c r="C1187">
        <v>119477255.3</v>
      </c>
      <c r="D1187">
        <v>0.8</v>
      </c>
      <c r="E1187">
        <v>188550300.5</v>
      </c>
      <c r="F1187">
        <v>-67700593.299999997</v>
      </c>
      <c r="G1187">
        <v>2</v>
      </c>
      <c r="H1187">
        <v>4</v>
      </c>
      <c r="I1187">
        <v>4</v>
      </c>
      <c r="J1187">
        <v>3</v>
      </c>
      <c r="K1187" t="s">
        <v>306</v>
      </c>
    </row>
    <row r="1188" spans="1:11" x14ac:dyDescent="0.35">
      <c r="A1188" t="s">
        <v>1198</v>
      </c>
      <c r="B1188">
        <v>5</v>
      </c>
      <c r="C1188">
        <v>215225936.90000001</v>
      </c>
      <c r="D1188">
        <v>1</v>
      </c>
      <c r="E1188">
        <v>304121157.80000001</v>
      </c>
      <c r="F1188">
        <v>-72086265.700000003</v>
      </c>
      <c r="G1188">
        <v>2</v>
      </c>
      <c r="H1188">
        <v>4</v>
      </c>
      <c r="I1188">
        <v>4</v>
      </c>
      <c r="J1188">
        <v>3</v>
      </c>
      <c r="K1188" t="s">
        <v>306</v>
      </c>
    </row>
    <row r="1189" spans="1:11" x14ac:dyDescent="0.35">
      <c r="A1189" t="s">
        <v>1199</v>
      </c>
      <c r="B1189">
        <v>5</v>
      </c>
      <c r="C1189">
        <v>2253121042</v>
      </c>
      <c r="D1189">
        <v>1</v>
      </c>
      <c r="E1189">
        <v>337100785</v>
      </c>
      <c r="F1189">
        <v>-81877050</v>
      </c>
      <c r="G1189">
        <v>1</v>
      </c>
      <c r="H1189">
        <v>5</v>
      </c>
      <c r="I1189">
        <v>5</v>
      </c>
      <c r="J1189">
        <v>3</v>
      </c>
      <c r="K1189" t="s">
        <v>306</v>
      </c>
    </row>
    <row r="1190" spans="1:11" x14ac:dyDescent="0.35">
      <c r="A1190" t="s">
        <v>1200</v>
      </c>
      <c r="B1190">
        <v>5</v>
      </c>
      <c r="C1190">
        <v>485183210.60000002</v>
      </c>
      <c r="D1190">
        <v>1</v>
      </c>
      <c r="E1190">
        <v>145228917.69999999</v>
      </c>
      <c r="F1190">
        <v>-72524558.599999994</v>
      </c>
      <c r="G1190">
        <v>2</v>
      </c>
      <c r="H1190">
        <v>4</v>
      </c>
      <c r="I1190">
        <v>4</v>
      </c>
      <c r="J1190">
        <v>3</v>
      </c>
      <c r="K1190" t="s">
        <v>306</v>
      </c>
    </row>
    <row r="1191" spans="1:11" x14ac:dyDescent="0.35">
      <c r="A1191" t="s">
        <v>1201</v>
      </c>
      <c r="B1191">
        <v>5</v>
      </c>
      <c r="C1191">
        <v>370982918.89999998</v>
      </c>
      <c r="D1191">
        <v>1</v>
      </c>
      <c r="E1191">
        <v>384102058</v>
      </c>
      <c r="F1191">
        <v>-92647037.099999994</v>
      </c>
      <c r="G1191">
        <v>1</v>
      </c>
      <c r="H1191">
        <v>5</v>
      </c>
      <c r="I1191">
        <v>5</v>
      </c>
      <c r="J1191">
        <v>3</v>
      </c>
      <c r="K1191" t="s">
        <v>306</v>
      </c>
    </row>
    <row r="1192" spans="1:11" x14ac:dyDescent="0.35">
      <c r="A1192" t="s">
        <v>1202</v>
      </c>
      <c r="B1192">
        <v>5</v>
      </c>
      <c r="C1192">
        <v>3859433665</v>
      </c>
      <c r="D1192">
        <v>1</v>
      </c>
      <c r="E1192">
        <v>1658581010</v>
      </c>
      <c r="F1192">
        <v>-108437299</v>
      </c>
      <c r="G1192">
        <v>1</v>
      </c>
      <c r="H1192">
        <v>5</v>
      </c>
      <c r="I1192">
        <v>5</v>
      </c>
      <c r="J1192">
        <v>3</v>
      </c>
      <c r="K1192" t="s">
        <v>306</v>
      </c>
    </row>
    <row r="1193" spans="1:11" x14ac:dyDescent="0.35">
      <c r="A1193" t="s">
        <v>1203</v>
      </c>
      <c r="B1193">
        <v>5</v>
      </c>
      <c r="C1193">
        <v>2178803922</v>
      </c>
      <c r="D1193">
        <v>1</v>
      </c>
      <c r="E1193">
        <v>414149838.30000001</v>
      </c>
      <c r="F1193">
        <v>-495160758</v>
      </c>
      <c r="G1193">
        <v>1</v>
      </c>
      <c r="H1193">
        <v>5</v>
      </c>
      <c r="I1193">
        <v>5</v>
      </c>
      <c r="J1193">
        <v>3</v>
      </c>
      <c r="K1193" t="s">
        <v>306</v>
      </c>
    </row>
    <row r="1194" spans="1:11" x14ac:dyDescent="0.35">
      <c r="A1194" t="s">
        <v>1204</v>
      </c>
      <c r="B1194">
        <v>5</v>
      </c>
      <c r="C1194">
        <v>655119354.39999998</v>
      </c>
      <c r="D1194">
        <v>1</v>
      </c>
      <c r="E1194">
        <v>419159724.89999998</v>
      </c>
      <c r="F1194">
        <v>-464662923.5</v>
      </c>
      <c r="G1194">
        <v>1</v>
      </c>
      <c r="H1194">
        <v>5</v>
      </c>
      <c r="I1194">
        <v>5</v>
      </c>
      <c r="J1194">
        <v>3</v>
      </c>
      <c r="K1194" t="s">
        <v>306</v>
      </c>
    </row>
    <row r="1195" spans="1:11" x14ac:dyDescent="0.35">
      <c r="A1195" t="s">
        <v>1205</v>
      </c>
      <c r="B1195">
        <v>5</v>
      </c>
      <c r="C1195">
        <v>2414033148</v>
      </c>
      <c r="D1195">
        <v>1</v>
      </c>
      <c r="E1195">
        <v>1883482073</v>
      </c>
      <c r="F1195">
        <v>-735901824</v>
      </c>
      <c r="G1195">
        <v>1</v>
      </c>
      <c r="H1195">
        <v>5</v>
      </c>
      <c r="I1195">
        <v>5</v>
      </c>
      <c r="J1195">
        <v>3</v>
      </c>
      <c r="K1195" t="s">
        <v>306</v>
      </c>
    </row>
    <row r="1196" spans="1:11" x14ac:dyDescent="0.35">
      <c r="A1196" t="s">
        <v>1206</v>
      </c>
      <c r="B1196">
        <v>5</v>
      </c>
      <c r="C1196">
        <v>2191905700</v>
      </c>
      <c r="D1196">
        <v>1</v>
      </c>
      <c r="E1196">
        <v>868143714.60000002</v>
      </c>
      <c r="F1196">
        <v>-814113998</v>
      </c>
      <c r="G1196">
        <v>1</v>
      </c>
      <c r="H1196">
        <v>5</v>
      </c>
      <c r="I1196">
        <v>5</v>
      </c>
      <c r="J1196">
        <v>3</v>
      </c>
      <c r="K1196" t="s">
        <v>306</v>
      </c>
    </row>
    <row r="1197" spans="1:11" x14ac:dyDescent="0.35">
      <c r="A1197" t="s">
        <v>1207</v>
      </c>
      <c r="B1197">
        <v>5</v>
      </c>
      <c r="C1197">
        <v>2641921146</v>
      </c>
      <c r="D1197">
        <v>1</v>
      </c>
      <c r="E1197">
        <v>2000420260</v>
      </c>
      <c r="F1197">
        <v>-817254646</v>
      </c>
      <c r="G1197">
        <v>1</v>
      </c>
      <c r="H1197">
        <v>5</v>
      </c>
      <c r="I1197">
        <v>5</v>
      </c>
      <c r="J1197">
        <v>3</v>
      </c>
      <c r="K1197" t="s">
        <v>306</v>
      </c>
    </row>
    <row r="1198" spans="1:11" x14ac:dyDescent="0.35">
      <c r="A1198" t="s">
        <v>1208</v>
      </c>
      <c r="B1198">
        <v>5</v>
      </c>
      <c r="C1198">
        <v>1785125745</v>
      </c>
      <c r="D1198">
        <v>1</v>
      </c>
      <c r="E1198">
        <v>942475566.79999995</v>
      </c>
      <c r="F1198">
        <v>-694523541</v>
      </c>
      <c r="G1198">
        <v>1</v>
      </c>
      <c r="H1198">
        <v>5</v>
      </c>
      <c r="I1198">
        <v>5</v>
      </c>
      <c r="J1198">
        <v>3</v>
      </c>
      <c r="K1198" t="s">
        <v>306</v>
      </c>
    </row>
    <row r="1199" spans="1:11" x14ac:dyDescent="0.35">
      <c r="A1199" t="s">
        <v>1209</v>
      </c>
      <c r="B1199">
        <v>5</v>
      </c>
      <c r="C1199">
        <v>1032159466</v>
      </c>
      <c r="D1199">
        <v>1</v>
      </c>
      <c r="E1199">
        <v>625995613.70000005</v>
      </c>
      <c r="F1199">
        <v>-888502997.10000002</v>
      </c>
      <c r="G1199">
        <v>1</v>
      </c>
      <c r="H1199">
        <v>5</v>
      </c>
      <c r="I1199">
        <v>5</v>
      </c>
      <c r="J1199">
        <v>3</v>
      </c>
      <c r="K1199" t="s">
        <v>306</v>
      </c>
    </row>
    <row r="1200" spans="1:11" x14ac:dyDescent="0.35">
      <c r="A1200" t="s">
        <v>1210</v>
      </c>
      <c r="B1200">
        <v>5</v>
      </c>
      <c r="C1200">
        <v>2891199138</v>
      </c>
      <c r="D1200">
        <v>1</v>
      </c>
      <c r="E1200">
        <v>1034450939</v>
      </c>
      <c r="F1200">
        <v>-1005635394</v>
      </c>
      <c r="G1200">
        <v>1</v>
      </c>
      <c r="H1200">
        <v>5</v>
      </c>
      <c r="I1200">
        <v>5</v>
      </c>
      <c r="J1200">
        <v>3</v>
      </c>
      <c r="K1200" t="s">
        <v>306</v>
      </c>
    </row>
    <row r="1201" spans="1:11" x14ac:dyDescent="0.35">
      <c r="A1201" t="s">
        <v>1211</v>
      </c>
      <c r="B1201">
        <v>5</v>
      </c>
      <c r="C1201">
        <v>1066519647</v>
      </c>
      <c r="D1201">
        <v>1</v>
      </c>
      <c r="E1201">
        <v>594368653.60000002</v>
      </c>
      <c r="F1201">
        <v>-356655817.80000001</v>
      </c>
      <c r="G1201">
        <v>1</v>
      </c>
      <c r="H1201">
        <v>5</v>
      </c>
      <c r="I1201">
        <v>5</v>
      </c>
      <c r="J1201">
        <v>3</v>
      </c>
      <c r="K1201" t="s">
        <v>306</v>
      </c>
    </row>
    <row r="1202" spans="1:11" x14ac:dyDescent="0.35">
      <c r="A1202" t="s">
        <v>1212</v>
      </c>
      <c r="B1202">
        <v>5</v>
      </c>
      <c r="C1202">
        <v>1307346668</v>
      </c>
      <c r="D1202">
        <v>1</v>
      </c>
      <c r="E1202">
        <v>788361857</v>
      </c>
      <c r="F1202">
        <v>-370021339.5</v>
      </c>
      <c r="G1202">
        <v>1</v>
      </c>
      <c r="H1202">
        <v>5</v>
      </c>
      <c r="I1202">
        <v>5</v>
      </c>
      <c r="J1202">
        <v>3</v>
      </c>
      <c r="K1202" t="s">
        <v>306</v>
      </c>
    </row>
    <row r="1203" spans="1:11" x14ac:dyDescent="0.35">
      <c r="A1203" t="s">
        <v>1213</v>
      </c>
      <c r="B1203">
        <v>5</v>
      </c>
      <c r="C1203">
        <v>1434733548</v>
      </c>
      <c r="D1203">
        <v>1</v>
      </c>
      <c r="E1203">
        <v>480890546.80000001</v>
      </c>
      <c r="F1203">
        <v>-377029945</v>
      </c>
      <c r="G1203">
        <v>1</v>
      </c>
      <c r="H1203">
        <v>5</v>
      </c>
      <c r="I1203">
        <v>5</v>
      </c>
      <c r="J1203">
        <v>3</v>
      </c>
      <c r="K1203" t="s">
        <v>306</v>
      </c>
    </row>
    <row r="1204" spans="1:11" x14ac:dyDescent="0.35">
      <c r="A1204" t="s">
        <v>1214</v>
      </c>
      <c r="B1204">
        <v>5</v>
      </c>
      <c r="C1204">
        <v>1715631214</v>
      </c>
      <c r="D1204">
        <v>1</v>
      </c>
      <c r="E1204">
        <v>419505478.19999999</v>
      </c>
      <c r="F1204">
        <v>-311573063</v>
      </c>
      <c r="G1204">
        <v>1</v>
      </c>
      <c r="H1204">
        <v>5</v>
      </c>
      <c r="I1204">
        <v>5</v>
      </c>
      <c r="J1204">
        <v>3</v>
      </c>
      <c r="K1204" t="s">
        <v>306</v>
      </c>
    </row>
    <row r="1205" spans="1:11" x14ac:dyDescent="0.35">
      <c r="A1205" t="s">
        <v>1215</v>
      </c>
      <c r="B1205">
        <v>5</v>
      </c>
      <c r="C1205">
        <v>1257454492</v>
      </c>
      <c r="D1205">
        <v>1</v>
      </c>
      <c r="E1205">
        <v>405603426.39999998</v>
      </c>
      <c r="F1205">
        <v>-316363167.39999998</v>
      </c>
      <c r="G1205">
        <v>1</v>
      </c>
      <c r="H1205">
        <v>5</v>
      </c>
      <c r="I1205">
        <v>5</v>
      </c>
      <c r="J1205">
        <v>3</v>
      </c>
      <c r="K1205" t="s">
        <v>306</v>
      </c>
    </row>
    <row r="1206" spans="1:11" x14ac:dyDescent="0.35">
      <c r="A1206" t="s">
        <v>1216</v>
      </c>
      <c r="B1206">
        <v>5</v>
      </c>
      <c r="C1206">
        <v>882354602.10000002</v>
      </c>
      <c r="D1206">
        <v>1</v>
      </c>
      <c r="E1206">
        <v>1216483966</v>
      </c>
      <c r="F1206">
        <v>-194985658.59999999</v>
      </c>
      <c r="G1206">
        <v>1</v>
      </c>
      <c r="H1206">
        <v>5</v>
      </c>
      <c r="I1206">
        <v>5</v>
      </c>
      <c r="J1206">
        <v>3</v>
      </c>
      <c r="K1206" t="s">
        <v>306</v>
      </c>
    </row>
    <row r="1207" spans="1:11" x14ac:dyDescent="0.35">
      <c r="A1207" t="s">
        <v>1217</v>
      </c>
      <c r="B1207">
        <v>5</v>
      </c>
      <c r="C1207">
        <v>1199961505</v>
      </c>
      <c r="D1207">
        <v>1</v>
      </c>
      <c r="E1207">
        <v>411165729</v>
      </c>
      <c r="F1207">
        <v>-234431692.30000001</v>
      </c>
      <c r="G1207">
        <v>1</v>
      </c>
      <c r="H1207">
        <v>5</v>
      </c>
      <c r="I1207">
        <v>5</v>
      </c>
      <c r="J1207">
        <v>3</v>
      </c>
      <c r="K1207" t="s">
        <v>306</v>
      </c>
    </row>
    <row r="1208" spans="1:11" x14ac:dyDescent="0.35">
      <c r="A1208" t="s">
        <v>1218</v>
      </c>
      <c r="B1208">
        <v>5</v>
      </c>
      <c r="C1208">
        <v>38943265.039999999</v>
      </c>
      <c r="D1208">
        <v>0.6</v>
      </c>
      <c r="E1208">
        <v>52493559.299999997</v>
      </c>
      <c r="F1208">
        <v>-4804765.7</v>
      </c>
      <c r="G1208">
        <v>3</v>
      </c>
      <c r="H1208">
        <v>3</v>
      </c>
      <c r="I1208">
        <v>3</v>
      </c>
      <c r="J1208">
        <v>3</v>
      </c>
      <c r="K1208" t="s">
        <v>306</v>
      </c>
    </row>
    <row r="1209" spans="1:11" x14ac:dyDescent="0.35">
      <c r="A1209" t="s">
        <v>1219</v>
      </c>
      <c r="B1209">
        <v>5</v>
      </c>
      <c r="C1209">
        <v>-9117123.5800000001</v>
      </c>
      <c r="D1209">
        <v>0.6</v>
      </c>
      <c r="E1209">
        <v>64217244.590000004</v>
      </c>
      <c r="F1209">
        <v>-2866623.4</v>
      </c>
      <c r="G1209">
        <v>3</v>
      </c>
      <c r="H1209">
        <v>3</v>
      </c>
      <c r="I1209">
        <v>3</v>
      </c>
      <c r="J1209">
        <v>3</v>
      </c>
      <c r="K1209" t="s">
        <v>306</v>
      </c>
    </row>
    <row r="1210" spans="1:11" x14ac:dyDescent="0.35">
      <c r="A1210" t="s">
        <v>1220</v>
      </c>
      <c r="B1210">
        <v>5</v>
      </c>
      <c r="C1210">
        <v>-75510660.959999993</v>
      </c>
      <c r="D1210">
        <v>0.4</v>
      </c>
      <c r="E1210">
        <v>104653904.8</v>
      </c>
      <c r="F1210">
        <v>4781032.5</v>
      </c>
      <c r="G1210">
        <v>3</v>
      </c>
      <c r="H1210">
        <v>3</v>
      </c>
      <c r="I1210">
        <v>3</v>
      </c>
      <c r="J1210">
        <v>3</v>
      </c>
      <c r="K1210" t="s">
        <v>306</v>
      </c>
    </row>
    <row r="1211" spans="1:11" x14ac:dyDescent="0.35">
      <c r="A1211" t="s">
        <v>1221</v>
      </c>
      <c r="B1211">
        <v>5</v>
      </c>
      <c r="C1211">
        <v>33139634.199999999</v>
      </c>
      <c r="D1211">
        <v>0.8</v>
      </c>
      <c r="E1211">
        <v>82602182.590000004</v>
      </c>
      <c r="F1211">
        <v>4267012.3</v>
      </c>
      <c r="G1211">
        <v>3</v>
      </c>
      <c r="H1211">
        <v>3</v>
      </c>
      <c r="I1211">
        <v>3</v>
      </c>
      <c r="J1211">
        <v>3</v>
      </c>
      <c r="K1211" t="s">
        <v>306</v>
      </c>
    </row>
    <row r="1212" spans="1:11" x14ac:dyDescent="0.35">
      <c r="A1212" t="s">
        <v>1222</v>
      </c>
      <c r="B1212">
        <v>5</v>
      </c>
      <c r="C1212">
        <v>25819667.420000002</v>
      </c>
      <c r="D1212">
        <v>0.6</v>
      </c>
      <c r="E1212">
        <v>60262491.280000001</v>
      </c>
      <c r="F1212">
        <v>4354952</v>
      </c>
      <c r="G1212">
        <v>3</v>
      </c>
      <c r="H1212">
        <v>3</v>
      </c>
      <c r="I1212">
        <v>3</v>
      </c>
      <c r="J1212">
        <v>3</v>
      </c>
      <c r="K1212" t="s">
        <v>306</v>
      </c>
    </row>
    <row r="1213" spans="1:11" x14ac:dyDescent="0.35">
      <c r="A1213" t="s">
        <v>1223</v>
      </c>
      <c r="B1213">
        <v>5</v>
      </c>
      <c r="C1213">
        <v>54369087.100000001</v>
      </c>
      <c r="D1213">
        <v>0.8</v>
      </c>
      <c r="E1213">
        <v>87188569.180000007</v>
      </c>
      <c r="F1213">
        <v>2446223.1</v>
      </c>
      <c r="G1213">
        <v>3</v>
      </c>
      <c r="H1213">
        <v>3</v>
      </c>
      <c r="I1213">
        <v>3</v>
      </c>
      <c r="J1213">
        <v>3</v>
      </c>
      <c r="K1213" t="s">
        <v>306</v>
      </c>
    </row>
    <row r="1214" spans="1:11" x14ac:dyDescent="0.35">
      <c r="A1214" t="s">
        <v>1224</v>
      </c>
      <c r="B1214">
        <v>5</v>
      </c>
      <c r="C1214">
        <v>682270711.20000005</v>
      </c>
      <c r="D1214">
        <v>1</v>
      </c>
      <c r="E1214">
        <v>238884955.80000001</v>
      </c>
      <c r="F1214">
        <v>-36622864.100000001</v>
      </c>
      <c r="G1214">
        <v>2</v>
      </c>
      <c r="H1214">
        <v>4</v>
      </c>
      <c r="I1214">
        <v>4</v>
      </c>
      <c r="J1214">
        <v>3</v>
      </c>
      <c r="K1214" t="s">
        <v>306</v>
      </c>
    </row>
    <row r="1215" spans="1:11" x14ac:dyDescent="0.35">
      <c r="A1215" t="s">
        <v>1225</v>
      </c>
      <c r="B1215">
        <v>5</v>
      </c>
      <c r="C1215">
        <v>-28192718.780000001</v>
      </c>
      <c r="D1215">
        <v>0.4</v>
      </c>
      <c r="E1215">
        <v>40011026.530000001</v>
      </c>
      <c r="F1215">
        <v>95528800.200000003</v>
      </c>
      <c r="G1215">
        <v>4</v>
      </c>
      <c r="H1215">
        <v>2</v>
      </c>
      <c r="I1215">
        <v>2</v>
      </c>
      <c r="J1215">
        <v>3</v>
      </c>
      <c r="K1215" t="s">
        <v>306</v>
      </c>
    </row>
    <row r="1216" spans="1:11" x14ac:dyDescent="0.35">
      <c r="A1216" t="s">
        <v>1226</v>
      </c>
      <c r="B1216">
        <v>5</v>
      </c>
      <c r="C1216">
        <v>-1726763.7</v>
      </c>
      <c r="D1216">
        <v>0.4</v>
      </c>
      <c r="E1216">
        <v>37756951.939999998</v>
      </c>
      <c r="F1216">
        <v>102004400.5</v>
      </c>
      <c r="G1216">
        <v>4</v>
      </c>
      <c r="H1216">
        <v>2</v>
      </c>
      <c r="I1216">
        <v>2</v>
      </c>
      <c r="J1216">
        <v>3</v>
      </c>
      <c r="K1216" t="s">
        <v>306</v>
      </c>
    </row>
    <row r="1217" spans="1:11" x14ac:dyDescent="0.35">
      <c r="A1217" t="s">
        <v>1227</v>
      </c>
      <c r="B1217">
        <v>5</v>
      </c>
      <c r="C1217">
        <v>-75882191.480000004</v>
      </c>
      <c r="D1217">
        <v>0</v>
      </c>
      <c r="E1217">
        <v>45198346</v>
      </c>
      <c r="F1217">
        <v>117568134.40000001</v>
      </c>
      <c r="G1217">
        <v>4</v>
      </c>
      <c r="H1217">
        <v>2</v>
      </c>
      <c r="I1217">
        <v>2</v>
      </c>
      <c r="J1217">
        <v>3</v>
      </c>
      <c r="K1217" t="s">
        <v>306</v>
      </c>
    </row>
    <row r="1218" spans="1:11" x14ac:dyDescent="0.35">
      <c r="A1218" t="s">
        <v>1228</v>
      </c>
      <c r="B1218">
        <v>5</v>
      </c>
      <c r="C1218">
        <v>-70765323.939999998</v>
      </c>
      <c r="D1218">
        <v>0</v>
      </c>
      <c r="E1218">
        <v>37180022.600000001</v>
      </c>
      <c r="F1218">
        <v>89991244.599999994</v>
      </c>
      <c r="G1218">
        <v>4</v>
      </c>
      <c r="H1218">
        <v>2</v>
      </c>
      <c r="I1218">
        <v>2</v>
      </c>
      <c r="J1218">
        <v>3</v>
      </c>
      <c r="K1218" t="s">
        <v>306</v>
      </c>
    </row>
    <row r="1219" spans="1:11" x14ac:dyDescent="0.35">
      <c r="A1219" t="s">
        <v>1229</v>
      </c>
      <c r="B1219">
        <v>5</v>
      </c>
      <c r="C1219">
        <v>-20433999.82</v>
      </c>
      <c r="D1219">
        <v>0.2</v>
      </c>
      <c r="E1219">
        <v>33288904.23</v>
      </c>
      <c r="F1219">
        <v>89136689.799999997</v>
      </c>
      <c r="G1219">
        <v>4</v>
      </c>
      <c r="H1219">
        <v>2</v>
      </c>
      <c r="I1219">
        <v>2</v>
      </c>
      <c r="J1219">
        <v>3</v>
      </c>
      <c r="K1219" t="s">
        <v>306</v>
      </c>
    </row>
    <row r="1220" spans="1:11" x14ac:dyDescent="0.35">
      <c r="A1220" t="s">
        <v>1230</v>
      </c>
      <c r="B1220">
        <v>5</v>
      </c>
      <c r="C1220">
        <v>-11861807.199999999</v>
      </c>
      <c r="D1220">
        <v>0.2</v>
      </c>
      <c r="E1220">
        <v>41387052.979999997</v>
      </c>
      <c r="F1220">
        <v>82669393.700000003</v>
      </c>
      <c r="G1220">
        <v>4</v>
      </c>
      <c r="H1220">
        <v>2</v>
      </c>
      <c r="I1220">
        <v>2</v>
      </c>
      <c r="J1220">
        <v>3</v>
      </c>
      <c r="K1220" t="s">
        <v>306</v>
      </c>
    </row>
    <row r="1221" spans="1:11" x14ac:dyDescent="0.35">
      <c r="A1221" t="s">
        <v>1231</v>
      </c>
      <c r="B1221">
        <v>5</v>
      </c>
      <c r="C1221">
        <v>-50985153.719999999</v>
      </c>
      <c r="D1221">
        <v>0.2</v>
      </c>
      <c r="E1221">
        <v>44720923.890000001</v>
      </c>
      <c r="F1221">
        <v>82122284.900000006</v>
      </c>
      <c r="G1221">
        <v>4</v>
      </c>
      <c r="H1221">
        <v>2</v>
      </c>
      <c r="I1221">
        <v>2</v>
      </c>
      <c r="J1221">
        <v>3</v>
      </c>
      <c r="K1221" t="s">
        <v>306</v>
      </c>
    </row>
    <row r="1222" spans="1:11" x14ac:dyDescent="0.35">
      <c r="A1222" t="s">
        <v>1232</v>
      </c>
      <c r="B1222">
        <v>5</v>
      </c>
      <c r="C1222">
        <v>-29624381.440000001</v>
      </c>
      <c r="D1222">
        <v>0.2</v>
      </c>
      <c r="E1222">
        <v>40636063.600000001</v>
      </c>
      <c r="F1222">
        <v>65305547.899999999</v>
      </c>
      <c r="G1222">
        <v>4</v>
      </c>
      <c r="H1222">
        <v>2</v>
      </c>
      <c r="I1222">
        <v>2</v>
      </c>
      <c r="J1222">
        <v>3</v>
      </c>
      <c r="K1222" t="s">
        <v>306</v>
      </c>
    </row>
    <row r="1223" spans="1:11" x14ac:dyDescent="0.35">
      <c r="A1223" t="s">
        <v>1233</v>
      </c>
      <c r="B1223">
        <v>5</v>
      </c>
      <c r="C1223">
        <v>-12255273.199999999</v>
      </c>
      <c r="D1223">
        <v>0.2</v>
      </c>
      <c r="E1223">
        <v>36935768.259999998</v>
      </c>
      <c r="F1223">
        <v>66455314.799999997</v>
      </c>
      <c r="G1223">
        <v>4</v>
      </c>
      <c r="H1223">
        <v>2</v>
      </c>
      <c r="I1223">
        <v>2</v>
      </c>
      <c r="J1223">
        <v>3</v>
      </c>
      <c r="K1223" t="s">
        <v>306</v>
      </c>
    </row>
    <row r="1224" spans="1:11" x14ac:dyDescent="0.35">
      <c r="A1224" t="s">
        <v>1234</v>
      </c>
      <c r="B1224">
        <v>5</v>
      </c>
      <c r="C1224">
        <v>-89320506.159999996</v>
      </c>
      <c r="D1224">
        <v>0</v>
      </c>
      <c r="E1224">
        <v>33252114.98</v>
      </c>
      <c r="F1224">
        <v>62926416.5</v>
      </c>
      <c r="G1224">
        <v>4</v>
      </c>
      <c r="H1224">
        <v>2</v>
      </c>
      <c r="I1224">
        <v>2</v>
      </c>
      <c r="J1224">
        <v>3</v>
      </c>
      <c r="K1224" t="s">
        <v>306</v>
      </c>
    </row>
    <row r="1225" spans="1:11" x14ac:dyDescent="0.35">
      <c r="A1225" t="s">
        <v>1235</v>
      </c>
      <c r="B1225">
        <v>5</v>
      </c>
      <c r="C1225">
        <v>-18782387.02</v>
      </c>
      <c r="D1225">
        <v>0.2</v>
      </c>
      <c r="E1225">
        <v>37461547.850000001</v>
      </c>
      <c r="F1225">
        <v>71289001.799999997</v>
      </c>
      <c r="G1225">
        <v>4</v>
      </c>
      <c r="H1225">
        <v>2</v>
      </c>
      <c r="I1225">
        <v>2</v>
      </c>
      <c r="J1225">
        <v>3</v>
      </c>
      <c r="K1225" t="s">
        <v>306</v>
      </c>
    </row>
    <row r="1226" spans="1:11" x14ac:dyDescent="0.35">
      <c r="A1226" t="s">
        <v>1236</v>
      </c>
      <c r="B1226">
        <v>5</v>
      </c>
      <c r="C1226">
        <v>-74463774.040000007</v>
      </c>
      <c r="D1226">
        <v>0</v>
      </c>
      <c r="E1226">
        <v>38742397.909999996</v>
      </c>
      <c r="F1226">
        <v>56919238.399999999</v>
      </c>
      <c r="G1226">
        <v>4</v>
      </c>
      <c r="H1226">
        <v>2</v>
      </c>
      <c r="I1226">
        <v>2</v>
      </c>
      <c r="J1226">
        <v>3</v>
      </c>
      <c r="K1226" t="s">
        <v>306</v>
      </c>
    </row>
    <row r="1227" spans="1:11" x14ac:dyDescent="0.35">
      <c r="A1227" t="s">
        <v>1237</v>
      </c>
      <c r="B1227">
        <v>5</v>
      </c>
      <c r="C1227">
        <v>-11306780.02</v>
      </c>
      <c r="D1227">
        <v>0.4</v>
      </c>
      <c r="E1227">
        <v>23922282.02</v>
      </c>
      <c r="F1227">
        <v>56793262</v>
      </c>
      <c r="G1227">
        <v>4</v>
      </c>
      <c r="H1227">
        <v>2</v>
      </c>
      <c r="I1227">
        <v>2</v>
      </c>
      <c r="J1227">
        <v>3</v>
      </c>
      <c r="K1227" t="s">
        <v>306</v>
      </c>
    </row>
    <row r="1228" spans="1:11" x14ac:dyDescent="0.35">
      <c r="A1228" t="s">
        <v>1238</v>
      </c>
      <c r="B1228">
        <v>5</v>
      </c>
      <c r="C1228">
        <v>-12098825.779999999</v>
      </c>
      <c r="D1228">
        <v>0.4</v>
      </c>
      <c r="E1228">
        <v>19777503.989999998</v>
      </c>
      <c r="F1228">
        <v>43044315.700000003</v>
      </c>
      <c r="G1228">
        <v>4</v>
      </c>
      <c r="H1228">
        <v>2</v>
      </c>
      <c r="I1228">
        <v>2</v>
      </c>
      <c r="J1228">
        <v>3</v>
      </c>
      <c r="K1228" t="s">
        <v>306</v>
      </c>
    </row>
    <row r="1229" spans="1:11" x14ac:dyDescent="0.35">
      <c r="A1229" t="s">
        <v>1239</v>
      </c>
      <c r="B1229">
        <v>5</v>
      </c>
      <c r="C1229">
        <v>-36957826.579999998</v>
      </c>
      <c r="D1229">
        <v>0.2</v>
      </c>
      <c r="E1229">
        <v>27890003.899999999</v>
      </c>
      <c r="F1229">
        <v>43859482.100000001</v>
      </c>
      <c r="G1229">
        <v>4</v>
      </c>
      <c r="H1229">
        <v>2</v>
      </c>
      <c r="I1229">
        <v>2</v>
      </c>
      <c r="J1229">
        <v>3</v>
      </c>
      <c r="K1229" t="s">
        <v>306</v>
      </c>
    </row>
    <row r="1230" spans="1:11" x14ac:dyDescent="0.35">
      <c r="A1230" t="s">
        <v>1240</v>
      </c>
      <c r="B1230">
        <v>5</v>
      </c>
      <c r="C1230">
        <v>-17611074.120000001</v>
      </c>
      <c r="D1230">
        <v>0.4</v>
      </c>
      <c r="E1230">
        <v>29798704.25</v>
      </c>
      <c r="F1230">
        <v>50379513.700000003</v>
      </c>
      <c r="G1230">
        <v>4</v>
      </c>
      <c r="H1230">
        <v>2</v>
      </c>
      <c r="I1230">
        <v>2</v>
      </c>
      <c r="J1230">
        <v>3</v>
      </c>
      <c r="K1230" t="s">
        <v>306</v>
      </c>
    </row>
    <row r="1231" spans="1:11" x14ac:dyDescent="0.35">
      <c r="A1231" t="s">
        <v>1241</v>
      </c>
      <c r="B1231">
        <v>5</v>
      </c>
      <c r="C1231">
        <v>-6384421.2999999998</v>
      </c>
      <c r="D1231">
        <v>0.4</v>
      </c>
      <c r="E1231">
        <v>38230671.07</v>
      </c>
      <c r="F1231">
        <v>46610577.700000003</v>
      </c>
      <c r="G1231">
        <v>4</v>
      </c>
      <c r="H1231">
        <v>2</v>
      </c>
      <c r="I1231">
        <v>2</v>
      </c>
      <c r="J1231">
        <v>3</v>
      </c>
      <c r="K1231" t="s">
        <v>306</v>
      </c>
    </row>
    <row r="1232" spans="1:11" x14ac:dyDescent="0.35">
      <c r="A1232" t="s">
        <v>1242</v>
      </c>
      <c r="B1232">
        <v>5</v>
      </c>
      <c r="C1232">
        <v>-39610783.119999997</v>
      </c>
      <c r="D1232">
        <v>0</v>
      </c>
      <c r="E1232">
        <v>39368283.82</v>
      </c>
      <c r="F1232">
        <v>46606854.600000001</v>
      </c>
      <c r="G1232">
        <v>4</v>
      </c>
      <c r="H1232">
        <v>2</v>
      </c>
      <c r="I1232">
        <v>2</v>
      </c>
      <c r="J1232">
        <v>3</v>
      </c>
      <c r="K1232" t="s">
        <v>306</v>
      </c>
    </row>
    <row r="1233" spans="1:11" x14ac:dyDescent="0.35">
      <c r="A1233" t="s">
        <v>1243</v>
      </c>
      <c r="B1233">
        <v>5</v>
      </c>
      <c r="C1233">
        <v>-16485970.279999999</v>
      </c>
      <c r="D1233">
        <v>0.2</v>
      </c>
      <c r="E1233">
        <v>18897096.010000002</v>
      </c>
      <c r="F1233">
        <v>31780951.199999999</v>
      </c>
      <c r="G1233">
        <v>4</v>
      </c>
      <c r="H1233">
        <v>2</v>
      </c>
      <c r="I1233">
        <v>2</v>
      </c>
      <c r="J1233">
        <v>3</v>
      </c>
      <c r="K1233" t="s">
        <v>306</v>
      </c>
    </row>
    <row r="1234" spans="1:11" x14ac:dyDescent="0.35">
      <c r="A1234" t="s">
        <v>1244</v>
      </c>
      <c r="B1234">
        <v>5</v>
      </c>
      <c r="C1234">
        <v>-20115156</v>
      </c>
      <c r="D1234">
        <v>0.4</v>
      </c>
      <c r="E1234">
        <v>28108040.559999999</v>
      </c>
      <c r="F1234">
        <v>28168438.399999999</v>
      </c>
      <c r="G1234">
        <v>4</v>
      </c>
      <c r="H1234">
        <v>2</v>
      </c>
      <c r="I1234">
        <v>2</v>
      </c>
      <c r="J1234">
        <v>3</v>
      </c>
      <c r="K1234" t="s">
        <v>306</v>
      </c>
    </row>
    <row r="1235" spans="1:11" x14ac:dyDescent="0.35">
      <c r="A1235" t="s">
        <v>1245</v>
      </c>
      <c r="B1235">
        <v>5</v>
      </c>
      <c r="C1235">
        <v>7325657.5199999996</v>
      </c>
      <c r="D1235">
        <v>0.4</v>
      </c>
      <c r="E1235">
        <v>39788726.359999999</v>
      </c>
      <c r="F1235">
        <v>33348522.5</v>
      </c>
      <c r="G1235">
        <v>4</v>
      </c>
      <c r="H1235">
        <v>2</v>
      </c>
      <c r="I1235">
        <v>2</v>
      </c>
      <c r="J1235">
        <v>3</v>
      </c>
      <c r="K1235" t="s">
        <v>306</v>
      </c>
    </row>
    <row r="1236" spans="1:11" x14ac:dyDescent="0.35">
      <c r="A1236" t="s">
        <v>1246</v>
      </c>
      <c r="B1236">
        <v>5</v>
      </c>
      <c r="C1236">
        <v>-19793451.68</v>
      </c>
      <c r="D1236">
        <v>0.2</v>
      </c>
      <c r="E1236">
        <v>38436371.539999999</v>
      </c>
      <c r="F1236">
        <v>32396532.699999999</v>
      </c>
      <c r="G1236">
        <v>4</v>
      </c>
      <c r="H1236">
        <v>2</v>
      </c>
      <c r="I1236">
        <v>2</v>
      </c>
      <c r="J1236">
        <v>3</v>
      </c>
      <c r="K1236" t="s">
        <v>306</v>
      </c>
    </row>
    <row r="1237" spans="1:11" x14ac:dyDescent="0.35">
      <c r="A1237" t="s">
        <v>1247</v>
      </c>
      <c r="B1237">
        <v>5</v>
      </c>
      <c r="C1237">
        <v>-19803668.780000001</v>
      </c>
      <c r="D1237">
        <v>0.4</v>
      </c>
      <c r="E1237">
        <v>34168297.039999999</v>
      </c>
      <c r="F1237">
        <v>33524784.5</v>
      </c>
      <c r="G1237">
        <v>4</v>
      </c>
      <c r="H1237">
        <v>2</v>
      </c>
      <c r="I1237">
        <v>2</v>
      </c>
      <c r="J1237">
        <v>3</v>
      </c>
      <c r="K1237" t="s">
        <v>306</v>
      </c>
    </row>
    <row r="1238" spans="1:11" x14ac:dyDescent="0.35">
      <c r="A1238" t="s">
        <v>1248</v>
      </c>
      <c r="B1238">
        <v>5</v>
      </c>
      <c r="C1238">
        <v>2764503.68</v>
      </c>
      <c r="D1238">
        <v>0.4</v>
      </c>
      <c r="E1238">
        <v>32502251.579999998</v>
      </c>
      <c r="F1238">
        <v>37941312.399999999</v>
      </c>
      <c r="G1238">
        <v>4</v>
      </c>
      <c r="H1238">
        <v>2</v>
      </c>
      <c r="I1238">
        <v>2</v>
      </c>
      <c r="J1238">
        <v>3</v>
      </c>
      <c r="K1238" t="s">
        <v>306</v>
      </c>
    </row>
    <row r="1239" spans="1:11" x14ac:dyDescent="0.35">
      <c r="A1239" t="s">
        <v>1249</v>
      </c>
      <c r="B1239">
        <v>5</v>
      </c>
      <c r="C1239">
        <v>-8293129.3200000003</v>
      </c>
      <c r="D1239">
        <v>0.2</v>
      </c>
      <c r="E1239">
        <v>23822038.510000002</v>
      </c>
      <c r="F1239">
        <v>36413646.399999999</v>
      </c>
      <c r="G1239">
        <v>4</v>
      </c>
      <c r="H1239">
        <v>2</v>
      </c>
      <c r="I1239">
        <v>2</v>
      </c>
      <c r="J1239">
        <v>3</v>
      </c>
      <c r="K1239" t="s">
        <v>306</v>
      </c>
    </row>
    <row r="1240" spans="1:11" x14ac:dyDescent="0.35">
      <c r="A1240" t="s">
        <v>1250</v>
      </c>
      <c r="B1240">
        <v>5</v>
      </c>
      <c r="C1240">
        <v>32814702.260000002</v>
      </c>
      <c r="D1240">
        <v>0.6</v>
      </c>
      <c r="E1240">
        <v>108037722.7</v>
      </c>
      <c r="F1240">
        <v>21688857.100000001</v>
      </c>
      <c r="G1240">
        <v>3</v>
      </c>
      <c r="H1240">
        <v>3</v>
      </c>
      <c r="I1240">
        <v>3</v>
      </c>
      <c r="J1240">
        <v>3</v>
      </c>
      <c r="K1240" t="s">
        <v>306</v>
      </c>
    </row>
    <row r="1241" spans="1:11" x14ac:dyDescent="0.35">
      <c r="A1241" t="s">
        <v>1251</v>
      </c>
      <c r="B1241">
        <v>5</v>
      </c>
      <c r="C1241">
        <v>-8301271.5</v>
      </c>
      <c r="D1241">
        <v>0.4</v>
      </c>
      <c r="E1241">
        <v>27480694.870000001</v>
      </c>
      <c r="F1241">
        <v>26802422.800000001</v>
      </c>
      <c r="G1241">
        <v>4</v>
      </c>
      <c r="H1241">
        <v>2</v>
      </c>
      <c r="I1241">
        <v>2</v>
      </c>
      <c r="J1241">
        <v>3</v>
      </c>
      <c r="K1241" t="s">
        <v>306</v>
      </c>
    </row>
    <row r="1242" spans="1:11" x14ac:dyDescent="0.35">
      <c r="A1242" t="s">
        <v>1252</v>
      </c>
      <c r="B1242">
        <v>5</v>
      </c>
      <c r="C1242">
        <v>57210496.479999997</v>
      </c>
      <c r="D1242">
        <v>0.8</v>
      </c>
      <c r="E1242">
        <v>50865145.119999997</v>
      </c>
      <c r="F1242">
        <v>12319510.6</v>
      </c>
      <c r="G1242">
        <v>3</v>
      </c>
      <c r="H1242">
        <v>3</v>
      </c>
      <c r="I1242">
        <v>3</v>
      </c>
      <c r="J1242">
        <v>3</v>
      </c>
      <c r="K1242" t="s">
        <v>306</v>
      </c>
    </row>
    <row r="1243" spans="1:11" x14ac:dyDescent="0.35">
      <c r="A1243" t="s">
        <v>1253</v>
      </c>
      <c r="B1243">
        <v>5</v>
      </c>
      <c r="C1243">
        <v>40080894.579999998</v>
      </c>
      <c r="D1243">
        <v>0.8</v>
      </c>
      <c r="E1243">
        <v>68791314.239999995</v>
      </c>
      <c r="F1243">
        <v>10471981.6</v>
      </c>
      <c r="G1243">
        <v>3</v>
      </c>
      <c r="H1243">
        <v>3</v>
      </c>
      <c r="I1243">
        <v>3</v>
      </c>
      <c r="J1243">
        <v>3</v>
      </c>
      <c r="K1243" t="s">
        <v>306</v>
      </c>
    </row>
    <row r="1244" spans="1:11" x14ac:dyDescent="0.35">
      <c r="A1244" t="s">
        <v>1254</v>
      </c>
      <c r="B1244">
        <v>5</v>
      </c>
      <c r="C1244">
        <v>-1415958.54</v>
      </c>
      <c r="D1244">
        <v>0.6</v>
      </c>
      <c r="E1244">
        <v>50026691.170000002</v>
      </c>
      <c r="F1244">
        <v>10112654</v>
      </c>
      <c r="G1244">
        <v>3</v>
      </c>
      <c r="H1244">
        <v>3</v>
      </c>
      <c r="I1244">
        <v>3</v>
      </c>
      <c r="J1244">
        <v>3</v>
      </c>
      <c r="K1244" t="s">
        <v>306</v>
      </c>
    </row>
    <row r="1245" spans="1:11" x14ac:dyDescent="0.35">
      <c r="A1245" t="s">
        <v>1255</v>
      </c>
      <c r="B1245">
        <v>5</v>
      </c>
      <c r="C1245">
        <v>43587398.159999996</v>
      </c>
      <c r="D1245">
        <v>0.8</v>
      </c>
      <c r="E1245">
        <v>47026571.920000002</v>
      </c>
      <c r="F1245">
        <v>7658625.7000000002</v>
      </c>
      <c r="G1245">
        <v>3</v>
      </c>
      <c r="H1245">
        <v>3</v>
      </c>
      <c r="I1245">
        <v>3</v>
      </c>
      <c r="J1245">
        <v>3</v>
      </c>
      <c r="K1245" t="s">
        <v>306</v>
      </c>
    </row>
    <row r="1246" spans="1:11" x14ac:dyDescent="0.35">
      <c r="A1246" t="s">
        <v>1256</v>
      </c>
      <c r="B1246">
        <v>5</v>
      </c>
      <c r="C1246">
        <v>14805307554</v>
      </c>
      <c r="D1246">
        <v>1</v>
      </c>
      <c r="E1246">
        <v>9364319605</v>
      </c>
      <c r="F1246">
        <v>-20314473037</v>
      </c>
      <c r="G1246">
        <v>1</v>
      </c>
      <c r="H1246">
        <v>5</v>
      </c>
      <c r="I1246">
        <v>5</v>
      </c>
      <c r="J1246">
        <v>3</v>
      </c>
      <c r="K1246" t="s">
        <v>306</v>
      </c>
    </row>
    <row r="1247" spans="1:11" x14ac:dyDescent="0.35">
      <c r="A1247" t="s">
        <v>1257</v>
      </c>
      <c r="B1247">
        <v>5</v>
      </c>
      <c r="C1247">
        <v>3201402449</v>
      </c>
      <c r="D1247">
        <v>1</v>
      </c>
      <c r="E1247">
        <v>1962011912</v>
      </c>
      <c r="F1247">
        <v>-4842307325</v>
      </c>
      <c r="G1247">
        <v>1</v>
      </c>
      <c r="H1247">
        <v>5</v>
      </c>
      <c r="I1247">
        <v>5</v>
      </c>
      <c r="J1247">
        <v>3</v>
      </c>
      <c r="K1247" t="s">
        <v>306</v>
      </c>
    </row>
    <row r="1248" spans="1:11" x14ac:dyDescent="0.35">
      <c r="A1248" t="s">
        <v>1258</v>
      </c>
      <c r="B1248">
        <v>5</v>
      </c>
      <c r="C1248">
        <v>6282913694</v>
      </c>
      <c r="D1248">
        <v>1</v>
      </c>
      <c r="E1248">
        <v>1281383303</v>
      </c>
      <c r="F1248">
        <v>-3016328498</v>
      </c>
      <c r="G1248">
        <v>1</v>
      </c>
      <c r="H1248">
        <v>5</v>
      </c>
      <c r="I1248">
        <v>5</v>
      </c>
      <c r="J1248">
        <v>3</v>
      </c>
      <c r="K1248" t="s">
        <v>306</v>
      </c>
    </row>
    <row r="1249" spans="1:11" x14ac:dyDescent="0.35">
      <c r="A1249" t="s">
        <v>1259</v>
      </c>
      <c r="B1249">
        <v>5</v>
      </c>
      <c r="C1249">
        <v>7966151040</v>
      </c>
      <c r="D1249">
        <v>1</v>
      </c>
      <c r="E1249">
        <v>3299528105</v>
      </c>
      <c r="F1249">
        <v>-3260661980</v>
      </c>
      <c r="G1249">
        <v>1</v>
      </c>
      <c r="H1249">
        <v>5</v>
      </c>
      <c r="I1249">
        <v>5</v>
      </c>
      <c r="J1249">
        <v>3</v>
      </c>
      <c r="K1249" t="s">
        <v>306</v>
      </c>
    </row>
    <row r="1250" spans="1:11" x14ac:dyDescent="0.35">
      <c r="A1250" t="s">
        <v>1260</v>
      </c>
      <c r="B1250">
        <v>5</v>
      </c>
      <c r="C1250">
        <v>2190839731</v>
      </c>
      <c r="D1250">
        <v>1</v>
      </c>
      <c r="E1250">
        <v>1873091613</v>
      </c>
      <c r="F1250">
        <v>-3665172856</v>
      </c>
      <c r="G1250">
        <v>1</v>
      </c>
      <c r="H1250">
        <v>5</v>
      </c>
      <c r="I1250">
        <v>5</v>
      </c>
      <c r="J1250">
        <v>3</v>
      </c>
      <c r="K1250" t="s">
        <v>306</v>
      </c>
    </row>
    <row r="1251" spans="1:11" x14ac:dyDescent="0.35">
      <c r="A1251" t="s">
        <v>1261</v>
      </c>
      <c r="B1251">
        <v>5</v>
      </c>
      <c r="C1251">
        <v>3800506446</v>
      </c>
      <c r="D1251">
        <v>1</v>
      </c>
      <c r="E1251">
        <v>1263628966</v>
      </c>
      <c r="F1251">
        <v>-1314828175</v>
      </c>
      <c r="G1251">
        <v>1</v>
      </c>
      <c r="H1251">
        <v>5</v>
      </c>
      <c r="I1251">
        <v>5</v>
      </c>
      <c r="J1251">
        <v>3</v>
      </c>
      <c r="K1251" t="s">
        <v>306</v>
      </c>
    </row>
    <row r="1252" spans="1:11" x14ac:dyDescent="0.35">
      <c r="A1252" t="s">
        <v>1262</v>
      </c>
      <c r="B1252">
        <v>5</v>
      </c>
      <c r="C1252">
        <v>6852831329</v>
      </c>
      <c r="D1252">
        <v>1</v>
      </c>
      <c r="E1252">
        <v>815388754.89999998</v>
      </c>
      <c r="F1252">
        <v>-1372394617</v>
      </c>
      <c r="G1252">
        <v>1</v>
      </c>
      <c r="H1252">
        <v>5</v>
      </c>
      <c r="I1252">
        <v>5</v>
      </c>
      <c r="J1252">
        <v>3</v>
      </c>
      <c r="K1252" t="s">
        <v>306</v>
      </c>
    </row>
    <row r="1253" spans="1:11" x14ac:dyDescent="0.35">
      <c r="A1253" t="s">
        <v>1263</v>
      </c>
      <c r="B1253">
        <v>5</v>
      </c>
      <c r="C1253">
        <v>3321887931</v>
      </c>
      <c r="D1253">
        <v>1</v>
      </c>
      <c r="E1253">
        <v>1715310017</v>
      </c>
      <c r="F1253">
        <v>-1292304977</v>
      </c>
      <c r="G1253">
        <v>1</v>
      </c>
      <c r="H1253">
        <v>5</v>
      </c>
      <c r="I1253">
        <v>5</v>
      </c>
      <c r="J1253">
        <v>3</v>
      </c>
      <c r="K1253" t="s">
        <v>306</v>
      </c>
    </row>
    <row r="1254" spans="1:11" x14ac:dyDescent="0.35">
      <c r="A1254" t="s">
        <v>1264</v>
      </c>
      <c r="B1254">
        <v>5</v>
      </c>
      <c r="C1254">
        <v>1794500404</v>
      </c>
      <c r="D1254">
        <v>1</v>
      </c>
      <c r="E1254">
        <v>634630557.60000002</v>
      </c>
      <c r="F1254">
        <v>-1477987490</v>
      </c>
      <c r="G1254">
        <v>1</v>
      </c>
      <c r="H1254">
        <v>5</v>
      </c>
      <c r="I1254">
        <v>5</v>
      </c>
      <c r="J1254">
        <v>3</v>
      </c>
      <c r="K1254" t="s">
        <v>306</v>
      </c>
    </row>
    <row r="1255" spans="1:11" x14ac:dyDescent="0.35">
      <c r="A1255" t="s">
        <v>1265</v>
      </c>
      <c r="B1255">
        <v>5</v>
      </c>
      <c r="C1255">
        <v>4251681120</v>
      </c>
      <c r="D1255">
        <v>1</v>
      </c>
      <c r="E1255">
        <v>1448231726</v>
      </c>
      <c r="F1255">
        <v>-1486619141</v>
      </c>
      <c r="G1255">
        <v>1</v>
      </c>
      <c r="H1255">
        <v>5</v>
      </c>
      <c r="I1255">
        <v>5</v>
      </c>
      <c r="J1255">
        <v>3</v>
      </c>
      <c r="K1255" t="s">
        <v>306</v>
      </c>
    </row>
    <row r="1256" spans="1:11" x14ac:dyDescent="0.35">
      <c r="A1256" t="s">
        <v>1266</v>
      </c>
      <c r="B1256">
        <v>5</v>
      </c>
      <c r="C1256">
        <v>5824950778</v>
      </c>
      <c r="D1256">
        <v>1</v>
      </c>
      <c r="E1256">
        <v>2792553363</v>
      </c>
      <c r="F1256">
        <v>-1589628516</v>
      </c>
      <c r="G1256">
        <v>1</v>
      </c>
      <c r="H1256">
        <v>5</v>
      </c>
      <c r="I1256">
        <v>5</v>
      </c>
      <c r="J1256">
        <v>3</v>
      </c>
      <c r="K1256" t="s">
        <v>306</v>
      </c>
    </row>
    <row r="1257" spans="1:11" x14ac:dyDescent="0.35">
      <c r="A1257" t="s">
        <v>1267</v>
      </c>
      <c r="B1257">
        <v>5</v>
      </c>
      <c r="C1257">
        <v>-33088089.68</v>
      </c>
      <c r="D1257">
        <v>0</v>
      </c>
      <c r="E1257">
        <v>7074973.6560000004</v>
      </c>
      <c r="F1257">
        <v>7631287.7999999998</v>
      </c>
      <c r="G1257">
        <v>4</v>
      </c>
      <c r="H1257">
        <v>1</v>
      </c>
      <c r="I1257">
        <v>3</v>
      </c>
      <c r="J1257">
        <v>2.9</v>
      </c>
      <c r="K1257" t="s">
        <v>1268</v>
      </c>
    </row>
    <row r="1258" spans="1:11" x14ac:dyDescent="0.35">
      <c r="A1258" t="s">
        <v>1269</v>
      </c>
      <c r="B1258">
        <v>5</v>
      </c>
      <c r="C1258">
        <v>-749193.84</v>
      </c>
      <c r="D1258">
        <v>0.4</v>
      </c>
      <c r="E1258">
        <v>5349269.3729999997</v>
      </c>
      <c r="F1258">
        <v>7750672.2999999998</v>
      </c>
      <c r="G1258">
        <v>4</v>
      </c>
      <c r="H1258">
        <v>1</v>
      </c>
      <c r="I1258">
        <v>3</v>
      </c>
      <c r="J1258">
        <v>2.9</v>
      </c>
      <c r="K1258" t="s">
        <v>1268</v>
      </c>
    </row>
    <row r="1259" spans="1:11" x14ac:dyDescent="0.35">
      <c r="A1259" t="s">
        <v>1270</v>
      </c>
      <c r="B1259">
        <v>5</v>
      </c>
      <c r="C1259">
        <v>-17959018.940000001</v>
      </c>
      <c r="D1259">
        <v>0</v>
      </c>
      <c r="E1259">
        <v>5412957.1449999996</v>
      </c>
      <c r="F1259">
        <v>8299413.9000000004</v>
      </c>
      <c r="G1259">
        <v>4</v>
      </c>
      <c r="H1259">
        <v>1</v>
      </c>
      <c r="I1259">
        <v>3</v>
      </c>
      <c r="J1259">
        <v>2.9</v>
      </c>
      <c r="K1259" t="s">
        <v>1268</v>
      </c>
    </row>
    <row r="1260" spans="1:11" x14ac:dyDescent="0.35">
      <c r="A1260" t="s">
        <v>1271</v>
      </c>
      <c r="B1260">
        <v>5</v>
      </c>
      <c r="C1260">
        <v>-8061263.2000000002</v>
      </c>
      <c r="D1260">
        <v>0</v>
      </c>
      <c r="E1260">
        <v>3716375.1150000002</v>
      </c>
      <c r="F1260">
        <v>9125448.3000000007</v>
      </c>
      <c r="G1260">
        <v>4</v>
      </c>
      <c r="H1260">
        <v>1</v>
      </c>
      <c r="I1260">
        <v>3</v>
      </c>
      <c r="J1260">
        <v>2.9</v>
      </c>
      <c r="K1260" t="s">
        <v>1268</v>
      </c>
    </row>
    <row r="1261" spans="1:11" x14ac:dyDescent="0.35">
      <c r="A1261" t="s">
        <v>1272</v>
      </c>
      <c r="B1261">
        <v>5</v>
      </c>
      <c r="C1261">
        <v>-6358302.4199999999</v>
      </c>
      <c r="D1261">
        <v>0.2</v>
      </c>
      <c r="E1261">
        <v>11244939.18</v>
      </c>
      <c r="F1261">
        <v>9296044.9000000004</v>
      </c>
      <c r="G1261">
        <v>4</v>
      </c>
      <c r="H1261">
        <v>1</v>
      </c>
      <c r="I1261">
        <v>3</v>
      </c>
      <c r="J1261">
        <v>2.9</v>
      </c>
      <c r="K1261" t="s">
        <v>1268</v>
      </c>
    </row>
    <row r="1262" spans="1:11" x14ac:dyDescent="0.35">
      <c r="A1262" t="s">
        <v>1273</v>
      </c>
      <c r="B1262">
        <v>5</v>
      </c>
      <c r="C1262">
        <v>799861.96</v>
      </c>
      <c r="D1262">
        <v>0.4</v>
      </c>
      <c r="E1262">
        <v>4200577.6459999997</v>
      </c>
      <c r="F1262">
        <v>8645434.5999999996</v>
      </c>
      <c r="G1262">
        <v>4</v>
      </c>
      <c r="H1262">
        <v>1</v>
      </c>
      <c r="I1262">
        <v>3</v>
      </c>
      <c r="J1262">
        <v>2.9</v>
      </c>
      <c r="K1262" t="s">
        <v>1268</v>
      </c>
    </row>
    <row r="1263" spans="1:11" x14ac:dyDescent="0.35">
      <c r="A1263" t="s">
        <v>1274</v>
      </c>
      <c r="B1263">
        <v>5</v>
      </c>
      <c r="C1263">
        <v>-5455864.9400000004</v>
      </c>
      <c r="D1263">
        <v>0.2</v>
      </c>
      <c r="E1263">
        <v>3663024.3990000002</v>
      </c>
      <c r="F1263">
        <v>8848281.8000000007</v>
      </c>
      <c r="G1263">
        <v>4</v>
      </c>
      <c r="H1263">
        <v>1</v>
      </c>
      <c r="I1263">
        <v>3</v>
      </c>
      <c r="J1263">
        <v>2.9</v>
      </c>
      <c r="K1263" t="s">
        <v>1268</v>
      </c>
    </row>
    <row r="1264" spans="1:11" x14ac:dyDescent="0.35">
      <c r="A1264" t="s">
        <v>1275</v>
      </c>
      <c r="B1264">
        <v>5</v>
      </c>
      <c r="C1264">
        <v>-3535145.58</v>
      </c>
      <c r="D1264">
        <v>0.4</v>
      </c>
      <c r="E1264">
        <v>11560853</v>
      </c>
      <c r="F1264">
        <v>10897645.5</v>
      </c>
      <c r="G1264">
        <v>4</v>
      </c>
      <c r="H1264">
        <v>1</v>
      </c>
      <c r="I1264">
        <v>3</v>
      </c>
      <c r="J1264">
        <v>2.9</v>
      </c>
      <c r="K1264" t="s">
        <v>1268</v>
      </c>
    </row>
    <row r="1265" spans="1:11" x14ac:dyDescent="0.35">
      <c r="A1265" t="s">
        <v>1276</v>
      </c>
      <c r="B1265">
        <v>5</v>
      </c>
      <c r="C1265">
        <v>-757943.42</v>
      </c>
      <c r="D1265">
        <v>0.2</v>
      </c>
      <c r="E1265">
        <v>6467609.1689999998</v>
      </c>
      <c r="F1265">
        <v>10526586.300000001</v>
      </c>
      <c r="G1265">
        <v>4</v>
      </c>
      <c r="H1265">
        <v>1</v>
      </c>
      <c r="I1265">
        <v>3</v>
      </c>
      <c r="J1265">
        <v>2.9</v>
      </c>
      <c r="K1265" t="s">
        <v>1268</v>
      </c>
    </row>
    <row r="1266" spans="1:11" x14ac:dyDescent="0.35">
      <c r="A1266" t="s">
        <v>1277</v>
      </c>
      <c r="B1266">
        <v>5</v>
      </c>
      <c r="C1266">
        <v>-8531612.1600000001</v>
      </c>
      <c r="D1266">
        <v>0.2</v>
      </c>
      <c r="E1266">
        <v>14275620.859999999</v>
      </c>
      <c r="F1266">
        <v>12240629.4</v>
      </c>
      <c r="G1266">
        <v>4</v>
      </c>
      <c r="H1266">
        <v>1</v>
      </c>
      <c r="I1266">
        <v>3</v>
      </c>
      <c r="J1266">
        <v>2.9</v>
      </c>
      <c r="K1266" t="s">
        <v>1268</v>
      </c>
    </row>
    <row r="1267" spans="1:11" x14ac:dyDescent="0.35">
      <c r="A1267" t="s">
        <v>1278</v>
      </c>
      <c r="B1267">
        <v>5</v>
      </c>
      <c r="C1267">
        <v>1503980.82</v>
      </c>
      <c r="D1267">
        <v>0.4</v>
      </c>
      <c r="E1267">
        <v>11385149.32</v>
      </c>
      <c r="F1267">
        <v>12424997</v>
      </c>
      <c r="G1267">
        <v>4</v>
      </c>
      <c r="H1267">
        <v>1</v>
      </c>
      <c r="I1267">
        <v>3</v>
      </c>
      <c r="J1267">
        <v>2.9</v>
      </c>
      <c r="K1267" t="s">
        <v>1268</v>
      </c>
    </row>
    <row r="1268" spans="1:11" x14ac:dyDescent="0.35">
      <c r="A1268" t="s">
        <v>1279</v>
      </c>
      <c r="B1268">
        <v>5</v>
      </c>
      <c r="C1268">
        <v>-8747144.6400000006</v>
      </c>
      <c r="D1268">
        <v>0.4</v>
      </c>
      <c r="E1268">
        <v>15105509.380000001</v>
      </c>
      <c r="F1268">
        <v>11863484.699999999</v>
      </c>
      <c r="G1268">
        <v>4</v>
      </c>
      <c r="H1268">
        <v>1</v>
      </c>
      <c r="I1268">
        <v>3</v>
      </c>
      <c r="J1268">
        <v>2.9</v>
      </c>
      <c r="K1268" t="s">
        <v>1268</v>
      </c>
    </row>
    <row r="1269" spans="1:11" x14ac:dyDescent="0.35">
      <c r="A1269" t="s">
        <v>1280</v>
      </c>
      <c r="B1269">
        <v>5</v>
      </c>
      <c r="C1269">
        <v>-10974209.42</v>
      </c>
      <c r="D1269">
        <v>0.2</v>
      </c>
      <c r="E1269">
        <v>7550094.3229999999</v>
      </c>
      <c r="F1269">
        <v>11751523</v>
      </c>
      <c r="G1269">
        <v>4</v>
      </c>
      <c r="H1269">
        <v>1</v>
      </c>
      <c r="I1269">
        <v>3</v>
      </c>
      <c r="J1269">
        <v>2.9</v>
      </c>
      <c r="K1269" t="s">
        <v>1268</v>
      </c>
    </row>
    <row r="1270" spans="1:11" x14ac:dyDescent="0.35">
      <c r="A1270" t="s">
        <v>1281</v>
      </c>
      <c r="B1270">
        <v>5</v>
      </c>
      <c r="C1270">
        <v>-53888858.520000003</v>
      </c>
      <c r="D1270">
        <v>0</v>
      </c>
      <c r="E1270">
        <v>6871078.9349999996</v>
      </c>
      <c r="F1270">
        <v>11511590.800000001</v>
      </c>
      <c r="G1270">
        <v>4</v>
      </c>
      <c r="H1270">
        <v>1</v>
      </c>
      <c r="I1270">
        <v>3</v>
      </c>
      <c r="J1270">
        <v>2.9</v>
      </c>
      <c r="K1270" t="s">
        <v>1268</v>
      </c>
    </row>
    <row r="1271" spans="1:11" x14ac:dyDescent="0.35">
      <c r="A1271" t="s">
        <v>1282</v>
      </c>
      <c r="B1271">
        <v>5</v>
      </c>
      <c r="C1271">
        <v>-12182756.92</v>
      </c>
      <c r="D1271">
        <v>0</v>
      </c>
      <c r="E1271">
        <v>5526209.4210000001</v>
      </c>
      <c r="F1271">
        <v>11338892</v>
      </c>
      <c r="G1271">
        <v>4</v>
      </c>
      <c r="H1271">
        <v>1</v>
      </c>
      <c r="I1271">
        <v>3</v>
      </c>
      <c r="J1271">
        <v>2.9</v>
      </c>
      <c r="K1271" t="s">
        <v>1268</v>
      </c>
    </row>
    <row r="1272" spans="1:11" x14ac:dyDescent="0.35">
      <c r="A1272" t="s">
        <v>1283</v>
      </c>
      <c r="B1272">
        <v>5</v>
      </c>
      <c r="C1272">
        <v>-4886066.82</v>
      </c>
      <c r="D1272">
        <v>0.4</v>
      </c>
      <c r="E1272">
        <v>8627558.4269999992</v>
      </c>
      <c r="F1272">
        <v>13003047.1</v>
      </c>
      <c r="G1272">
        <v>4</v>
      </c>
      <c r="H1272">
        <v>1</v>
      </c>
      <c r="I1272">
        <v>3</v>
      </c>
      <c r="J1272">
        <v>2.9</v>
      </c>
      <c r="K1272" t="s">
        <v>1268</v>
      </c>
    </row>
    <row r="1273" spans="1:11" x14ac:dyDescent="0.35">
      <c r="A1273" t="s">
        <v>1284</v>
      </c>
      <c r="B1273">
        <v>5</v>
      </c>
      <c r="C1273">
        <v>-3457476.82</v>
      </c>
      <c r="D1273">
        <v>0.2</v>
      </c>
      <c r="E1273">
        <v>9748293.9269999992</v>
      </c>
      <c r="F1273">
        <v>16044188.6</v>
      </c>
      <c r="G1273">
        <v>4</v>
      </c>
      <c r="H1273">
        <v>1</v>
      </c>
      <c r="I1273">
        <v>3</v>
      </c>
      <c r="J1273">
        <v>2.9</v>
      </c>
      <c r="K1273" t="s">
        <v>1268</v>
      </c>
    </row>
    <row r="1274" spans="1:11" x14ac:dyDescent="0.35">
      <c r="A1274" t="s">
        <v>1285</v>
      </c>
      <c r="B1274">
        <v>5</v>
      </c>
      <c r="C1274">
        <v>-90957605.879999995</v>
      </c>
      <c r="D1274">
        <v>0</v>
      </c>
      <c r="E1274">
        <v>15235539.27</v>
      </c>
      <c r="F1274">
        <v>16666894.6</v>
      </c>
      <c r="G1274">
        <v>4</v>
      </c>
      <c r="H1274">
        <v>1</v>
      </c>
      <c r="I1274">
        <v>3</v>
      </c>
      <c r="J1274">
        <v>2.9</v>
      </c>
      <c r="K1274" t="s">
        <v>1268</v>
      </c>
    </row>
    <row r="1275" spans="1:11" x14ac:dyDescent="0.35">
      <c r="A1275" t="s">
        <v>1286</v>
      </c>
      <c r="B1275">
        <v>5</v>
      </c>
      <c r="C1275">
        <v>-52736568.32</v>
      </c>
      <c r="D1275">
        <v>0</v>
      </c>
      <c r="E1275">
        <v>13926536.42</v>
      </c>
      <c r="F1275">
        <v>17786705.100000001</v>
      </c>
      <c r="G1275">
        <v>4</v>
      </c>
      <c r="H1275">
        <v>1</v>
      </c>
      <c r="I1275">
        <v>3</v>
      </c>
      <c r="J1275">
        <v>2.9</v>
      </c>
      <c r="K1275" t="s">
        <v>1268</v>
      </c>
    </row>
    <row r="1276" spans="1:11" x14ac:dyDescent="0.35">
      <c r="A1276" t="s">
        <v>1287</v>
      </c>
      <c r="B1276">
        <v>5</v>
      </c>
      <c r="C1276">
        <v>-10372039.82</v>
      </c>
      <c r="D1276">
        <v>0.2</v>
      </c>
      <c r="E1276">
        <v>9969322.5199999996</v>
      </c>
      <c r="F1276">
        <v>15679824.800000001</v>
      </c>
      <c r="G1276">
        <v>4</v>
      </c>
      <c r="H1276">
        <v>1</v>
      </c>
      <c r="I1276">
        <v>3</v>
      </c>
      <c r="J1276">
        <v>2.9</v>
      </c>
      <c r="K1276" t="s">
        <v>1268</v>
      </c>
    </row>
    <row r="1277" spans="1:11" x14ac:dyDescent="0.35">
      <c r="A1277" t="s">
        <v>1288</v>
      </c>
      <c r="B1277">
        <v>5</v>
      </c>
      <c r="C1277">
        <v>-19651801.66</v>
      </c>
      <c r="D1277">
        <v>0</v>
      </c>
      <c r="E1277">
        <v>10117875.43</v>
      </c>
      <c r="F1277">
        <v>18673078.600000001</v>
      </c>
      <c r="G1277">
        <v>4</v>
      </c>
      <c r="H1277">
        <v>1</v>
      </c>
      <c r="I1277">
        <v>3</v>
      </c>
      <c r="J1277">
        <v>2.9</v>
      </c>
      <c r="K1277" t="s">
        <v>1268</v>
      </c>
    </row>
    <row r="1278" spans="1:11" x14ac:dyDescent="0.35">
      <c r="A1278" t="s">
        <v>1289</v>
      </c>
      <c r="B1278">
        <v>5</v>
      </c>
      <c r="C1278">
        <v>-11585498.859999999</v>
      </c>
      <c r="D1278">
        <v>0.2</v>
      </c>
      <c r="E1278">
        <v>9715689.9079999998</v>
      </c>
      <c r="F1278">
        <v>19335846.100000001</v>
      </c>
      <c r="G1278">
        <v>4</v>
      </c>
      <c r="H1278">
        <v>1</v>
      </c>
      <c r="I1278">
        <v>3</v>
      </c>
      <c r="J1278">
        <v>2.9</v>
      </c>
      <c r="K1278" t="s">
        <v>1268</v>
      </c>
    </row>
    <row r="1279" spans="1:11" x14ac:dyDescent="0.35">
      <c r="A1279" t="s">
        <v>1290</v>
      </c>
      <c r="B1279">
        <v>5</v>
      </c>
      <c r="C1279">
        <v>-11428006.58</v>
      </c>
      <c r="D1279">
        <v>0.2</v>
      </c>
      <c r="E1279">
        <v>13366152.779999999</v>
      </c>
      <c r="F1279">
        <v>26233010.300000001</v>
      </c>
      <c r="G1279">
        <v>4</v>
      </c>
      <c r="H1279">
        <v>1</v>
      </c>
      <c r="I1279">
        <v>3</v>
      </c>
      <c r="J1279">
        <v>2.9</v>
      </c>
      <c r="K1279" t="s">
        <v>1268</v>
      </c>
    </row>
    <row r="1280" spans="1:11" x14ac:dyDescent="0.35">
      <c r="A1280" t="s">
        <v>1291</v>
      </c>
      <c r="B1280">
        <v>5</v>
      </c>
      <c r="C1280">
        <v>-8694287.4199999999</v>
      </c>
      <c r="D1280">
        <v>0.2</v>
      </c>
      <c r="E1280">
        <v>12805372.039999999</v>
      </c>
      <c r="F1280">
        <v>24029650.300000001</v>
      </c>
      <c r="G1280">
        <v>4</v>
      </c>
      <c r="H1280">
        <v>1</v>
      </c>
      <c r="I1280">
        <v>3</v>
      </c>
      <c r="J1280">
        <v>2.9</v>
      </c>
      <c r="K1280" t="s">
        <v>1268</v>
      </c>
    </row>
    <row r="1281" spans="1:11" x14ac:dyDescent="0.35">
      <c r="A1281" t="s">
        <v>1292</v>
      </c>
      <c r="B1281">
        <v>5</v>
      </c>
      <c r="C1281">
        <v>-21469921.879999999</v>
      </c>
      <c r="D1281">
        <v>0</v>
      </c>
      <c r="E1281">
        <v>14639893.75</v>
      </c>
      <c r="F1281">
        <v>25268179.600000001</v>
      </c>
      <c r="G1281">
        <v>4</v>
      </c>
      <c r="H1281">
        <v>1</v>
      </c>
      <c r="I1281">
        <v>3</v>
      </c>
      <c r="J1281">
        <v>2.9</v>
      </c>
      <c r="K1281" t="s">
        <v>1268</v>
      </c>
    </row>
    <row r="1282" spans="1:11" x14ac:dyDescent="0.35">
      <c r="A1282" t="s">
        <v>1293</v>
      </c>
      <c r="B1282">
        <v>5</v>
      </c>
      <c r="C1282">
        <v>-31233871.620000001</v>
      </c>
      <c r="D1282">
        <v>0</v>
      </c>
      <c r="E1282">
        <v>9181346.9379999992</v>
      </c>
      <c r="F1282">
        <v>19457687.5</v>
      </c>
      <c r="G1282">
        <v>4</v>
      </c>
      <c r="H1282">
        <v>1</v>
      </c>
      <c r="I1282">
        <v>3</v>
      </c>
      <c r="J1282">
        <v>2.9</v>
      </c>
      <c r="K1282" t="s">
        <v>1268</v>
      </c>
    </row>
    <row r="1283" spans="1:11" x14ac:dyDescent="0.35">
      <c r="A1283" t="s">
        <v>1294</v>
      </c>
      <c r="B1283">
        <v>5</v>
      </c>
      <c r="C1283">
        <v>2877778.54</v>
      </c>
      <c r="D1283">
        <v>0.4</v>
      </c>
      <c r="E1283">
        <v>8710095.3169999998</v>
      </c>
      <c r="F1283">
        <v>19841176.600000001</v>
      </c>
      <c r="G1283">
        <v>4</v>
      </c>
      <c r="H1283">
        <v>1</v>
      </c>
      <c r="I1283">
        <v>3</v>
      </c>
      <c r="J1283">
        <v>2.9</v>
      </c>
      <c r="K1283" t="s">
        <v>1268</v>
      </c>
    </row>
    <row r="1284" spans="1:11" x14ac:dyDescent="0.35">
      <c r="A1284" t="s">
        <v>1295</v>
      </c>
      <c r="B1284">
        <v>5</v>
      </c>
      <c r="C1284">
        <v>1689350802</v>
      </c>
      <c r="D1284">
        <v>1</v>
      </c>
      <c r="E1284">
        <v>1486481984</v>
      </c>
      <c r="F1284">
        <v>42966121</v>
      </c>
      <c r="G1284">
        <v>2</v>
      </c>
      <c r="H1284">
        <v>5</v>
      </c>
      <c r="I1284">
        <v>2</v>
      </c>
      <c r="J1284">
        <v>2.9</v>
      </c>
      <c r="K1284" t="s">
        <v>1268</v>
      </c>
    </row>
    <row r="1285" spans="1:11" x14ac:dyDescent="0.35">
      <c r="A1285" t="s">
        <v>1296</v>
      </c>
      <c r="B1285">
        <v>5</v>
      </c>
      <c r="C1285">
        <v>1112069778</v>
      </c>
      <c r="D1285">
        <v>1</v>
      </c>
      <c r="E1285">
        <v>708054850.5</v>
      </c>
      <c r="F1285">
        <v>106019174</v>
      </c>
      <c r="G1285">
        <v>2</v>
      </c>
      <c r="H1285">
        <v>5</v>
      </c>
      <c r="I1285">
        <v>2</v>
      </c>
      <c r="J1285">
        <v>2.9</v>
      </c>
      <c r="K1285" t="s">
        <v>1268</v>
      </c>
    </row>
    <row r="1286" spans="1:11" x14ac:dyDescent="0.35">
      <c r="A1286" t="s">
        <v>1297</v>
      </c>
      <c r="B1286">
        <v>5</v>
      </c>
      <c r="C1286">
        <v>653591579.20000005</v>
      </c>
      <c r="D1286">
        <v>1</v>
      </c>
      <c r="E1286">
        <v>332197430</v>
      </c>
      <c r="F1286">
        <v>128834471.8</v>
      </c>
      <c r="G1286">
        <v>2</v>
      </c>
      <c r="H1286">
        <v>5</v>
      </c>
      <c r="I1286">
        <v>2</v>
      </c>
      <c r="J1286">
        <v>2.9</v>
      </c>
      <c r="K1286" t="s">
        <v>1268</v>
      </c>
    </row>
    <row r="1287" spans="1:11" x14ac:dyDescent="0.35">
      <c r="A1287" t="s">
        <v>1298</v>
      </c>
      <c r="B1287">
        <v>5</v>
      </c>
      <c r="C1287">
        <v>211712883.09999999</v>
      </c>
      <c r="D1287">
        <v>0.8</v>
      </c>
      <c r="E1287">
        <v>406645131.19999999</v>
      </c>
      <c r="F1287">
        <v>164826591.90000001</v>
      </c>
      <c r="G1287">
        <v>2</v>
      </c>
      <c r="H1287">
        <v>5</v>
      </c>
      <c r="I1287">
        <v>2</v>
      </c>
      <c r="J1287">
        <v>2.9</v>
      </c>
      <c r="K1287" t="s">
        <v>1268</v>
      </c>
    </row>
    <row r="1288" spans="1:11" x14ac:dyDescent="0.35">
      <c r="A1288" t="s">
        <v>1299</v>
      </c>
      <c r="B1288">
        <v>5</v>
      </c>
      <c r="C1288">
        <v>77267482.579999998</v>
      </c>
      <c r="D1288">
        <v>0.6</v>
      </c>
      <c r="E1288">
        <v>150892767.09999999</v>
      </c>
      <c r="F1288">
        <v>205419694</v>
      </c>
      <c r="G1288">
        <v>3</v>
      </c>
      <c r="H1288">
        <v>4</v>
      </c>
      <c r="I1288">
        <v>1</v>
      </c>
      <c r="J1288">
        <v>2.9</v>
      </c>
      <c r="K1288" t="s">
        <v>1268</v>
      </c>
    </row>
    <row r="1289" spans="1:11" x14ac:dyDescent="0.35">
      <c r="A1289" t="s">
        <v>1300</v>
      </c>
      <c r="B1289">
        <v>5</v>
      </c>
      <c r="C1289">
        <v>12931413.08</v>
      </c>
      <c r="D1289">
        <v>0.8</v>
      </c>
      <c r="E1289">
        <v>150050084.59999999</v>
      </c>
      <c r="F1289">
        <v>223009335.40000001</v>
      </c>
      <c r="G1289">
        <v>3</v>
      </c>
      <c r="H1289">
        <v>4</v>
      </c>
      <c r="I1289">
        <v>1</v>
      </c>
      <c r="J1289">
        <v>2.9</v>
      </c>
      <c r="K1289" t="s">
        <v>1268</v>
      </c>
    </row>
    <row r="1290" spans="1:11" x14ac:dyDescent="0.35">
      <c r="A1290" t="s">
        <v>1301</v>
      </c>
      <c r="B1290">
        <v>5</v>
      </c>
      <c r="C1290">
        <v>-13044594.82</v>
      </c>
      <c r="D1290">
        <v>0.8</v>
      </c>
      <c r="E1290">
        <v>122234806.90000001</v>
      </c>
      <c r="F1290">
        <v>253649392.80000001</v>
      </c>
      <c r="G1290">
        <v>3</v>
      </c>
      <c r="H1290">
        <v>4</v>
      </c>
      <c r="I1290">
        <v>1</v>
      </c>
      <c r="J1290">
        <v>2.9</v>
      </c>
      <c r="K1290" t="s">
        <v>1268</v>
      </c>
    </row>
    <row r="1291" spans="1:11" x14ac:dyDescent="0.35">
      <c r="A1291" t="s">
        <v>1302</v>
      </c>
      <c r="B1291">
        <v>5</v>
      </c>
      <c r="C1291">
        <v>25414229</v>
      </c>
      <c r="D1291">
        <v>0.6</v>
      </c>
      <c r="E1291">
        <v>188530591.80000001</v>
      </c>
      <c r="F1291">
        <v>277134544.39999998</v>
      </c>
      <c r="G1291">
        <v>3</v>
      </c>
      <c r="H1291">
        <v>4</v>
      </c>
      <c r="I1291">
        <v>1</v>
      </c>
      <c r="J1291">
        <v>2.9</v>
      </c>
      <c r="K1291" t="s">
        <v>1268</v>
      </c>
    </row>
    <row r="1292" spans="1:11" x14ac:dyDescent="0.35">
      <c r="A1292" t="s">
        <v>1303</v>
      </c>
      <c r="B1292">
        <v>5</v>
      </c>
      <c r="C1292">
        <v>228160079.5</v>
      </c>
      <c r="D1292">
        <v>0.8</v>
      </c>
      <c r="E1292">
        <v>211217524.5</v>
      </c>
      <c r="F1292">
        <v>275718419.39999998</v>
      </c>
      <c r="G1292">
        <v>3</v>
      </c>
      <c r="H1292">
        <v>4</v>
      </c>
      <c r="I1292">
        <v>1</v>
      </c>
      <c r="J1292">
        <v>2.9</v>
      </c>
      <c r="K1292" t="s">
        <v>1268</v>
      </c>
    </row>
    <row r="1293" spans="1:11" x14ac:dyDescent="0.35">
      <c r="A1293" t="s">
        <v>1304</v>
      </c>
      <c r="B1293">
        <v>5</v>
      </c>
      <c r="C1293">
        <v>158501897.59999999</v>
      </c>
      <c r="D1293">
        <v>0.8</v>
      </c>
      <c r="E1293">
        <v>242940513.40000001</v>
      </c>
      <c r="F1293">
        <v>270286738.69999999</v>
      </c>
      <c r="G1293">
        <v>3</v>
      </c>
      <c r="H1293">
        <v>4</v>
      </c>
      <c r="I1293">
        <v>1</v>
      </c>
      <c r="J1293">
        <v>2.9</v>
      </c>
      <c r="K1293" t="s">
        <v>1268</v>
      </c>
    </row>
    <row r="1294" spans="1:11" x14ac:dyDescent="0.35">
      <c r="A1294" t="s">
        <v>1305</v>
      </c>
      <c r="B1294">
        <v>5</v>
      </c>
      <c r="C1294">
        <v>33085695.039999999</v>
      </c>
      <c r="D1294">
        <v>0.6</v>
      </c>
      <c r="E1294">
        <v>129733431.7</v>
      </c>
      <c r="F1294">
        <v>278266201.89999998</v>
      </c>
      <c r="G1294">
        <v>3</v>
      </c>
      <c r="H1294">
        <v>4</v>
      </c>
      <c r="I1294">
        <v>1</v>
      </c>
      <c r="J1294">
        <v>2.9</v>
      </c>
      <c r="K1294" t="s">
        <v>1268</v>
      </c>
    </row>
    <row r="1295" spans="1:11" x14ac:dyDescent="0.35">
      <c r="A1295" t="s">
        <v>1306</v>
      </c>
      <c r="B1295">
        <v>5</v>
      </c>
      <c r="C1295">
        <v>-42537049.060000002</v>
      </c>
      <c r="D1295">
        <v>0.6</v>
      </c>
      <c r="E1295">
        <v>148987036.19999999</v>
      </c>
      <c r="F1295">
        <v>285448792.10000002</v>
      </c>
      <c r="G1295">
        <v>3</v>
      </c>
      <c r="H1295">
        <v>4</v>
      </c>
      <c r="I1295">
        <v>1</v>
      </c>
      <c r="J1295">
        <v>2.9</v>
      </c>
      <c r="K1295" t="s">
        <v>1268</v>
      </c>
    </row>
    <row r="1296" spans="1:11" x14ac:dyDescent="0.35">
      <c r="A1296" t="s">
        <v>1307</v>
      </c>
      <c r="B1296">
        <v>5</v>
      </c>
      <c r="C1296">
        <v>598977.54</v>
      </c>
      <c r="D1296">
        <v>0.6</v>
      </c>
      <c r="E1296">
        <v>182368259.30000001</v>
      </c>
      <c r="F1296">
        <v>285241969.89999998</v>
      </c>
      <c r="G1296">
        <v>3</v>
      </c>
      <c r="H1296">
        <v>4</v>
      </c>
      <c r="I1296">
        <v>1</v>
      </c>
      <c r="J1296">
        <v>2.9</v>
      </c>
      <c r="K1296" t="s">
        <v>1268</v>
      </c>
    </row>
    <row r="1297" spans="1:11" x14ac:dyDescent="0.35">
      <c r="A1297" t="s">
        <v>1308</v>
      </c>
      <c r="B1297">
        <v>5</v>
      </c>
      <c r="C1297">
        <v>63378696.740000002</v>
      </c>
      <c r="D1297">
        <v>0.6</v>
      </c>
      <c r="E1297">
        <v>154563827.90000001</v>
      </c>
      <c r="F1297">
        <v>284589295.69999999</v>
      </c>
      <c r="G1297">
        <v>3</v>
      </c>
      <c r="H1297">
        <v>4</v>
      </c>
      <c r="I1297">
        <v>1</v>
      </c>
      <c r="J1297">
        <v>2.9</v>
      </c>
      <c r="K1297" t="s">
        <v>1268</v>
      </c>
    </row>
    <row r="1298" spans="1:11" x14ac:dyDescent="0.35">
      <c r="A1298" t="s">
        <v>1309</v>
      </c>
      <c r="B1298">
        <v>5</v>
      </c>
      <c r="C1298">
        <v>105418183.8</v>
      </c>
      <c r="D1298">
        <v>0.6</v>
      </c>
      <c r="E1298">
        <v>158284701.80000001</v>
      </c>
      <c r="F1298">
        <v>289947246.19999999</v>
      </c>
      <c r="G1298">
        <v>3</v>
      </c>
      <c r="H1298">
        <v>4</v>
      </c>
      <c r="I1298">
        <v>1</v>
      </c>
      <c r="J1298">
        <v>2.9</v>
      </c>
      <c r="K1298" t="s">
        <v>1268</v>
      </c>
    </row>
    <row r="1299" spans="1:11" x14ac:dyDescent="0.35">
      <c r="A1299" t="s">
        <v>1310</v>
      </c>
      <c r="B1299">
        <v>5</v>
      </c>
      <c r="C1299">
        <v>139138101.59999999</v>
      </c>
      <c r="D1299">
        <v>0.6</v>
      </c>
      <c r="E1299">
        <v>233782884.80000001</v>
      </c>
      <c r="F1299">
        <v>289124621.89999998</v>
      </c>
      <c r="G1299">
        <v>3</v>
      </c>
      <c r="H1299">
        <v>4</v>
      </c>
      <c r="I1299">
        <v>1</v>
      </c>
      <c r="J1299">
        <v>2.9</v>
      </c>
      <c r="K1299" t="s">
        <v>1268</v>
      </c>
    </row>
    <row r="1300" spans="1:11" x14ac:dyDescent="0.35">
      <c r="A1300" t="s">
        <v>1311</v>
      </c>
      <c r="B1300">
        <v>5</v>
      </c>
      <c r="C1300">
        <v>109198024.09999999</v>
      </c>
      <c r="D1300">
        <v>0.8</v>
      </c>
      <c r="E1300">
        <v>191694286.59999999</v>
      </c>
      <c r="F1300">
        <v>301695892.30000001</v>
      </c>
      <c r="G1300">
        <v>3</v>
      </c>
      <c r="H1300">
        <v>4</v>
      </c>
      <c r="I1300">
        <v>1</v>
      </c>
      <c r="J1300">
        <v>2.9</v>
      </c>
      <c r="K1300" t="s">
        <v>1268</v>
      </c>
    </row>
    <row r="1301" spans="1:11" x14ac:dyDescent="0.35">
      <c r="A1301" t="s">
        <v>1312</v>
      </c>
      <c r="B1301">
        <v>5</v>
      </c>
      <c r="C1301">
        <v>-28599275.199999999</v>
      </c>
      <c r="D1301">
        <v>0.8</v>
      </c>
      <c r="E1301">
        <v>123426333.2</v>
      </c>
      <c r="F1301">
        <v>295344429.30000001</v>
      </c>
      <c r="G1301">
        <v>3</v>
      </c>
      <c r="H1301">
        <v>4</v>
      </c>
      <c r="I1301">
        <v>1</v>
      </c>
      <c r="J1301">
        <v>2.9</v>
      </c>
      <c r="K1301" t="s">
        <v>1268</v>
      </c>
    </row>
    <row r="1302" spans="1:11" x14ac:dyDescent="0.35">
      <c r="A1302" t="s">
        <v>1313</v>
      </c>
      <c r="B1302">
        <v>5</v>
      </c>
      <c r="C1302">
        <v>60427776.579999998</v>
      </c>
      <c r="D1302">
        <v>0.6</v>
      </c>
      <c r="E1302">
        <v>154969021.90000001</v>
      </c>
      <c r="F1302">
        <v>295037628.69999999</v>
      </c>
      <c r="G1302">
        <v>3</v>
      </c>
      <c r="H1302">
        <v>4</v>
      </c>
      <c r="I1302">
        <v>1</v>
      </c>
      <c r="J1302">
        <v>2.9</v>
      </c>
      <c r="K1302" t="s">
        <v>1268</v>
      </c>
    </row>
    <row r="1303" spans="1:11" x14ac:dyDescent="0.35">
      <c r="A1303" t="s">
        <v>1314</v>
      </c>
      <c r="B1303">
        <v>5</v>
      </c>
      <c r="C1303">
        <v>-6061010.4400000004</v>
      </c>
      <c r="D1303">
        <v>0.6</v>
      </c>
      <c r="E1303">
        <v>138755184.90000001</v>
      </c>
      <c r="F1303">
        <v>306960776.60000002</v>
      </c>
      <c r="G1303">
        <v>3</v>
      </c>
      <c r="H1303">
        <v>4</v>
      </c>
      <c r="I1303">
        <v>1</v>
      </c>
      <c r="J1303">
        <v>2.9</v>
      </c>
      <c r="K1303" t="s">
        <v>1268</v>
      </c>
    </row>
    <row r="1304" spans="1:11" x14ac:dyDescent="0.35">
      <c r="A1304" t="s">
        <v>1315</v>
      </c>
      <c r="B1304">
        <v>5</v>
      </c>
      <c r="C1304">
        <v>-31044476.359999999</v>
      </c>
      <c r="D1304">
        <v>0.6</v>
      </c>
      <c r="E1304">
        <v>168025632.59999999</v>
      </c>
      <c r="F1304">
        <v>245702859.09999999</v>
      </c>
      <c r="G1304">
        <v>3</v>
      </c>
      <c r="H1304">
        <v>4</v>
      </c>
      <c r="I1304">
        <v>1</v>
      </c>
      <c r="J1304">
        <v>2.9</v>
      </c>
      <c r="K1304" t="s">
        <v>1268</v>
      </c>
    </row>
    <row r="1305" spans="1:11" x14ac:dyDescent="0.35">
      <c r="A1305" t="s">
        <v>1316</v>
      </c>
      <c r="B1305">
        <v>5</v>
      </c>
      <c r="C1305">
        <v>94102015.939999998</v>
      </c>
      <c r="D1305">
        <v>0.8</v>
      </c>
      <c r="E1305">
        <v>113291487.5</v>
      </c>
      <c r="F1305">
        <v>240158968.19999999</v>
      </c>
      <c r="G1305">
        <v>3</v>
      </c>
      <c r="H1305">
        <v>4</v>
      </c>
      <c r="I1305">
        <v>1</v>
      </c>
      <c r="J1305">
        <v>2.9</v>
      </c>
      <c r="K1305" t="s">
        <v>1268</v>
      </c>
    </row>
    <row r="1306" spans="1:11" x14ac:dyDescent="0.35">
      <c r="A1306" t="s">
        <v>1317</v>
      </c>
      <c r="B1306">
        <v>5</v>
      </c>
      <c r="C1306">
        <v>338323540.69999999</v>
      </c>
      <c r="D1306">
        <v>0.8</v>
      </c>
      <c r="E1306">
        <v>317377353.69999999</v>
      </c>
      <c r="F1306">
        <v>243545458.80000001</v>
      </c>
      <c r="G1306">
        <v>3</v>
      </c>
      <c r="H1306">
        <v>4</v>
      </c>
      <c r="I1306">
        <v>1</v>
      </c>
      <c r="J1306">
        <v>2.9</v>
      </c>
      <c r="K1306" t="s">
        <v>1268</v>
      </c>
    </row>
    <row r="1307" spans="1:11" x14ac:dyDescent="0.35">
      <c r="A1307" t="s">
        <v>1318</v>
      </c>
      <c r="B1307">
        <v>5</v>
      </c>
      <c r="C1307">
        <v>51321694.060000002</v>
      </c>
      <c r="D1307">
        <v>0.6</v>
      </c>
      <c r="E1307">
        <v>207760371.19999999</v>
      </c>
      <c r="F1307">
        <v>390390328.5</v>
      </c>
      <c r="G1307">
        <v>3</v>
      </c>
      <c r="H1307">
        <v>4</v>
      </c>
      <c r="I1307">
        <v>1</v>
      </c>
      <c r="J1307">
        <v>2.9</v>
      </c>
      <c r="K1307" t="s">
        <v>1268</v>
      </c>
    </row>
    <row r="1308" spans="1:11" x14ac:dyDescent="0.35">
      <c r="A1308" t="s">
        <v>1319</v>
      </c>
      <c r="B1308">
        <v>5</v>
      </c>
      <c r="C1308">
        <v>-88420605.959999993</v>
      </c>
      <c r="D1308">
        <v>0.4</v>
      </c>
      <c r="E1308">
        <v>163052545.5</v>
      </c>
      <c r="F1308">
        <v>399348752.60000002</v>
      </c>
      <c r="G1308">
        <v>3</v>
      </c>
      <c r="H1308">
        <v>4</v>
      </c>
      <c r="I1308">
        <v>1</v>
      </c>
      <c r="J1308">
        <v>2.9</v>
      </c>
      <c r="K1308" t="s">
        <v>1268</v>
      </c>
    </row>
    <row r="1309" spans="1:11" x14ac:dyDescent="0.35">
      <c r="A1309" t="s">
        <v>1320</v>
      </c>
      <c r="B1309">
        <v>5</v>
      </c>
      <c r="C1309">
        <v>217069576.80000001</v>
      </c>
      <c r="D1309">
        <v>0.8</v>
      </c>
      <c r="E1309">
        <v>222750358</v>
      </c>
      <c r="F1309">
        <v>423687552.19999999</v>
      </c>
      <c r="G1309">
        <v>3</v>
      </c>
      <c r="H1309">
        <v>4</v>
      </c>
      <c r="I1309">
        <v>1</v>
      </c>
      <c r="J1309">
        <v>2.9</v>
      </c>
      <c r="K1309" t="s">
        <v>1268</v>
      </c>
    </row>
    <row r="1310" spans="1:11" x14ac:dyDescent="0.35">
      <c r="A1310" t="s">
        <v>1321</v>
      </c>
      <c r="B1310">
        <v>5</v>
      </c>
      <c r="C1310">
        <v>31990733.719999999</v>
      </c>
      <c r="D1310">
        <v>0.6</v>
      </c>
      <c r="E1310">
        <v>257098295.40000001</v>
      </c>
      <c r="F1310">
        <v>326490599.60000002</v>
      </c>
      <c r="G1310">
        <v>3</v>
      </c>
      <c r="H1310">
        <v>4</v>
      </c>
      <c r="I1310">
        <v>1</v>
      </c>
      <c r="J1310">
        <v>2.9</v>
      </c>
      <c r="K1310" t="s">
        <v>1268</v>
      </c>
    </row>
    <row r="1311" spans="1:11" x14ac:dyDescent="0.35">
      <c r="A1311" t="s">
        <v>1322</v>
      </c>
      <c r="B1311">
        <v>5</v>
      </c>
      <c r="C1311">
        <v>189526954.90000001</v>
      </c>
      <c r="D1311">
        <v>0.8</v>
      </c>
      <c r="E1311">
        <v>178767811.40000001</v>
      </c>
      <c r="F1311">
        <v>342105510.30000001</v>
      </c>
      <c r="G1311">
        <v>3</v>
      </c>
      <c r="H1311">
        <v>4</v>
      </c>
      <c r="I1311">
        <v>1</v>
      </c>
      <c r="J1311">
        <v>2.9</v>
      </c>
      <c r="K1311" t="s">
        <v>1268</v>
      </c>
    </row>
    <row r="1312" spans="1:11" x14ac:dyDescent="0.35">
      <c r="A1312" t="s">
        <v>1323</v>
      </c>
      <c r="B1312">
        <v>5</v>
      </c>
      <c r="C1312">
        <v>-33989405.219999999</v>
      </c>
      <c r="D1312">
        <v>0.6</v>
      </c>
      <c r="E1312">
        <v>245879254.5</v>
      </c>
      <c r="F1312">
        <v>314081063.19999999</v>
      </c>
      <c r="G1312">
        <v>3</v>
      </c>
      <c r="H1312">
        <v>4</v>
      </c>
      <c r="I1312">
        <v>1</v>
      </c>
      <c r="J1312">
        <v>2.9</v>
      </c>
      <c r="K1312" t="s">
        <v>1268</v>
      </c>
    </row>
    <row r="1313" spans="1:11" x14ac:dyDescent="0.35">
      <c r="A1313" t="s">
        <v>1324</v>
      </c>
      <c r="B1313">
        <v>5</v>
      </c>
      <c r="C1313">
        <v>92558152.920000002</v>
      </c>
      <c r="D1313">
        <v>0.6</v>
      </c>
      <c r="E1313">
        <v>135136952.59999999</v>
      </c>
      <c r="F1313">
        <v>339121398.30000001</v>
      </c>
      <c r="G1313">
        <v>3</v>
      </c>
      <c r="H1313">
        <v>4</v>
      </c>
      <c r="I1313">
        <v>1</v>
      </c>
      <c r="J1313">
        <v>2.9</v>
      </c>
      <c r="K1313" t="s">
        <v>1268</v>
      </c>
    </row>
    <row r="1314" spans="1:11" x14ac:dyDescent="0.35">
      <c r="A1314" t="s">
        <v>1325</v>
      </c>
      <c r="B1314">
        <v>5</v>
      </c>
      <c r="C1314">
        <v>-31470312.780000001</v>
      </c>
      <c r="D1314">
        <v>0.6</v>
      </c>
      <c r="E1314">
        <v>264029104.40000001</v>
      </c>
      <c r="F1314">
        <v>346027381.19999999</v>
      </c>
      <c r="G1314">
        <v>3</v>
      </c>
      <c r="H1314">
        <v>4</v>
      </c>
      <c r="I1314">
        <v>1</v>
      </c>
      <c r="J1314">
        <v>2.9</v>
      </c>
      <c r="K1314" t="s">
        <v>1268</v>
      </c>
    </row>
    <row r="1315" spans="1:11" x14ac:dyDescent="0.35">
      <c r="A1315" t="s">
        <v>1326</v>
      </c>
      <c r="B1315">
        <v>5</v>
      </c>
      <c r="C1315">
        <v>125924231.09999999</v>
      </c>
      <c r="D1315">
        <v>0.6</v>
      </c>
      <c r="E1315">
        <v>278107165.10000002</v>
      </c>
      <c r="F1315">
        <v>587251464</v>
      </c>
      <c r="G1315">
        <v>3</v>
      </c>
      <c r="H1315">
        <v>4</v>
      </c>
      <c r="I1315">
        <v>1</v>
      </c>
      <c r="J1315">
        <v>2.9</v>
      </c>
      <c r="K1315" t="s">
        <v>1268</v>
      </c>
    </row>
    <row r="1316" spans="1:11" x14ac:dyDescent="0.35">
      <c r="A1316" t="s">
        <v>1327</v>
      </c>
      <c r="B1316">
        <v>5</v>
      </c>
      <c r="C1316">
        <v>29579773.16</v>
      </c>
      <c r="D1316">
        <v>0.6</v>
      </c>
      <c r="E1316">
        <v>254749644</v>
      </c>
      <c r="F1316">
        <v>609183000.10000002</v>
      </c>
      <c r="G1316">
        <v>3</v>
      </c>
      <c r="H1316">
        <v>4</v>
      </c>
      <c r="I1316">
        <v>1</v>
      </c>
      <c r="J1316">
        <v>2.9</v>
      </c>
      <c r="K1316" t="s">
        <v>1268</v>
      </c>
    </row>
    <row r="1317" spans="1:11" x14ac:dyDescent="0.35">
      <c r="A1317" t="s">
        <v>1328</v>
      </c>
      <c r="B1317">
        <v>5</v>
      </c>
      <c r="C1317">
        <v>29759549.280000001</v>
      </c>
      <c r="D1317">
        <v>0.6</v>
      </c>
      <c r="E1317">
        <v>299627639.5</v>
      </c>
      <c r="F1317">
        <v>482346384.19999999</v>
      </c>
      <c r="G1317">
        <v>3</v>
      </c>
      <c r="H1317">
        <v>4</v>
      </c>
      <c r="I1317">
        <v>1</v>
      </c>
      <c r="J1317">
        <v>2.9</v>
      </c>
      <c r="K1317" t="s">
        <v>1268</v>
      </c>
    </row>
    <row r="1318" spans="1:11" x14ac:dyDescent="0.35">
      <c r="A1318" t="s">
        <v>1329</v>
      </c>
      <c r="B1318">
        <v>5</v>
      </c>
      <c r="C1318">
        <v>328696801.60000002</v>
      </c>
      <c r="D1318">
        <v>0.8</v>
      </c>
      <c r="E1318">
        <v>265106630.19999999</v>
      </c>
      <c r="F1318">
        <v>510242506.60000002</v>
      </c>
      <c r="G1318">
        <v>3</v>
      </c>
      <c r="H1318">
        <v>4</v>
      </c>
      <c r="I1318">
        <v>1</v>
      </c>
      <c r="J1318">
        <v>2.9</v>
      </c>
      <c r="K1318" t="s">
        <v>1268</v>
      </c>
    </row>
    <row r="1319" spans="1:11" x14ac:dyDescent="0.35">
      <c r="A1319" t="s">
        <v>1330</v>
      </c>
      <c r="B1319">
        <v>5</v>
      </c>
      <c r="C1319">
        <v>37662042.68</v>
      </c>
      <c r="D1319">
        <v>0.6</v>
      </c>
      <c r="E1319">
        <v>301385032.39999998</v>
      </c>
      <c r="F1319">
        <v>613737736.29999995</v>
      </c>
      <c r="G1319">
        <v>3</v>
      </c>
      <c r="H1319">
        <v>4</v>
      </c>
      <c r="I1319">
        <v>1</v>
      </c>
      <c r="J1319">
        <v>2.9</v>
      </c>
      <c r="K1319" t="s">
        <v>1268</v>
      </c>
    </row>
    <row r="1320" spans="1:11" x14ac:dyDescent="0.35">
      <c r="A1320" t="s">
        <v>1331</v>
      </c>
      <c r="B1320">
        <v>5</v>
      </c>
      <c r="C1320">
        <v>-6342944.5800000001</v>
      </c>
      <c r="D1320">
        <v>0.4</v>
      </c>
      <c r="E1320">
        <v>23223143.850000001</v>
      </c>
      <c r="F1320">
        <v>-38793300.899999999</v>
      </c>
      <c r="G1320">
        <v>3</v>
      </c>
      <c r="H1320">
        <v>2</v>
      </c>
      <c r="I1320">
        <v>4</v>
      </c>
      <c r="J1320">
        <v>2.9</v>
      </c>
      <c r="K1320" t="s">
        <v>1268</v>
      </c>
    </row>
    <row r="1321" spans="1:11" x14ac:dyDescent="0.35">
      <c r="A1321" t="s">
        <v>1332</v>
      </c>
      <c r="B1321">
        <v>5</v>
      </c>
      <c r="C1321">
        <v>16157536.74</v>
      </c>
      <c r="D1321">
        <v>0.6</v>
      </c>
      <c r="E1321">
        <v>27637422.620000001</v>
      </c>
      <c r="F1321">
        <v>-33987364</v>
      </c>
      <c r="G1321">
        <v>3</v>
      </c>
      <c r="H1321">
        <v>2</v>
      </c>
      <c r="I1321">
        <v>4</v>
      </c>
      <c r="J1321">
        <v>2.9</v>
      </c>
      <c r="K1321" t="s">
        <v>1268</v>
      </c>
    </row>
    <row r="1322" spans="1:11" x14ac:dyDescent="0.35">
      <c r="A1322" t="s">
        <v>1333</v>
      </c>
      <c r="B1322">
        <v>5</v>
      </c>
      <c r="C1322">
        <v>-453706.06</v>
      </c>
      <c r="D1322">
        <v>0.6</v>
      </c>
      <c r="E1322">
        <v>37475799.07</v>
      </c>
      <c r="F1322">
        <v>-35384109.600000001</v>
      </c>
      <c r="G1322">
        <v>3</v>
      </c>
      <c r="H1322">
        <v>2</v>
      </c>
      <c r="I1322">
        <v>4</v>
      </c>
      <c r="J1322">
        <v>2.9</v>
      </c>
      <c r="K1322" t="s">
        <v>1268</v>
      </c>
    </row>
    <row r="1323" spans="1:11" x14ac:dyDescent="0.35">
      <c r="A1323" t="s">
        <v>1334</v>
      </c>
      <c r="B1323">
        <v>5</v>
      </c>
      <c r="C1323">
        <v>28887409.16</v>
      </c>
      <c r="D1323">
        <v>0.8</v>
      </c>
      <c r="E1323">
        <v>39490771.590000004</v>
      </c>
      <c r="F1323">
        <v>-35453301.5</v>
      </c>
      <c r="G1323">
        <v>3</v>
      </c>
      <c r="H1323">
        <v>2</v>
      </c>
      <c r="I1323">
        <v>4</v>
      </c>
      <c r="J1323">
        <v>2.9</v>
      </c>
      <c r="K1323" t="s">
        <v>1268</v>
      </c>
    </row>
    <row r="1324" spans="1:11" x14ac:dyDescent="0.35">
      <c r="A1324" t="s">
        <v>1335</v>
      </c>
      <c r="B1324">
        <v>5</v>
      </c>
      <c r="C1324">
        <v>4812817.68</v>
      </c>
      <c r="D1324">
        <v>0.6</v>
      </c>
      <c r="E1324">
        <v>36186800.119999997</v>
      </c>
      <c r="F1324">
        <v>-35665686.799999997</v>
      </c>
      <c r="G1324">
        <v>3</v>
      </c>
      <c r="H1324">
        <v>2</v>
      </c>
      <c r="I1324">
        <v>4</v>
      </c>
      <c r="J1324">
        <v>2.9</v>
      </c>
      <c r="K1324" t="s">
        <v>1268</v>
      </c>
    </row>
    <row r="1325" spans="1:11" x14ac:dyDescent="0.35">
      <c r="A1325" t="s">
        <v>1336</v>
      </c>
      <c r="B1325">
        <v>5</v>
      </c>
      <c r="C1325">
        <v>29378911.120000001</v>
      </c>
      <c r="D1325">
        <v>0.8</v>
      </c>
      <c r="E1325">
        <v>30314965.82</v>
      </c>
      <c r="F1325">
        <v>-28791948.100000001</v>
      </c>
      <c r="G1325">
        <v>3</v>
      </c>
      <c r="H1325">
        <v>2</v>
      </c>
      <c r="I1325">
        <v>4</v>
      </c>
      <c r="J1325">
        <v>2.9</v>
      </c>
      <c r="K1325" t="s">
        <v>1268</v>
      </c>
    </row>
    <row r="1326" spans="1:11" x14ac:dyDescent="0.35">
      <c r="A1326" t="s">
        <v>1337</v>
      </c>
      <c r="B1326">
        <v>5</v>
      </c>
      <c r="C1326">
        <v>10374809.220000001</v>
      </c>
      <c r="D1326">
        <v>0.6</v>
      </c>
      <c r="E1326">
        <v>32685069.550000001</v>
      </c>
      <c r="F1326">
        <v>-31524560.699999999</v>
      </c>
      <c r="G1326">
        <v>3</v>
      </c>
      <c r="H1326">
        <v>2</v>
      </c>
      <c r="I1326">
        <v>4</v>
      </c>
      <c r="J1326">
        <v>2.9</v>
      </c>
      <c r="K1326" t="s">
        <v>1268</v>
      </c>
    </row>
    <row r="1327" spans="1:11" x14ac:dyDescent="0.35">
      <c r="A1327" t="s">
        <v>1338</v>
      </c>
      <c r="B1327">
        <v>5</v>
      </c>
      <c r="C1327">
        <v>-6373690.2199999997</v>
      </c>
      <c r="D1327">
        <v>0.6</v>
      </c>
      <c r="E1327">
        <v>38939243.060000002</v>
      </c>
      <c r="F1327">
        <v>-29458295</v>
      </c>
      <c r="G1327">
        <v>3</v>
      </c>
      <c r="H1327">
        <v>2</v>
      </c>
      <c r="I1327">
        <v>4</v>
      </c>
      <c r="J1327">
        <v>2.9</v>
      </c>
      <c r="K1327" t="s">
        <v>1268</v>
      </c>
    </row>
    <row r="1328" spans="1:11" x14ac:dyDescent="0.35">
      <c r="A1328" t="s">
        <v>1339</v>
      </c>
      <c r="B1328">
        <v>5</v>
      </c>
      <c r="C1328">
        <v>19255438.359999999</v>
      </c>
      <c r="D1328">
        <v>0.8</v>
      </c>
      <c r="E1328">
        <v>20030169.710000001</v>
      </c>
      <c r="F1328">
        <v>-21370740.600000001</v>
      </c>
      <c r="G1328">
        <v>3</v>
      </c>
      <c r="H1328">
        <v>2</v>
      </c>
      <c r="I1328">
        <v>4</v>
      </c>
      <c r="J1328">
        <v>2.9</v>
      </c>
      <c r="K1328" t="s">
        <v>1268</v>
      </c>
    </row>
    <row r="1329" spans="1:11" x14ac:dyDescent="0.35">
      <c r="A1329" t="s">
        <v>1340</v>
      </c>
      <c r="B1329">
        <v>5</v>
      </c>
      <c r="C1329">
        <v>1607370.4</v>
      </c>
      <c r="D1329">
        <v>0.6</v>
      </c>
      <c r="E1329">
        <v>38238084.789999999</v>
      </c>
      <c r="F1329">
        <v>-25776196.800000001</v>
      </c>
      <c r="G1329">
        <v>3</v>
      </c>
      <c r="H1329">
        <v>2</v>
      </c>
      <c r="I1329">
        <v>4</v>
      </c>
      <c r="J1329">
        <v>2.9</v>
      </c>
      <c r="K1329" t="s">
        <v>1268</v>
      </c>
    </row>
    <row r="1330" spans="1:11" x14ac:dyDescent="0.35">
      <c r="A1330" t="s">
        <v>1341</v>
      </c>
      <c r="B1330">
        <v>5</v>
      </c>
      <c r="C1330">
        <v>1080662.96</v>
      </c>
      <c r="D1330">
        <v>0.6</v>
      </c>
      <c r="E1330">
        <v>22315991.77</v>
      </c>
      <c r="F1330">
        <v>-26495443.800000001</v>
      </c>
      <c r="G1330">
        <v>3</v>
      </c>
      <c r="H1330">
        <v>2</v>
      </c>
      <c r="I1330">
        <v>4</v>
      </c>
      <c r="J1330">
        <v>2.9</v>
      </c>
      <c r="K1330" t="s">
        <v>1268</v>
      </c>
    </row>
    <row r="1331" spans="1:11" x14ac:dyDescent="0.35">
      <c r="A1331" t="s">
        <v>1342</v>
      </c>
      <c r="B1331">
        <v>5</v>
      </c>
      <c r="C1331">
        <v>12954684.220000001</v>
      </c>
      <c r="D1331">
        <v>0.6</v>
      </c>
      <c r="E1331">
        <v>29745854.5</v>
      </c>
      <c r="F1331">
        <v>-25229014.899999999</v>
      </c>
      <c r="G1331">
        <v>3</v>
      </c>
      <c r="H1331">
        <v>2</v>
      </c>
      <c r="I1331">
        <v>4</v>
      </c>
      <c r="J1331">
        <v>2.9</v>
      </c>
      <c r="K1331" t="s">
        <v>1268</v>
      </c>
    </row>
    <row r="1332" spans="1:11" x14ac:dyDescent="0.35">
      <c r="A1332" t="s">
        <v>1343</v>
      </c>
      <c r="B1332">
        <v>5</v>
      </c>
      <c r="C1332">
        <v>3917871.98</v>
      </c>
      <c r="D1332">
        <v>0.6</v>
      </c>
      <c r="E1332">
        <v>34914836.950000003</v>
      </c>
      <c r="F1332">
        <v>-26207209.399999999</v>
      </c>
      <c r="G1332">
        <v>3</v>
      </c>
      <c r="H1332">
        <v>2</v>
      </c>
      <c r="I1332">
        <v>4</v>
      </c>
      <c r="J1332">
        <v>2.9</v>
      </c>
      <c r="K1332" t="s">
        <v>1268</v>
      </c>
    </row>
    <row r="1333" spans="1:11" x14ac:dyDescent="0.35">
      <c r="A1333" t="s">
        <v>1344</v>
      </c>
      <c r="B1333">
        <v>5</v>
      </c>
      <c r="C1333">
        <v>-3045983.36</v>
      </c>
      <c r="D1333">
        <v>0.4</v>
      </c>
      <c r="E1333">
        <v>24738153.260000002</v>
      </c>
      <c r="F1333">
        <v>-24531426.199999999</v>
      </c>
      <c r="G1333">
        <v>3</v>
      </c>
      <c r="H1333">
        <v>2</v>
      </c>
      <c r="I1333">
        <v>4</v>
      </c>
      <c r="J1333">
        <v>2.9</v>
      </c>
      <c r="K1333" t="s">
        <v>1268</v>
      </c>
    </row>
    <row r="1334" spans="1:11" x14ac:dyDescent="0.35">
      <c r="A1334" t="s">
        <v>1345</v>
      </c>
      <c r="B1334">
        <v>5</v>
      </c>
      <c r="C1334">
        <v>37574861.539999999</v>
      </c>
      <c r="D1334">
        <v>0.8</v>
      </c>
      <c r="E1334">
        <v>44019892.43</v>
      </c>
      <c r="F1334">
        <v>-16086829.4</v>
      </c>
      <c r="G1334">
        <v>3</v>
      </c>
      <c r="H1334">
        <v>2</v>
      </c>
      <c r="I1334">
        <v>4</v>
      </c>
      <c r="J1334">
        <v>2.9</v>
      </c>
      <c r="K1334" t="s">
        <v>1268</v>
      </c>
    </row>
    <row r="1335" spans="1:11" x14ac:dyDescent="0.35">
      <c r="A1335" t="s">
        <v>1346</v>
      </c>
      <c r="B1335">
        <v>5</v>
      </c>
      <c r="C1335">
        <v>18397612.379999999</v>
      </c>
      <c r="D1335">
        <v>0.6</v>
      </c>
      <c r="E1335">
        <v>40891367.369999997</v>
      </c>
      <c r="F1335">
        <v>-14376356.1</v>
      </c>
      <c r="G1335">
        <v>3</v>
      </c>
      <c r="H1335">
        <v>2</v>
      </c>
      <c r="I1335">
        <v>4</v>
      </c>
      <c r="J1335">
        <v>2.9</v>
      </c>
      <c r="K1335" t="s">
        <v>1268</v>
      </c>
    </row>
    <row r="1336" spans="1:11" x14ac:dyDescent="0.35">
      <c r="A1336" t="s">
        <v>1347</v>
      </c>
      <c r="B1336">
        <v>5</v>
      </c>
      <c r="C1336">
        <v>47660.160000000003</v>
      </c>
      <c r="D1336">
        <v>0.6</v>
      </c>
      <c r="E1336">
        <v>17083620.25</v>
      </c>
      <c r="F1336">
        <v>-13099848.4</v>
      </c>
      <c r="G1336">
        <v>3</v>
      </c>
      <c r="H1336">
        <v>2</v>
      </c>
      <c r="I1336">
        <v>4</v>
      </c>
      <c r="J1336">
        <v>2.9</v>
      </c>
      <c r="K1336" t="s">
        <v>1268</v>
      </c>
    </row>
    <row r="1337" spans="1:11" x14ac:dyDescent="0.35">
      <c r="A1337" t="s">
        <v>1348</v>
      </c>
      <c r="B1337">
        <v>5</v>
      </c>
      <c r="C1337">
        <v>-3595334.98</v>
      </c>
      <c r="D1337">
        <v>0.8</v>
      </c>
      <c r="E1337">
        <v>22784486.09</v>
      </c>
      <c r="F1337">
        <v>-10523291.800000001</v>
      </c>
      <c r="G1337">
        <v>3</v>
      </c>
      <c r="H1337">
        <v>2</v>
      </c>
      <c r="I1337">
        <v>4</v>
      </c>
      <c r="J1337">
        <v>2.9</v>
      </c>
      <c r="K1337" t="s">
        <v>1268</v>
      </c>
    </row>
    <row r="1338" spans="1:11" x14ac:dyDescent="0.35">
      <c r="A1338" t="s">
        <v>1349</v>
      </c>
      <c r="B1338">
        <v>5</v>
      </c>
      <c r="C1338">
        <v>-8018640.0199999996</v>
      </c>
      <c r="D1338">
        <v>0.6</v>
      </c>
      <c r="E1338">
        <v>20280259.420000002</v>
      </c>
      <c r="F1338">
        <v>-8722793.5</v>
      </c>
      <c r="G1338">
        <v>3</v>
      </c>
      <c r="H1338">
        <v>2</v>
      </c>
      <c r="I1338">
        <v>4</v>
      </c>
      <c r="J1338">
        <v>2.9</v>
      </c>
      <c r="K1338" t="s">
        <v>1268</v>
      </c>
    </row>
    <row r="1339" spans="1:11" x14ac:dyDescent="0.35">
      <c r="A1339" t="s">
        <v>1350</v>
      </c>
      <c r="B1339">
        <v>5</v>
      </c>
      <c r="C1339">
        <v>-2477885.02</v>
      </c>
      <c r="D1339">
        <v>0.2</v>
      </c>
      <c r="E1339">
        <v>4717826.1229999997</v>
      </c>
      <c r="F1339">
        <v>2195181.2999999998</v>
      </c>
      <c r="G1339">
        <v>4</v>
      </c>
      <c r="H1339">
        <v>1</v>
      </c>
      <c r="I1339">
        <v>3</v>
      </c>
      <c r="J1339">
        <v>2.9</v>
      </c>
      <c r="K1339" t="s">
        <v>1268</v>
      </c>
    </row>
    <row r="1340" spans="1:11" x14ac:dyDescent="0.35">
      <c r="A1340" t="s">
        <v>1351</v>
      </c>
      <c r="B1340">
        <v>5</v>
      </c>
      <c r="C1340">
        <v>-19168789.879999999</v>
      </c>
      <c r="D1340">
        <v>0.2</v>
      </c>
      <c r="E1340">
        <v>14031263.23</v>
      </c>
      <c r="F1340">
        <v>2728173.8</v>
      </c>
      <c r="G1340">
        <v>4</v>
      </c>
      <c r="H1340">
        <v>1</v>
      </c>
      <c r="I1340">
        <v>3</v>
      </c>
      <c r="J1340">
        <v>2.9</v>
      </c>
      <c r="K1340" t="s">
        <v>1268</v>
      </c>
    </row>
    <row r="1341" spans="1:11" x14ac:dyDescent="0.35">
      <c r="A1341" t="s">
        <v>1352</v>
      </c>
      <c r="B1341">
        <v>5</v>
      </c>
      <c r="C1341">
        <v>-3258843.42</v>
      </c>
      <c r="D1341">
        <v>0.2</v>
      </c>
      <c r="E1341">
        <v>2428838.7420000001</v>
      </c>
      <c r="F1341">
        <v>2645414.9</v>
      </c>
      <c r="G1341">
        <v>4</v>
      </c>
      <c r="H1341">
        <v>1</v>
      </c>
      <c r="I1341">
        <v>3</v>
      </c>
      <c r="J1341">
        <v>2.9</v>
      </c>
      <c r="K1341" t="s">
        <v>1268</v>
      </c>
    </row>
    <row r="1342" spans="1:11" x14ac:dyDescent="0.35">
      <c r="A1342" t="s">
        <v>1353</v>
      </c>
      <c r="B1342">
        <v>5</v>
      </c>
      <c r="C1342">
        <v>-7244301.46</v>
      </c>
      <c r="D1342">
        <v>0.2</v>
      </c>
      <c r="E1342">
        <v>6017322.5180000002</v>
      </c>
      <c r="F1342">
        <v>2786107.9</v>
      </c>
      <c r="G1342">
        <v>4</v>
      </c>
      <c r="H1342">
        <v>1</v>
      </c>
      <c r="I1342">
        <v>3</v>
      </c>
      <c r="J1342">
        <v>2.9</v>
      </c>
      <c r="K1342" t="s">
        <v>1268</v>
      </c>
    </row>
    <row r="1343" spans="1:11" x14ac:dyDescent="0.35">
      <c r="A1343" t="s">
        <v>1354</v>
      </c>
      <c r="B1343">
        <v>5</v>
      </c>
      <c r="C1343">
        <v>-13973921.880000001</v>
      </c>
      <c r="D1343">
        <v>0</v>
      </c>
      <c r="E1343">
        <v>6580897.7429999998</v>
      </c>
      <c r="F1343">
        <v>2966094.2</v>
      </c>
      <c r="G1343">
        <v>4</v>
      </c>
      <c r="H1343">
        <v>1</v>
      </c>
      <c r="I1343">
        <v>3</v>
      </c>
      <c r="J1343">
        <v>2.9</v>
      </c>
      <c r="K1343" t="s">
        <v>1268</v>
      </c>
    </row>
    <row r="1344" spans="1:11" x14ac:dyDescent="0.35">
      <c r="A1344" t="s">
        <v>1355</v>
      </c>
      <c r="B1344">
        <v>5</v>
      </c>
      <c r="C1344">
        <v>-5987556.5800000001</v>
      </c>
      <c r="D1344">
        <v>0.2</v>
      </c>
      <c r="E1344">
        <v>5218372.4009999996</v>
      </c>
      <c r="F1344">
        <v>3271774.2</v>
      </c>
      <c r="G1344">
        <v>4</v>
      </c>
      <c r="H1344">
        <v>1</v>
      </c>
      <c r="I1344">
        <v>3</v>
      </c>
      <c r="J1344">
        <v>2.9</v>
      </c>
      <c r="K1344" t="s">
        <v>1268</v>
      </c>
    </row>
    <row r="1345" spans="1:11" x14ac:dyDescent="0.35">
      <c r="A1345" t="s">
        <v>1356</v>
      </c>
      <c r="B1345">
        <v>5</v>
      </c>
      <c r="C1345">
        <v>-51252929.579999998</v>
      </c>
      <c r="D1345">
        <v>0</v>
      </c>
      <c r="E1345">
        <v>15266505.25</v>
      </c>
      <c r="F1345">
        <v>3170500.1</v>
      </c>
      <c r="G1345">
        <v>4</v>
      </c>
      <c r="H1345">
        <v>1</v>
      </c>
      <c r="I1345">
        <v>3</v>
      </c>
      <c r="J1345">
        <v>2.9</v>
      </c>
      <c r="K1345" t="s">
        <v>1268</v>
      </c>
    </row>
    <row r="1346" spans="1:11" x14ac:dyDescent="0.35">
      <c r="A1346" t="s">
        <v>1357</v>
      </c>
      <c r="B1346">
        <v>5</v>
      </c>
      <c r="C1346">
        <v>-1591731.74</v>
      </c>
      <c r="D1346">
        <v>0</v>
      </c>
      <c r="E1346">
        <v>788779.41769999999</v>
      </c>
      <c r="F1346">
        <v>1555708</v>
      </c>
      <c r="G1346">
        <v>4</v>
      </c>
      <c r="H1346">
        <v>1</v>
      </c>
      <c r="I1346">
        <v>3</v>
      </c>
      <c r="J1346">
        <v>2.9</v>
      </c>
      <c r="K1346" t="s">
        <v>1268</v>
      </c>
    </row>
    <row r="1347" spans="1:11" x14ac:dyDescent="0.35">
      <c r="A1347" t="s">
        <v>1358</v>
      </c>
      <c r="B1347">
        <v>5</v>
      </c>
      <c r="C1347">
        <v>-3555716.8</v>
      </c>
      <c r="D1347">
        <v>0.2</v>
      </c>
      <c r="E1347">
        <v>4471419.0219999999</v>
      </c>
      <c r="F1347">
        <v>582775.5</v>
      </c>
      <c r="G1347">
        <v>4</v>
      </c>
      <c r="H1347">
        <v>1</v>
      </c>
      <c r="I1347">
        <v>3</v>
      </c>
      <c r="J1347">
        <v>2.9</v>
      </c>
      <c r="K1347" t="s">
        <v>1268</v>
      </c>
    </row>
    <row r="1348" spans="1:11" x14ac:dyDescent="0.35">
      <c r="A1348" t="s">
        <v>1359</v>
      </c>
      <c r="B1348">
        <v>5</v>
      </c>
      <c r="C1348">
        <v>-9274714.9399999995</v>
      </c>
      <c r="D1348">
        <v>0</v>
      </c>
      <c r="E1348">
        <v>3486965.3930000002</v>
      </c>
      <c r="F1348">
        <v>408793.9</v>
      </c>
      <c r="G1348">
        <v>4</v>
      </c>
      <c r="H1348">
        <v>1</v>
      </c>
      <c r="I1348">
        <v>3</v>
      </c>
      <c r="J1348">
        <v>2.9</v>
      </c>
      <c r="K1348" t="s">
        <v>1268</v>
      </c>
    </row>
    <row r="1349" spans="1:11" x14ac:dyDescent="0.35">
      <c r="A1349" t="s">
        <v>1360</v>
      </c>
      <c r="B1349">
        <v>5</v>
      </c>
      <c r="C1349">
        <v>1266764.8</v>
      </c>
      <c r="D1349">
        <v>0.2</v>
      </c>
      <c r="E1349">
        <v>6884008.5109999999</v>
      </c>
      <c r="F1349">
        <v>393685.3</v>
      </c>
      <c r="G1349">
        <v>4</v>
      </c>
      <c r="H1349">
        <v>1</v>
      </c>
      <c r="I1349">
        <v>3</v>
      </c>
      <c r="J1349">
        <v>2.9</v>
      </c>
      <c r="K1349" t="s">
        <v>1268</v>
      </c>
    </row>
    <row r="1350" spans="1:11" x14ac:dyDescent="0.35">
      <c r="A1350" t="s">
        <v>1361</v>
      </c>
      <c r="B1350">
        <v>5</v>
      </c>
      <c r="C1350">
        <v>-6062080.7999999998</v>
      </c>
      <c r="D1350">
        <v>0</v>
      </c>
      <c r="E1350">
        <v>2309493.676</v>
      </c>
      <c r="F1350">
        <v>4320584.5999999996</v>
      </c>
      <c r="G1350">
        <v>4</v>
      </c>
      <c r="H1350">
        <v>1</v>
      </c>
      <c r="I1350">
        <v>3</v>
      </c>
      <c r="J1350">
        <v>2.9</v>
      </c>
      <c r="K1350" t="s">
        <v>1268</v>
      </c>
    </row>
    <row r="1351" spans="1:11" x14ac:dyDescent="0.35">
      <c r="A1351" t="s">
        <v>1362</v>
      </c>
      <c r="B1351">
        <v>5</v>
      </c>
      <c r="C1351">
        <v>-3500413.86</v>
      </c>
      <c r="D1351">
        <v>0.2</v>
      </c>
      <c r="E1351">
        <v>4412432.727</v>
      </c>
      <c r="F1351">
        <v>7421058.0999999996</v>
      </c>
      <c r="G1351">
        <v>4</v>
      </c>
      <c r="H1351">
        <v>1</v>
      </c>
      <c r="I1351">
        <v>3</v>
      </c>
      <c r="J1351">
        <v>2.9</v>
      </c>
      <c r="K1351" t="s">
        <v>1268</v>
      </c>
    </row>
    <row r="1352" spans="1:11" x14ac:dyDescent="0.35">
      <c r="A1352" t="s">
        <v>1363</v>
      </c>
      <c r="B1352">
        <v>5</v>
      </c>
      <c r="C1352">
        <v>-1149647.58</v>
      </c>
      <c r="D1352">
        <v>0.4</v>
      </c>
      <c r="E1352">
        <v>14803795.859999999</v>
      </c>
      <c r="F1352">
        <v>6988962.2999999998</v>
      </c>
      <c r="G1352">
        <v>4</v>
      </c>
      <c r="H1352">
        <v>1</v>
      </c>
      <c r="I1352">
        <v>3</v>
      </c>
      <c r="J1352">
        <v>2.9</v>
      </c>
      <c r="K1352" t="s">
        <v>1268</v>
      </c>
    </row>
    <row r="1353" spans="1:11" x14ac:dyDescent="0.35">
      <c r="A1353" t="s">
        <v>1364</v>
      </c>
      <c r="B1353">
        <v>5</v>
      </c>
      <c r="C1353">
        <v>-6853839.04</v>
      </c>
      <c r="D1353">
        <v>0.2</v>
      </c>
      <c r="E1353">
        <v>7337145.6579999998</v>
      </c>
      <c r="F1353">
        <v>6926024.7999999998</v>
      </c>
      <c r="G1353">
        <v>4</v>
      </c>
      <c r="H1353">
        <v>1</v>
      </c>
      <c r="I1353">
        <v>3</v>
      </c>
      <c r="J1353">
        <v>2.9</v>
      </c>
      <c r="K1353" t="s">
        <v>1268</v>
      </c>
    </row>
    <row r="1354" spans="1:11" x14ac:dyDescent="0.35">
      <c r="A1354" t="s">
        <v>1365</v>
      </c>
      <c r="B1354">
        <v>5</v>
      </c>
      <c r="C1354">
        <v>-1913277.42</v>
      </c>
      <c r="D1354">
        <v>0.4</v>
      </c>
      <c r="E1354">
        <v>3494681.4759999998</v>
      </c>
      <c r="F1354">
        <v>5706601.5</v>
      </c>
      <c r="G1354">
        <v>4</v>
      </c>
      <c r="H1354">
        <v>1</v>
      </c>
      <c r="I1354">
        <v>3</v>
      </c>
      <c r="J1354">
        <v>2.9</v>
      </c>
      <c r="K1354" t="s">
        <v>1268</v>
      </c>
    </row>
    <row r="1355" spans="1:11" x14ac:dyDescent="0.35">
      <c r="A1355" t="s">
        <v>1366</v>
      </c>
      <c r="B1355">
        <v>5</v>
      </c>
      <c r="C1355">
        <v>-1899300.16</v>
      </c>
      <c r="D1355">
        <v>0.2</v>
      </c>
      <c r="E1355">
        <v>4560890.5190000003</v>
      </c>
      <c r="F1355">
        <v>5973637.7999999998</v>
      </c>
      <c r="G1355">
        <v>4</v>
      </c>
      <c r="H1355">
        <v>1</v>
      </c>
      <c r="I1355">
        <v>3</v>
      </c>
      <c r="J1355">
        <v>2.9</v>
      </c>
      <c r="K1355" t="s">
        <v>1268</v>
      </c>
    </row>
    <row r="1356" spans="1:11" x14ac:dyDescent="0.35">
      <c r="A1356" t="s">
        <v>1367</v>
      </c>
      <c r="B1356">
        <v>5</v>
      </c>
      <c r="C1356">
        <v>-2979485.82</v>
      </c>
      <c r="D1356">
        <v>0.2</v>
      </c>
      <c r="E1356">
        <v>3115758.6860000002</v>
      </c>
      <c r="F1356">
        <v>6289252.2999999998</v>
      </c>
      <c r="G1356">
        <v>4</v>
      </c>
      <c r="H1356">
        <v>1</v>
      </c>
      <c r="I1356">
        <v>3</v>
      </c>
      <c r="J1356">
        <v>2.9</v>
      </c>
      <c r="K1356" t="s">
        <v>1268</v>
      </c>
    </row>
    <row r="1357" spans="1:11" x14ac:dyDescent="0.35">
      <c r="A1357" t="s">
        <v>1368</v>
      </c>
      <c r="B1357">
        <v>5</v>
      </c>
      <c r="C1357">
        <v>-5250188.5999999996</v>
      </c>
      <c r="D1357">
        <v>0.2</v>
      </c>
      <c r="E1357">
        <v>4428352.335</v>
      </c>
      <c r="F1357">
        <v>-2911556.9</v>
      </c>
      <c r="G1357">
        <v>4</v>
      </c>
      <c r="H1357">
        <v>1</v>
      </c>
      <c r="I1357">
        <v>3</v>
      </c>
      <c r="J1357">
        <v>2.9</v>
      </c>
      <c r="K1357" t="s">
        <v>1268</v>
      </c>
    </row>
    <row r="1358" spans="1:11" x14ac:dyDescent="0.35">
      <c r="A1358" t="s">
        <v>1369</v>
      </c>
      <c r="B1358">
        <v>5</v>
      </c>
      <c r="C1358">
        <v>-22743179.34</v>
      </c>
      <c r="D1358">
        <v>0.2</v>
      </c>
      <c r="E1358">
        <v>14346885.49</v>
      </c>
      <c r="F1358">
        <v>-1389819.4</v>
      </c>
      <c r="G1358">
        <v>4</v>
      </c>
      <c r="H1358">
        <v>1</v>
      </c>
      <c r="I1358">
        <v>3</v>
      </c>
      <c r="J1358">
        <v>2.9</v>
      </c>
      <c r="K1358" t="s">
        <v>1268</v>
      </c>
    </row>
    <row r="1359" spans="1:11" x14ac:dyDescent="0.35">
      <c r="A1359" t="s">
        <v>1370</v>
      </c>
      <c r="B1359">
        <v>5</v>
      </c>
      <c r="C1359">
        <v>-5533639.3200000003</v>
      </c>
      <c r="D1359">
        <v>0</v>
      </c>
      <c r="E1359">
        <v>2406704.9309999999</v>
      </c>
      <c r="F1359">
        <v>-1450729.1</v>
      </c>
      <c r="G1359">
        <v>4</v>
      </c>
      <c r="H1359">
        <v>1</v>
      </c>
      <c r="I1359">
        <v>3</v>
      </c>
      <c r="J1359">
        <v>2.9</v>
      </c>
      <c r="K1359" t="s">
        <v>1268</v>
      </c>
    </row>
    <row r="1360" spans="1:11" x14ac:dyDescent="0.35">
      <c r="A1360" t="s">
        <v>1371</v>
      </c>
      <c r="B1360">
        <v>5</v>
      </c>
      <c r="C1360">
        <v>-22989138.699999999</v>
      </c>
      <c r="D1360">
        <v>0</v>
      </c>
      <c r="E1360">
        <v>7972175.034</v>
      </c>
      <c r="F1360">
        <v>-1832690</v>
      </c>
      <c r="G1360">
        <v>4</v>
      </c>
      <c r="H1360">
        <v>1</v>
      </c>
      <c r="I1360">
        <v>3</v>
      </c>
      <c r="J1360">
        <v>2.9</v>
      </c>
      <c r="K1360" t="s">
        <v>1268</v>
      </c>
    </row>
    <row r="1361" spans="1:11" x14ac:dyDescent="0.35">
      <c r="A1361" t="s">
        <v>1372</v>
      </c>
      <c r="B1361">
        <v>5</v>
      </c>
      <c r="C1361">
        <v>-800720.56</v>
      </c>
      <c r="D1361">
        <v>0.2</v>
      </c>
      <c r="E1361">
        <v>1136334.7239999999</v>
      </c>
      <c r="F1361">
        <v>-1696404.3</v>
      </c>
      <c r="G1361">
        <v>4</v>
      </c>
      <c r="H1361">
        <v>1</v>
      </c>
      <c r="I1361">
        <v>3</v>
      </c>
      <c r="J1361">
        <v>2.9</v>
      </c>
      <c r="K1361" t="s">
        <v>1268</v>
      </c>
    </row>
    <row r="1362" spans="1:11" x14ac:dyDescent="0.35">
      <c r="A1362" t="s">
        <v>1373</v>
      </c>
      <c r="B1362">
        <v>5</v>
      </c>
      <c r="C1362">
        <v>-2238847.1</v>
      </c>
      <c r="D1362">
        <v>0.2</v>
      </c>
      <c r="E1362">
        <v>1887287.85</v>
      </c>
      <c r="F1362">
        <v>-1264994.7</v>
      </c>
      <c r="G1362">
        <v>4</v>
      </c>
      <c r="H1362">
        <v>1</v>
      </c>
      <c r="I1362">
        <v>3</v>
      </c>
      <c r="J1362">
        <v>2.9</v>
      </c>
      <c r="K1362" t="s">
        <v>1268</v>
      </c>
    </row>
    <row r="1363" spans="1:11" x14ac:dyDescent="0.35">
      <c r="A1363" t="s">
        <v>1374</v>
      </c>
      <c r="B1363">
        <v>5</v>
      </c>
      <c r="C1363">
        <v>-10408528.1</v>
      </c>
      <c r="D1363">
        <v>0.2</v>
      </c>
      <c r="E1363">
        <v>11502461.74</v>
      </c>
      <c r="F1363">
        <v>-445141.7</v>
      </c>
      <c r="G1363">
        <v>4</v>
      </c>
      <c r="H1363">
        <v>1</v>
      </c>
      <c r="I1363">
        <v>3</v>
      </c>
      <c r="J1363">
        <v>2.9</v>
      </c>
      <c r="K1363" t="s">
        <v>1268</v>
      </c>
    </row>
    <row r="1364" spans="1:11" x14ac:dyDescent="0.35">
      <c r="A1364" t="s">
        <v>1375</v>
      </c>
      <c r="B1364">
        <v>5</v>
      </c>
      <c r="C1364">
        <v>-707805.02</v>
      </c>
      <c r="D1364">
        <v>0.2</v>
      </c>
      <c r="E1364">
        <v>579660.22160000005</v>
      </c>
      <c r="F1364">
        <v>-126964.6</v>
      </c>
      <c r="G1364">
        <v>4</v>
      </c>
      <c r="H1364">
        <v>1</v>
      </c>
      <c r="I1364">
        <v>3</v>
      </c>
      <c r="J1364">
        <v>2.9</v>
      </c>
      <c r="K1364" t="s">
        <v>1268</v>
      </c>
    </row>
    <row r="1365" spans="1:11" x14ac:dyDescent="0.35">
      <c r="A1365" t="s">
        <v>1376</v>
      </c>
      <c r="B1365">
        <v>5</v>
      </c>
      <c r="C1365">
        <v>-112352272.40000001</v>
      </c>
      <c r="D1365">
        <v>0</v>
      </c>
      <c r="E1365">
        <v>11747677.050000001</v>
      </c>
      <c r="F1365">
        <v>-707609.8</v>
      </c>
      <c r="G1365">
        <v>4</v>
      </c>
      <c r="H1365">
        <v>1</v>
      </c>
      <c r="I1365">
        <v>3</v>
      </c>
      <c r="J1365">
        <v>2.9</v>
      </c>
      <c r="K1365" t="s">
        <v>1268</v>
      </c>
    </row>
    <row r="1366" spans="1:11" x14ac:dyDescent="0.35">
      <c r="A1366" t="s">
        <v>1377</v>
      </c>
      <c r="B1366">
        <v>5</v>
      </c>
      <c r="C1366">
        <v>-710736.22</v>
      </c>
      <c r="D1366">
        <v>0.2</v>
      </c>
      <c r="E1366">
        <v>1876359.3810000001</v>
      </c>
      <c r="F1366">
        <v>-756915.3</v>
      </c>
      <c r="G1366">
        <v>4</v>
      </c>
      <c r="H1366">
        <v>1</v>
      </c>
      <c r="I1366">
        <v>3</v>
      </c>
      <c r="J1366">
        <v>2.9</v>
      </c>
      <c r="K1366" t="s">
        <v>1268</v>
      </c>
    </row>
    <row r="1367" spans="1:11" x14ac:dyDescent="0.35">
      <c r="A1367" t="s">
        <v>1378</v>
      </c>
      <c r="B1367">
        <v>5</v>
      </c>
      <c r="C1367">
        <v>-182022</v>
      </c>
      <c r="D1367">
        <v>0</v>
      </c>
      <c r="E1367">
        <v>13083.554550000001</v>
      </c>
      <c r="F1367">
        <v>-16608.2</v>
      </c>
      <c r="G1367">
        <v>4</v>
      </c>
      <c r="H1367">
        <v>1</v>
      </c>
      <c r="I1367">
        <v>3</v>
      </c>
      <c r="J1367">
        <v>2.9</v>
      </c>
      <c r="K1367" t="s">
        <v>1268</v>
      </c>
    </row>
    <row r="1368" spans="1:11" x14ac:dyDescent="0.35">
      <c r="A1368" t="s">
        <v>1379</v>
      </c>
      <c r="B1368">
        <v>5</v>
      </c>
      <c r="C1368">
        <v>5426.36</v>
      </c>
      <c r="D1368">
        <v>0.2</v>
      </c>
      <c r="E1368">
        <v>168071.25219999999</v>
      </c>
      <c r="F1368">
        <v>-39225.800000000003</v>
      </c>
      <c r="G1368">
        <v>4</v>
      </c>
      <c r="H1368">
        <v>1</v>
      </c>
      <c r="I1368">
        <v>3</v>
      </c>
      <c r="J1368">
        <v>2.9</v>
      </c>
      <c r="K1368" t="s">
        <v>1268</v>
      </c>
    </row>
    <row r="1369" spans="1:11" x14ac:dyDescent="0.35">
      <c r="A1369" t="s">
        <v>1380</v>
      </c>
      <c r="B1369">
        <v>5</v>
      </c>
      <c r="C1369">
        <v>-4870717.38</v>
      </c>
      <c r="D1369">
        <v>0.4</v>
      </c>
      <c r="E1369">
        <v>8094301.6009999998</v>
      </c>
      <c r="F1369">
        <v>108100.8</v>
      </c>
      <c r="G1369">
        <v>4</v>
      </c>
      <c r="H1369">
        <v>1</v>
      </c>
      <c r="I1369">
        <v>3</v>
      </c>
      <c r="J1369">
        <v>2.9</v>
      </c>
      <c r="K1369" t="s">
        <v>1268</v>
      </c>
    </row>
    <row r="1370" spans="1:11" x14ac:dyDescent="0.35">
      <c r="A1370" t="s">
        <v>1381</v>
      </c>
      <c r="B1370">
        <v>5</v>
      </c>
      <c r="C1370">
        <v>46389.18</v>
      </c>
      <c r="D1370">
        <v>0.4</v>
      </c>
      <c r="E1370">
        <v>973873.06400000001</v>
      </c>
      <c r="F1370">
        <v>67275.5</v>
      </c>
      <c r="G1370">
        <v>4</v>
      </c>
      <c r="H1370">
        <v>1</v>
      </c>
      <c r="I1370">
        <v>3</v>
      </c>
      <c r="J1370">
        <v>2.9</v>
      </c>
      <c r="K1370" t="s">
        <v>1268</v>
      </c>
    </row>
    <row r="1371" spans="1:11" x14ac:dyDescent="0.35">
      <c r="A1371" t="s">
        <v>1382</v>
      </c>
      <c r="B1371">
        <v>5</v>
      </c>
      <c r="C1371">
        <v>-126496.7</v>
      </c>
      <c r="D1371">
        <v>0.4</v>
      </c>
      <c r="E1371">
        <v>2471398.173</v>
      </c>
      <c r="F1371">
        <v>-4820018.5999999996</v>
      </c>
      <c r="G1371">
        <v>4</v>
      </c>
      <c r="H1371">
        <v>1</v>
      </c>
      <c r="I1371">
        <v>3</v>
      </c>
      <c r="J1371">
        <v>2.9</v>
      </c>
      <c r="K1371" t="s">
        <v>1268</v>
      </c>
    </row>
    <row r="1372" spans="1:11" x14ac:dyDescent="0.35">
      <c r="A1372" t="s">
        <v>1383</v>
      </c>
      <c r="B1372">
        <v>5</v>
      </c>
      <c r="C1372">
        <v>13830230.380000001</v>
      </c>
      <c r="D1372">
        <v>0.6</v>
      </c>
      <c r="E1372">
        <v>15414223.630000001</v>
      </c>
      <c r="F1372">
        <v>-6042138</v>
      </c>
      <c r="G1372">
        <v>3</v>
      </c>
      <c r="H1372">
        <v>2</v>
      </c>
      <c r="I1372">
        <v>4</v>
      </c>
      <c r="J1372">
        <v>2.9</v>
      </c>
      <c r="K1372" t="s">
        <v>1268</v>
      </c>
    </row>
    <row r="1373" spans="1:11" x14ac:dyDescent="0.35">
      <c r="A1373" t="s">
        <v>1384</v>
      </c>
      <c r="B1373">
        <v>5</v>
      </c>
      <c r="C1373">
        <v>-31154079.559999999</v>
      </c>
      <c r="D1373">
        <v>0</v>
      </c>
      <c r="E1373">
        <v>3207354.827</v>
      </c>
      <c r="F1373">
        <v>-2942960.9</v>
      </c>
      <c r="G1373">
        <v>4</v>
      </c>
      <c r="H1373">
        <v>1</v>
      </c>
      <c r="I1373">
        <v>3</v>
      </c>
      <c r="J1373">
        <v>2.9</v>
      </c>
      <c r="K1373" t="s">
        <v>1268</v>
      </c>
    </row>
    <row r="1374" spans="1:11" x14ac:dyDescent="0.35">
      <c r="A1374" t="s">
        <v>1385</v>
      </c>
      <c r="B1374">
        <v>5</v>
      </c>
      <c r="C1374">
        <v>-29911205.399999999</v>
      </c>
      <c r="D1374">
        <v>0</v>
      </c>
      <c r="E1374">
        <v>3503019.7549999999</v>
      </c>
      <c r="F1374">
        <v>-2455081.7000000002</v>
      </c>
      <c r="G1374">
        <v>4</v>
      </c>
      <c r="H1374">
        <v>1</v>
      </c>
      <c r="I1374">
        <v>3</v>
      </c>
      <c r="J1374">
        <v>2.9</v>
      </c>
      <c r="K1374" t="s">
        <v>1268</v>
      </c>
    </row>
    <row r="1375" spans="1:11" x14ac:dyDescent="0.35">
      <c r="A1375" t="s">
        <v>1386</v>
      </c>
      <c r="B1375">
        <v>5</v>
      </c>
      <c r="C1375">
        <v>-5636156.1600000001</v>
      </c>
      <c r="D1375">
        <v>0.2</v>
      </c>
      <c r="E1375">
        <v>9926980.5879999995</v>
      </c>
      <c r="F1375">
        <v>-3628984.6</v>
      </c>
      <c r="G1375">
        <v>4</v>
      </c>
      <c r="H1375">
        <v>1</v>
      </c>
      <c r="I1375">
        <v>3</v>
      </c>
      <c r="J1375">
        <v>2.9</v>
      </c>
      <c r="K1375" t="s">
        <v>1268</v>
      </c>
    </row>
    <row r="1376" spans="1:11" x14ac:dyDescent="0.35">
      <c r="A1376" t="s">
        <v>1387</v>
      </c>
      <c r="B1376">
        <v>5</v>
      </c>
      <c r="C1376">
        <v>-2156764.66</v>
      </c>
      <c r="D1376">
        <v>0.2</v>
      </c>
      <c r="E1376">
        <v>3179139.2859999998</v>
      </c>
      <c r="F1376">
        <v>-4480161.4000000004</v>
      </c>
      <c r="G1376">
        <v>4</v>
      </c>
      <c r="H1376">
        <v>1</v>
      </c>
      <c r="I1376">
        <v>3</v>
      </c>
      <c r="J1376">
        <v>2.9</v>
      </c>
      <c r="K1376" t="s">
        <v>1268</v>
      </c>
    </row>
    <row r="1377" spans="1:11" x14ac:dyDescent="0.35">
      <c r="A1377" t="s">
        <v>1388</v>
      </c>
      <c r="B1377">
        <v>5</v>
      </c>
      <c r="C1377">
        <v>-2755606.82</v>
      </c>
      <c r="D1377">
        <v>0.2</v>
      </c>
      <c r="E1377">
        <v>3216105.7250000001</v>
      </c>
      <c r="F1377">
        <v>-4561488.5999999996</v>
      </c>
      <c r="G1377">
        <v>4</v>
      </c>
      <c r="H1377">
        <v>1</v>
      </c>
      <c r="I1377">
        <v>3</v>
      </c>
      <c r="J1377">
        <v>2.9</v>
      </c>
      <c r="K1377" t="s">
        <v>1268</v>
      </c>
    </row>
    <row r="1378" spans="1:11" x14ac:dyDescent="0.35">
      <c r="A1378" t="s">
        <v>1389</v>
      </c>
      <c r="B1378">
        <v>5</v>
      </c>
      <c r="C1378">
        <v>-2308274.14</v>
      </c>
      <c r="D1378">
        <v>0.2</v>
      </c>
      <c r="E1378">
        <v>2856411.58</v>
      </c>
      <c r="F1378">
        <v>-4219906.9000000004</v>
      </c>
      <c r="G1378">
        <v>4</v>
      </c>
      <c r="H1378">
        <v>1</v>
      </c>
      <c r="I1378">
        <v>3</v>
      </c>
      <c r="J1378">
        <v>2.9</v>
      </c>
      <c r="K1378" t="s">
        <v>1268</v>
      </c>
    </row>
    <row r="1379" spans="1:11" x14ac:dyDescent="0.35">
      <c r="A1379" t="s">
        <v>1390</v>
      </c>
      <c r="B1379">
        <v>5</v>
      </c>
      <c r="C1379">
        <v>-1828995.06</v>
      </c>
      <c r="D1379">
        <v>0.2</v>
      </c>
      <c r="E1379">
        <v>2070155.1159999999</v>
      </c>
      <c r="F1379">
        <v>-4237368.9000000004</v>
      </c>
      <c r="G1379">
        <v>4</v>
      </c>
      <c r="H1379">
        <v>1</v>
      </c>
      <c r="I1379">
        <v>3</v>
      </c>
      <c r="J1379">
        <v>2.9</v>
      </c>
      <c r="K1379" t="s">
        <v>1268</v>
      </c>
    </row>
    <row r="1380" spans="1:11" x14ac:dyDescent="0.35">
      <c r="A1380" t="s">
        <v>1391</v>
      </c>
      <c r="B1380">
        <v>5</v>
      </c>
      <c r="C1380">
        <v>-2201956.48</v>
      </c>
      <c r="D1380">
        <v>0</v>
      </c>
      <c r="E1380">
        <v>1699097.7239999999</v>
      </c>
      <c r="F1380">
        <v>-3702637.7</v>
      </c>
      <c r="G1380">
        <v>4</v>
      </c>
      <c r="H1380">
        <v>1</v>
      </c>
      <c r="I1380">
        <v>3</v>
      </c>
      <c r="J1380">
        <v>2.9</v>
      </c>
      <c r="K1380" t="s">
        <v>1268</v>
      </c>
    </row>
    <row r="1381" spans="1:11" x14ac:dyDescent="0.35">
      <c r="A1381" t="s">
        <v>1392</v>
      </c>
      <c r="B1381">
        <v>5</v>
      </c>
      <c r="C1381">
        <v>135318858</v>
      </c>
      <c r="D1381">
        <v>0.8</v>
      </c>
      <c r="E1381">
        <v>84258321.890000001</v>
      </c>
      <c r="F1381">
        <v>-182251869</v>
      </c>
      <c r="G1381">
        <v>2</v>
      </c>
      <c r="H1381">
        <v>3</v>
      </c>
      <c r="I1381">
        <v>5</v>
      </c>
      <c r="J1381">
        <v>2.9</v>
      </c>
      <c r="K1381" t="s">
        <v>1268</v>
      </c>
    </row>
    <row r="1382" spans="1:11" x14ac:dyDescent="0.35">
      <c r="A1382" t="s">
        <v>1393</v>
      </c>
      <c r="B1382">
        <v>5</v>
      </c>
      <c r="C1382">
        <v>427116620.80000001</v>
      </c>
      <c r="D1382">
        <v>1</v>
      </c>
      <c r="E1382">
        <v>78116816.760000005</v>
      </c>
      <c r="F1382">
        <v>-166185269.5</v>
      </c>
      <c r="G1382">
        <v>2</v>
      </c>
      <c r="H1382">
        <v>3</v>
      </c>
      <c r="I1382">
        <v>5</v>
      </c>
      <c r="J1382">
        <v>2.9</v>
      </c>
      <c r="K1382" t="s">
        <v>1268</v>
      </c>
    </row>
    <row r="1383" spans="1:11" x14ac:dyDescent="0.35">
      <c r="A1383" t="s">
        <v>1394</v>
      </c>
      <c r="B1383">
        <v>5</v>
      </c>
      <c r="C1383">
        <v>104286288.2</v>
      </c>
      <c r="D1383">
        <v>0.8</v>
      </c>
      <c r="E1383">
        <v>95675359.780000001</v>
      </c>
      <c r="F1383">
        <v>-175921768</v>
      </c>
      <c r="G1383">
        <v>2</v>
      </c>
      <c r="H1383">
        <v>3</v>
      </c>
      <c r="I1383">
        <v>5</v>
      </c>
      <c r="J1383">
        <v>2.9</v>
      </c>
      <c r="K1383" t="s">
        <v>1268</v>
      </c>
    </row>
    <row r="1384" spans="1:11" x14ac:dyDescent="0.35">
      <c r="A1384" t="s">
        <v>1395</v>
      </c>
      <c r="B1384">
        <v>5</v>
      </c>
      <c r="C1384">
        <v>125746034.7</v>
      </c>
      <c r="D1384">
        <v>1</v>
      </c>
      <c r="E1384">
        <v>74119525.709999993</v>
      </c>
      <c r="F1384">
        <v>-170182165.30000001</v>
      </c>
      <c r="G1384">
        <v>2</v>
      </c>
      <c r="H1384">
        <v>3</v>
      </c>
      <c r="I1384">
        <v>5</v>
      </c>
      <c r="J1384">
        <v>2.9</v>
      </c>
      <c r="K1384" t="s">
        <v>1268</v>
      </c>
    </row>
    <row r="1385" spans="1:11" x14ac:dyDescent="0.35">
      <c r="A1385" t="s">
        <v>1396</v>
      </c>
      <c r="B1385">
        <v>5</v>
      </c>
      <c r="C1385">
        <v>279176661.10000002</v>
      </c>
      <c r="D1385">
        <v>1</v>
      </c>
      <c r="E1385">
        <v>91860464.75</v>
      </c>
      <c r="F1385">
        <v>-140625611</v>
      </c>
      <c r="G1385">
        <v>2</v>
      </c>
      <c r="H1385">
        <v>3</v>
      </c>
      <c r="I1385">
        <v>5</v>
      </c>
      <c r="J1385">
        <v>2.9</v>
      </c>
      <c r="K1385" t="s">
        <v>1268</v>
      </c>
    </row>
    <row r="1386" spans="1:11" x14ac:dyDescent="0.35">
      <c r="A1386" t="s">
        <v>1397</v>
      </c>
      <c r="B1386">
        <v>5</v>
      </c>
      <c r="C1386">
        <v>131255802.59999999</v>
      </c>
      <c r="D1386">
        <v>1</v>
      </c>
      <c r="E1386">
        <v>65058711.810000002</v>
      </c>
      <c r="F1386">
        <v>-146189450.09999999</v>
      </c>
      <c r="G1386">
        <v>2</v>
      </c>
      <c r="H1386">
        <v>3</v>
      </c>
      <c r="I1386">
        <v>5</v>
      </c>
      <c r="J1386">
        <v>2.9</v>
      </c>
      <c r="K1386" t="s">
        <v>1268</v>
      </c>
    </row>
    <row r="1387" spans="1:11" x14ac:dyDescent="0.35">
      <c r="A1387" t="s">
        <v>1398</v>
      </c>
      <c r="B1387">
        <v>5</v>
      </c>
      <c r="C1387">
        <v>71455646</v>
      </c>
      <c r="D1387">
        <v>1</v>
      </c>
      <c r="E1387">
        <v>81890694.659999996</v>
      </c>
      <c r="F1387">
        <v>-127944075.90000001</v>
      </c>
      <c r="G1387">
        <v>2</v>
      </c>
      <c r="H1387">
        <v>3</v>
      </c>
      <c r="I1387">
        <v>5</v>
      </c>
      <c r="J1387">
        <v>2.9</v>
      </c>
      <c r="K1387" t="s">
        <v>1268</v>
      </c>
    </row>
    <row r="1388" spans="1:11" x14ac:dyDescent="0.35">
      <c r="A1388" t="s">
        <v>1399</v>
      </c>
      <c r="B1388">
        <v>5</v>
      </c>
      <c r="C1388">
        <v>44073239.840000004</v>
      </c>
      <c r="D1388">
        <v>0.8</v>
      </c>
      <c r="E1388">
        <v>68793326.819999993</v>
      </c>
      <c r="F1388">
        <v>-128914693.40000001</v>
      </c>
      <c r="G1388">
        <v>2</v>
      </c>
      <c r="H1388">
        <v>3</v>
      </c>
      <c r="I1388">
        <v>5</v>
      </c>
      <c r="J1388">
        <v>2.9</v>
      </c>
      <c r="K1388" t="s">
        <v>1268</v>
      </c>
    </row>
    <row r="1389" spans="1:11" x14ac:dyDescent="0.35">
      <c r="A1389" t="s">
        <v>1400</v>
      </c>
      <c r="B1389">
        <v>5</v>
      </c>
      <c r="C1389">
        <v>71611613.879999995</v>
      </c>
      <c r="D1389">
        <v>1</v>
      </c>
      <c r="E1389">
        <v>51003306.479999997</v>
      </c>
      <c r="F1389">
        <v>-113454482.2</v>
      </c>
      <c r="G1389">
        <v>2</v>
      </c>
      <c r="H1389">
        <v>3</v>
      </c>
      <c r="I1389">
        <v>5</v>
      </c>
      <c r="J1389">
        <v>2.9</v>
      </c>
      <c r="K1389" t="s">
        <v>1268</v>
      </c>
    </row>
    <row r="1390" spans="1:11" x14ac:dyDescent="0.35">
      <c r="A1390" t="s">
        <v>1401</v>
      </c>
      <c r="B1390">
        <v>5</v>
      </c>
      <c r="C1390">
        <v>179180003.69999999</v>
      </c>
      <c r="D1390">
        <v>1</v>
      </c>
      <c r="E1390">
        <v>65415995.899999999</v>
      </c>
      <c r="F1390">
        <v>-122915502.09999999</v>
      </c>
      <c r="G1390">
        <v>2</v>
      </c>
      <c r="H1390">
        <v>3</v>
      </c>
      <c r="I1390">
        <v>5</v>
      </c>
      <c r="J1390">
        <v>2.9</v>
      </c>
      <c r="K1390" t="s">
        <v>1268</v>
      </c>
    </row>
    <row r="1391" spans="1:11" x14ac:dyDescent="0.35">
      <c r="A1391" t="s">
        <v>1402</v>
      </c>
      <c r="B1391">
        <v>5</v>
      </c>
      <c r="C1391">
        <v>-10515942.82</v>
      </c>
      <c r="D1391">
        <v>0.8</v>
      </c>
      <c r="E1391">
        <v>51972549.380000003</v>
      </c>
      <c r="F1391">
        <v>-103141603.40000001</v>
      </c>
      <c r="G1391">
        <v>2</v>
      </c>
      <c r="H1391">
        <v>3</v>
      </c>
      <c r="I1391">
        <v>5</v>
      </c>
      <c r="J1391">
        <v>2.9</v>
      </c>
      <c r="K1391" t="s">
        <v>1268</v>
      </c>
    </row>
    <row r="1392" spans="1:11" x14ac:dyDescent="0.35">
      <c r="A1392" t="s">
        <v>1403</v>
      </c>
      <c r="B1392">
        <v>5</v>
      </c>
      <c r="C1392">
        <v>77589827.099999994</v>
      </c>
      <c r="D1392">
        <v>0.8</v>
      </c>
      <c r="E1392">
        <v>68273358.870000005</v>
      </c>
      <c r="F1392">
        <v>-98947831.299999997</v>
      </c>
      <c r="G1392">
        <v>2</v>
      </c>
      <c r="H1392">
        <v>3</v>
      </c>
      <c r="I1392">
        <v>5</v>
      </c>
      <c r="J1392">
        <v>2.9</v>
      </c>
      <c r="K1392" t="s">
        <v>1268</v>
      </c>
    </row>
    <row r="1393" spans="1:11" x14ac:dyDescent="0.35">
      <c r="A1393" t="s">
        <v>1404</v>
      </c>
      <c r="B1393">
        <v>5</v>
      </c>
      <c r="C1393">
        <v>200873637.40000001</v>
      </c>
      <c r="D1393">
        <v>1</v>
      </c>
      <c r="E1393">
        <v>59532739.020000003</v>
      </c>
      <c r="F1393">
        <v>-94482898.900000006</v>
      </c>
      <c r="G1393">
        <v>2</v>
      </c>
      <c r="H1393">
        <v>3</v>
      </c>
      <c r="I1393">
        <v>5</v>
      </c>
      <c r="J1393">
        <v>2.9</v>
      </c>
      <c r="K1393" t="s">
        <v>1268</v>
      </c>
    </row>
    <row r="1394" spans="1:11" x14ac:dyDescent="0.35">
      <c r="A1394" t="s">
        <v>1405</v>
      </c>
      <c r="B1394">
        <v>5</v>
      </c>
      <c r="C1394">
        <v>218781884</v>
      </c>
      <c r="D1394">
        <v>1</v>
      </c>
      <c r="E1394">
        <v>47199012.5</v>
      </c>
      <c r="F1394">
        <v>-82511132.5</v>
      </c>
      <c r="G1394">
        <v>2</v>
      </c>
      <c r="H1394">
        <v>3</v>
      </c>
      <c r="I1394">
        <v>5</v>
      </c>
      <c r="J1394">
        <v>2.9</v>
      </c>
      <c r="K1394" t="s">
        <v>1268</v>
      </c>
    </row>
    <row r="1395" spans="1:11" x14ac:dyDescent="0.35">
      <c r="A1395" t="s">
        <v>1406</v>
      </c>
      <c r="B1395">
        <v>5</v>
      </c>
      <c r="C1395">
        <v>391718195</v>
      </c>
      <c r="D1395">
        <v>1</v>
      </c>
      <c r="E1395">
        <v>61235738.07</v>
      </c>
      <c r="F1395">
        <v>-85714285.200000003</v>
      </c>
      <c r="G1395">
        <v>2</v>
      </c>
      <c r="H1395">
        <v>3</v>
      </c>
      <c r="I1395">
        <v>5</v>
      </c>
      <c r="J1395">
        <v>2.9</v>
      </c>
      <c r="K1395" t="s">
        <v>1268</v>
      </c>
    </row>
    <row r="1396" spans="1:11" x14ac:dyDescent="0.35">
      <c r="A1396" t="s">
        <v>1407</v>
      </c>
      <c r="B1396">
        <v>5</v>
      </c>
      <c r="C1396">
        <v>55671767.380000003</v>
      </c>
      <c r="D1396">
        <v>0.8</v>
      </c>
      <c r="E1396">
        <v>41791025.560000002</v>
      </c>
      <c r="F1396">
        <v>-76191942.400000006</v>
      </c>
      <c r="G1396">
        <v>3</v>
      </c>
      <c r="H1396">
        <v>2</v>
      </c>
      <c r="I1396">
        <v>4</v>
      </c>
      <c r="J1396">
        <v>2.9</v>
      </c>
      <c r="K1396" t="s">
        <v>1268</v>
      </c>
    </row>
    <row r="1397" spans="1:11" x14ac:dyDescent="0.35">
      <c r="A1397" t="s">
        <v>1408</v>
      </c>
      <c r="B1397">
        <v>5</v>
      </c>
      <c r="C1397">
        <v>21478288.879999999</v>
      </c>
      <c r="D1397">
        <v>0.8</v>
      </c>
      <c r="E1397">
        <v>36692781.880000003</v>
      </c>
      <c r="F1397">
        <v>-76481733.5</v>
      </c>
      <c r="G1397">
        <v>3</v>
      </c>
      <c r="H1397">
        <v>2</v>
      </c>
      <c r="I1397">
        <v>4</v>
      </c>
      <c r="J1397">
        <v>2.9</v>
      </c>
      <c r="K1397" t="s">
        <v>1268</v>
      </c>
    </row>
    <row r="1398" spans="1:11" x14ac:dyDescent="0.35">
      <c r="A1398" t="s">
        <v>1409</v>
      </c>
      <c r="B1398">
        <v>5</v>
      </c>
      <c r="C1398">
        <v>34362052.799999997</v>
      </c>
      <c r="D1398">
        <v>0.8</v>
      </c>
      <c r="E1398">
        <v>43437055.280000001</v>
      </c>
      <c r="F1398">
        <v>-72286166.900000006</v>
      </c>
      <c r="G1398">
        <v>3</v>
      </c>
      <c r="H1398">
        <v>2</v>
      </c>
      <c r="I1398">
        <v>4</v>
      </c>
      <c r="J1398">
        <v>2.9</v>
      </c>
      <c r="K1398" t="s">
        <v>1268</v>
      </c>
    </row>
    <row r="1399" spans="1:11" x14ac:dyDescent="0.35">
      <c r="A1399" t="s">
        <v>1410</v>
      </c>
      <c r="B1399">
        <v>5</v>
      </c>
      <c r="C1399">
        <v>5090457.54</v>
      </c>
      <c r="D1399">
        <v>0.8</v>
      </c>
      <c r="E1399">
        <v>27851157.100000001</v>
      </c>
      <c r="F1399">
        <v>-65194775.5</v>
      </c>
      <c r="G1399">
        <v>3</v>
      </c>
      <c r="H1399">
        <v>2</v>
      </c>
      <c r="I1399">
        <v>4</v>
      </c>
      <c r="J1399">
        <v>2.9</v>
      </c>
      <c r="K1399" t="s">
        <v>1268</v>
      </c>
    </row>
    <row r="1400" spans="1:11" x14ac:dyDescent="0.35">
      <c r="A1400" t="s">
        <v>1411</v>
      </c>
      <c r="B1400">
        <v>5</v>
      </c>
      <c r="C1400">
        <v>16523194.939999999</v>
      </c>
      <c r="D1400">
        <v>0.6</v>
      </c>
      <c r="E1400">
        <v>32368757.989999998</v>
      </c>
      <c r="F1400">
        <v>-55590340.399999999</v>
      </c>
      <c r="G1400">
        <v>3</v>
      </c>
      <c r="H1400">
        <v>2</v>
      </c>
      <c r="I1400">
        <v>4</v>
      </c>
      <c r="J1400">
        <v>2.9</v>
      </c>
      <c r="K1400" t="s">
        <v>1268</v>
      </c>
    </row>
    <row r="1401" spans="1:11" x14ac:dyDescent="0.35">
      <c r="A1401" t="s">
        <v>1412</v>
      </c>
      <c r="B1401">
        <v>5</v>
      </c>
      <c r="C1401">
        <v>11414192.1</v>
      </c>
      <c r="D1401">
        <v>0.6</v>
      </c>
      <c r="E1401">
        <v>35665126.240000002</v>
      </c>
      <c r="F1401">
        <v>-58674353.700000003</v>
      </c>
      <c r="G1401">
        <v>3</v>
      </c>
      <c r="H1401">
        <v>2</v>
      </c>
      <c r="I1401">
        <v>4</v>
      </c>
      <c r="J1401">
        <v>2.9</v>
      </c>
      <c r="K1401" t="s">
        <v>1268</v>
      </c>
    </row>
    <row r="1402" spans="1:11" x14ac:dyDescent="0.35">
      <c r="A1402" t="s">
        <v>1413</v>
      </c>
      <c r="B1402">
        <v>5</v>
      </c>
      <c r="C1402">
        <v>11529290.720000001</v>
      </c>
      <c r="D1402">
        <v>0.6</v>
      </c>
      <c r="E1402">
        <v>36445237.649999999</v>
      </c>
      <c r="F1402">
        <v>-52650030.399999999</v>
      </c>
      <c r="G1402">
        <v>3</v>
      </c>
      <c r="H1402">
        <v>2</v>
      </c>
      <c r="I1402">
        <v>4</v>
      </c>
      <c r="J1402">
        <v>2.9</v>
      </c>
      <c r="K1402" t="s">
        <v>1268</v>
      </c>
    </row>
    <row r="1403" spans="1:11" x14ac:dyDescent="0.35">
      <c r="A1403" t="s">
        <v>1414</v>
      </c>
      <c r="B1403">
        <v>5</v>
      </c>
      <c r="C1403">
        <v>1559090.54</v>
      </c>
      <c r="D1403">
        <v>0.8</v>
      </c>
      <c r="E1403">
        <v>31473629.460000001</v>
      </c>
      <c r="F1403">
        <v>-39879124.700000003</v>
      </c>
      <c r="G1403">
        <v>3</v>
      </c>
      <c r="H1403">
        <v>2</v>
      </c>
      <c r="I1403">
        <v>4</v>
      </c>
      <c r="J1403">
        <v>2.9</v>
      </c>
      <c r="K1403" t="s">
        <v>1268</v>
      </c>
    </row>
    <row r="1404" spans="1:11" x14ac:dyDescent="0.35">
      <c r="A1404" t="s">
        <v>1415</v>
      </c>
      <c r="B1404">
        <v>5</v>
      </c>
      <c r="C1404">
        <v>3940595.38</v>
      </c>
      <c r="D1404">
        <v>0.6</v>
      </c>
      <c r="E1404">
        <v>16300027.699999999</v>
      </c>
      <c r="F1404">
        <v>-44447980.899999999</v>
      </c>
      <c r="G1404">
        <v>3</v>
      </c>
      <c r="H1404">
        <v>2</v>
      </c>
      <c r="I1404">
        <v>4</v>
      </c>
      <c r="J1404">
        <v>2.9</v>
      </c>
      <c r="K1404" t="s">
        <v>1268</v>
      </c>
    </row>
    <row r="1405" spans="1:11" x14ac:dyDescent="0.35">
      <c r="A1405" t="s">
        <v>1416</v>
      </c>
      <c r="B1405">
        <v>5</v>
      </c>
      <c r="C1405">
        <v>-11723405.84</v>
      </c>
      <c r="D1405">
        <v>0.6</v>
      </c>
      <c r="E1405">
        <v>38790329.229999997</v>
      </c>
      <c r="F1405">
        <v>-49844513.399999999</v>
      </c>
      <c r="G1405">
        <v>3</v>
      </c>
      <c r="H1405">
        <v>2</v>
      </c>
      <c r="I1405">
        <v>4</v>
      </c>
      <c r="J1405">
        <v>2.9</v>
      </c>
      <c r="K1405" t="s">
        <v>1268</v>
      </c>
    </row>
    <row r="1406" spans="1:11" x14ac:dyDescent="0.35">
      <c r="A1406" t="s">
        <v>1417</v>
      </c>
      <c r="B1406">
        <v>5</v>
      </c>
      <c r="C1406">
        <v>23985933.539999999</v>
      </c>
      <c r="D1406">
        <v>0.8</v>
      </c>
      <c r="E1406">
        <v>39727643</v>
      </c>
      <c r="F1406">
        <v>-48222718.5</v>
      </c>
      <c r="G1406">
        <v>3</v>
      </c>
      <c r="H1406">
        <v>2</v>
      </c>
      <c r="I1406">
        <v>4</v>
      </c>
      <c r="J1406">
        <v>2.9</v>
      </c>
      <c r="K1406" t="s">
        <v>1268</v>
      </c>
    </row>
    <row r="1407" spans="1:11" x14ac:dyDescent="0.35">
      <c r="A1407" t="s">
        <v>1418</v>
      </c>
      <c r="B1407">
        <v>5</v>
      </c>
      <c r="C1407">
        <v>203531345.59999999</v>
      </c>
      <c r="D1407">
        <v>1</v>
      </c>
      <c r="E1407">
        <v>158387442.80000001</v>
      </c>
      <c r="F1407">
        <v>4968995.5</v>
      </c>
      <c r="G1407">
        <v>2</v>
      </c>
      <c r="H1407">
        <v>4</v>
      </c>
      <c r="I1407">
        <v>3</v>
      </c>
      <c r="J1407">
        <v>2.8</v>
      </c>
      <c r="K1407" t="s">
        <v>1268</v>
      </c>
    </row>
    <row r="1408" spans="1:11" x14ac:dyDescent="0.35">
      <c r="A1408" t="s">
        <v>1419</v>
      </c>
      <c r="B1408">
        <v>5</v>
      </c>
      <c r="C1408">
        <v>773447634.20000005</v>
      </c>
      <c r="D1408">
        <v>1</v>
      </c>
      <c r="E1408">
        <v>613785848.39999998</v>
      </c>
      <c r="F1408">
        <v>-21163651.899999999</v>
      </c>
      <c r="G1408">
        <v>1</v>
      </c>
      <c r="H1408">
        <v>5</v>
      </c>
      <c r="I1408">
        <v>4</v>
      </c>
      <c r="J1408">
        <v>2.8</v>
      </c>
      <c r="K1408" t="s">
        <v>1268</v>
      </c>
    </row>
    <row r="1409" spans="1:11" x14ac:dyDescent="0.35">
      <c r="A1409" t="s">
        <v>1420</v>
      </c>
      <c r="B1409">
        <v>5</v>
      </c>
      <c r="C1409">
        <v>2199740684</v>
      </c>
      <c r="D1409">
        <v>1</v>
      </c>
      <c r="E1409">
        <v>431810940.69999999</v>
      </c>
      <c r="F1409">
        <v>-29551852</v>
      </c>
      <c r="G1409">
        <v>1</v>
      </c>
      <c r="H1409">
        <v>5</v>
      </c>
      <c r="I1409">
        <v>4</v>
      </c>
      <c r="J1409">
        <v>2.8</v>
      </c>
      <c r="K1409" t="s">
        <v>1268</v>
      </c>
    </row>
    <row r="1410" spans="1:11" x14ac:dyDescent="0.35">
      <c r="A1410" t="s">
        <v>1421</v>
      </c>
      <c r="B1410">
        <v>5</v>
      </c>
      <c r="C1410">
        <v>1221926342</v>
      </c>
      <c r="D1410">
        <v>1</v>
      </c>
      <c r="E1410">
        <v>516263559.69999999</v>
      </c>
      <c r="F1410">
        <v>-28674809.600000001</v>
      </c>
      <c r="G1410">
        <v>1</v>
      </c>
      <c r="H1410">
        <v>5</v>
      </c>
      <c r="I1410">
        <v>4</v>
      </c>
      <c r="J1410">
        <v>2.8</v>
      </c>
      <c r="K1410" t="s">
        <v>1268</v>
      </c>
    </row>
    <row r="1411" spans="1:11" x14ac:dyDescent="0.35">
      <c r="A1411" t="s">
        <v>1422</v>
      </c>
      <c r="B1411">
        <v>5</v>
      </c>
      <c r="C1411">
        <v>2719314.12</v>
      </c>
      <c r="D1411">
        <v>0.4</v>
      </c>
      <c r="E1411">
        <v>85517437.480000004</v>
      </c>
      <c r="F1411">
        <v>183792607.09999999</v>
      </c>
      <c r="G1411">
        <v>3</v>
      </c>
      <c r="H1411">
        <v>3</v>
      </c>
      <c r="I1411">
        <v>2</v>
      </c>
      <c r="J1411">
        <v>2.8</v>
      </c>
      <c r="K1411" t="s">
        <v>1268</v>
      </c>
    </row>
    <row r="1412" spans="1:11" x14ac:dyDescent="0.35">
      <c r="A1412" t="s">
        <v>1423</v>
      </c>
      <c r="B1412">
        <v>5</v>
      </c>
      <c r="C1412">
        <v>39542033.200000003</v>
      </c>
      <c r="D1412">
        <v>0.6</v>
      </c>
      <c r="E1412">
        <v>80276333.459999993</v>
      </c>
      <c r="F1412">
        <v>178407942.69999999</v>
      </c>
      <c r="G1412">
        <v>3</v>
      </c>
      <c r="H1412">
        <v>3</v>
      </c>
      <c r="I1412">
        <v>2</v>
      </c>
      <c r="J1412">
        <v>2.8</v>
      </c>
      <c r="K1412" t="s">
        <v>1268</v>
      </c>
    </row>
    <row r="1413" spans="1:11" x14ac:dyDescent="0.35">
      <c r="A1413" t="s">
        <v>1424</v>
      </c>
      <c r="B1413">
        <v>5</v>
      </c>
      <c r="C1413">
        <v>-12587575.58</v>
      </c>
      <c r="D1413">
        <v>0.6</v>
      </c>
      <c r="E1413">
        <v>92816017.909999996</v>
      </c>
      <c r="F1413">
        <v>173887855.09999999</v>
      </c>
      <c r="G1413">
        <v>3</v>
      </c>
      <c r="H1413">
        <v>3</v>
      </c>
      <c r="I1413">
        <v>2</v>
      </c>
      <c r="J1413">
        <v>2.8</v>
      </c>
      <c r="K1413" t="s">
        <v>1268</v>
      </c>
    </row>
    <row r="1414" spans="1:11" x14ac:dyDescent="0.35">
      <c r="A1414" t="s">
        <v>1425</v>
      </c>
      <c r="B1414">
        <v>5</v>
      </c>
      <c r="C1414">
        <v>58917411.840000004</v>
      </c>
      <c r="D1414">
        <v>0.8</v>
      </c>
      <c r="E1414">
        <v>63790241.270000003</v>
      </c>
      <c r="F1414">
        <v>158016392.5</v>
      </c>
      <c r="G1414">
        <v>3</v>
      </c>
      <c r="H1414">
        <v>3</v>
      </c>
      <c r="I1414">
        <v>2</v>
      </c>
      <c r="J1414">
        <v>2.8</v>
      </c>
      <c r="K1414" t="s">
        <v>1268</v>
      </c>
    </row>
    <row r="1415" spans="1:11" x14ac:dyDescent="0.35">
      <c r="A1415" t="s">
        <v>1426</v>
      </c>
      <c r="B1415">
        <v>5</v>
      </c>
      <c r="C1415">
        <v>42060364.340000004</v>
      </c>
      <c r="D1415">
        <v>0.6</v>
      </c>
      <c r="E1415">
        <v>99513274.950000003</v>
      </c>
      <c r="F1415">
        <v>129395368.7</v>
      </c>
      <c r="G1415">
        <v>3</v>
      </c>
      <c r="H1415">
        <v>3</v>
      </c>
      <c r="I1415">
        <v>2</v>
      </c>
      <c r="J1415">
        <v>2.8</v>
      </c>
      <c r="K1415" t="s">
        <v>1268</v>
      </c>
    </row>
    <row r="1416" spans="1:11" x14ac:dyDescent="0.35">
      <c r="A1416" t="s">
        <v>1427</v>
      </c>
      <c r="B1416">
        <v>5</v>
      </c>
      <c r="C1416">
        <v>63783915.359999999</v>
      </c>
      <c r="D1416">
        <v>0.6</v>
      </c>
      <c r="E1416">
        <v>101443811.7</v>
      </c>
      <c r="F1416">
        <v>128247404.40000001</v>
      </c>
      <c r="G1416">
        <v>3</v>
      </c>
      <c r="H1416">
        <v>3</v>
      </c>
      <c r="I1416">
        <v>2</v>
      </c>
      <c r="J1416">
        <v>2.8</v>
      </c>
      <c r="K1416" t="s">
        <v>1268</v>
      </c>
    </row>
    <row r="1417" spans="1:11" x14ac:dyDescent="0.35">
      <c r="A1417" t="s">
        <v>1428</v>
      </c>
      <c r="B1417">
        <v>5</v>
      </c>
      <c r="C1417">
        <v>48652967</v>
      </c>
      <c r="D1417">
        <v>0.6</v>
      </c>
      <c r="E1417">
        <v>60641475.200000003</v>
      </c>
      <c r="F1417">
        <v>120597559.59999999</v>
      </c>
      <c r="G1417">
        <v>3</v>
      </c>
      <c r="H1417">
        <v>3</v>
      </c>
      <c r="I1417">
        <v>2</v>
      </c>
      <c r="J1417">
        <v>2.8</v>
      </c>
      <c r="K1417" t="s">
        <v>1268</v>
      </c>
    </row>
    <row r="1418" spans="1:11" x14ac:dyDescent="0.35">
      <c r="A1418" t="s">
        <v>1429</v>
      </c>
      <c r="B1418">
        <v>5</v>
      </c>
      <c r="C1418">
        <v>-14875608.460000001</v>
      </c>
      <c r="D1418">
        <v>0.6</v>
      </c>
      <c r="E1418">
        <v>91908757.540000007</v>
      </c>
      <c r="F1418">
        <v>105323090.59999999</v>
      </c>
      <c r="G1418">
        <v>3</v>
      </c>
      <c r="H1418">
        <v>3</v>
      </c>
      <c r="I1418">
        <v>2</v>
      </c>
      <c r="J1418">
        <v>2.8</v>
      </c>
      <c r="K1418" t="s">
        <v>1268</v>
      </c>
    </row>
    <row r="1419" spans="1:11" x14ac:dyDescent="0.35">
      <c r="A1419" t="s">
        <v>1430</v>
      </c>
      <c r="B1419">
        <v>5</v>
      </c>
      <c r="C1419">
        <v>-6605344.5</v>
      </c>
      <c r="D1419">
        <v>0.6</v>
      </c>
      <c r="E1419">
        <v>79801538.540000007</v>
      </c>
      <c r="F1419">
        <v>104451426.7</v>
      </c>
      <c r="G1419">
        <v>3</v>
      </c>
      <c r="H1419">
        <v>3</v>
      </c>
      <c r="I1419">
        <v>2</v>
      </c>
      <c r="J1419">
        <v>2.8</v>
      </c>
      <c r="K1419" t="s">
        <v>1268</v>
      </c>
    </row>
    <row r="1420" spans="1:11" x14ac:dyDescent="0.35">
      <c r="A1420" t="s">
        <v>1431</v>
      </c>
      <c r="B1420">
        <v>5</v>
      </c>
      <c r="C1420">
        <v>-2969984.44</v>
      </c>
      <c r="D1420">
        <v>0.6</v>
      </c>
      <c r="E1420">
        <v>104014079.09999999</v>
      </c>
      <c r="F1420">
        <v>111153003.5</v>
      </c>
      <c r="G1420">
        <v>3</v>
      </c>
      <c r="H1420">
        <v>3</v>
      </c>
      <c r="I1420">
        <v>2</v>
      </c>
      <c r="J1420">
        <v>2.8</v>
      </c>
      <c r="K1420" t="s">
        <v>1268</v>
      </c>
    </row>
    <row r="1421" spans="1:11" x14ac:dyDescent="0.35">
      <c r="A1421" t="s">
        <v>1432</v>
      </c>
      <c r="B1421">
        <v>5</v>
      </c>
      <c r="C1421">
        <v>47918858.539999999</v>
      </c>
      <c r="D1421">
        <v>0.6</v>
      </c>
      <c r="E1421">
        <v>60346463.439999998</v>
      </c>
      <c r="F1421">
        <v>107526784.59999999</v>
      </c>
      <c r="G1421">
        <v>3</v>
      </c>
      <c r="H1421">
        <v>3</v>
      </c>
      <c r="I1421">
        <v>2</v>
      </c>
      <c r="J1421">
        <v>2.8</v>
      </c>
      <c r="K1421" t="s">
        <v>1268</v>
      </c>
    </row>
    <row r="1422" spans="1:11" x14ac:dyDescent="0.35">
      <c r="A1422" t="s">
        <v>1433</v>
      </c>
      <c r="B1422">
        <v>5</v>
      </c>
      <c r="C1422">
        <v>111595882.3</v>
      </c>
      <c r="D1422">
        <v>0.8</v>
      </c>
      <c r="E1422">
        <v>106712458</v>
      </c>
      <c r="F1422">
        <v>96691107.599999994</v>
      </c>
      <c r="G1422">
        <v>3</v>
      </c>
      <c r="H1422">
        <v>3</v>
      </c>
      <c r="I1422">
        <v>2</v>
      </c>
      <c r="J1422">
        <v>2.8</v>
      </c>
      <c r="K1422" t="s">
        <v>1268</v>
      </c>
    </row>
    <row r="1423" spans="1:11" x14ac:dyDescent="0.35">
      <c r="A1423" t="s">
        <v>1434</v>
      </c>
      <c r="B1423">
        <v>5</v>
      </c>
      <c r="C1423">
        <v>71054441.480000004</v>
      </c>
      <c r="D1423">
        <v>0.8</v>
      </c>
      <c r="E1423">
        <v>71728778.840000004</v>
      </c>
      <c r="F1423">
        <v>99424054.099999994</v>
      </c>
      <c r="G1423">
        <v>3</v>
      </c>
      <c r="H1423">
        <v>3</v>
      </c>
      <c r="I1423">
        <v>2</v>
      </c>
      <c r="J1423">
        <v>2.8</v>
      </c>
      <c r="K1423" t="s">
        <v>1268</v>
      </c>
    </row>
    <row r="1424" spans="1:11" x14ac:dyDescent="0.35">
      <c r="A1424" t="s">
        <v>1435</v>
      </c>
      <c r="B1424">
        <v>5</v>
      </c>
      <c r="C1424">
        <v>36200550.960000001</v>
      </c>
      <c r="D1424">
        <v>0.6</v>
      </c>
      <c r="E1424">
        <v>107429860.40000001</v>
      </c>
      <c r="F1424">
        <v>80802833</v>
      </c>
      <c r="G1424">
        <v>3</v>
      </c>
      <c r="H1424">
        <v>3</v>
      </c>
      <c r="I1424">
        <v>2</v>
      </c>
      <c r="J1424">
        <v>2.8</v>
      </c>
      <c r="K1424" t="s">
        <v>1268</v>
      </c>
    </row>
    <row r="1425" spans="1:11" x14ac:dyDescent="0.35">
      <c r="A1425" t="s">
        <v>1436</v>
      </c>
      <c r="B1425">
        <v>5</v>
      </c>
      <c r="C1425">
        <v>31386471.460000001</v>
      </c>
      <c r="D1425">
        <v>0.6</v>
      </c>
      <c r="E1425">
        <v>50239927.5</v>
      </c>
      <c r="F1425">
        <v>79413328.200000003</v>
      </c>
      <c r="G1425">
        <v>3</v>
      </c>
      <c r="H1425">
        <v>3</v>
      </c>
      <c r="I1425">
        <v>2</v>
      </c>
      <c r="J1425">
        <v>2.8</v>
      </c>
      <c r="K1425" t="s">
        <v>1268</v>
      </c>
    </row>
    <row r="1426" spans="1:11" x14ac:dyDescent="0.35">
      <c r="A1426" t="s">
        <v>1437</v>
      </c>
      <c r="B1426">
        <v>5</v>
      </c>
      <c r="C1426">
        <v>-4078009.82</v>
      </c>
      <c r="D1426">
        <v>0.6</v>
      </c>
      <c r="E1426">
        <v>82878012.620000005</v>
      </c>
      <c r="F1426">
        <v>75782653.900000006</v>
      </c>
      <c r="G1426">
        <v>3</v>
      </c>
      <c r="H1426">
        <v>3</v>
      </c>
      <c r="I1426">
        <v>2</v>
      </c>
      <c r="J1426">
        <v>2.8</v>
      </c>
      <c r="K1426" t="s">
        <v>1268</v>
      </c>
    </row>
    <row r="1427" spans="1:11" x14ac:dyDescent="0.35">
      <c r="A1427" t="s">
        <v>1438</v>
      </c>
      <c r="B1427">
        <v>5</v>
      </c>
      <c r="C1427">
        <v>25498740.079999998</v>
      </c>
      <c r="D1427">
        <v>0.6</v>
      </c>
      <c r="E1427">
        <v>57361306.200000003</v>
      </c>
      <c r="F1427">
        <v>74557572.400000006</v>
      </c>
      <c r="G1427">
        <v>3</v>
      </c>
      <c r="H1427">
        <v>3</v>
      </c>
      <c r="I1427">
        <v>2</v>
      </c>
      <c r="J1427">
        <v>2.8</v>
      </c>
      <c r="K1427" t="s">
        <v>1268</v>
      </c>
    </row>
    <row r="1428" spans="1:11" x14ac:dyDescent="0.35">
      <c r="A1428" t="s">
        <v>1439</v>
      </c>
      <c r="B1428">
        <v>5</v>
      </c>
      <c r="C1428">
        <v>17560558.859999999</v>
      </c>
      <c r="D1428">
        <v>0.6</v>
      </c>
      <c r="E1428">
        <v>87307339.290000007</v>
      </c>
      <c r="F1428">
        <v>84231501.599999994</v>
      </c>
      <c r="G1428">
        <v>3</v>
      </c>
      <c r="H1428">
        <v>3</v>
      </c>
      <c r="I1428">
        <v>2</v>
      </c>
      <c r="J1428">
        <v>2.8</v>
      </c>
      <c r="K1428" t="s">
        <v>1268</v>
      </c>
    </row>
    <row r="1429" spans="1:11" x14ac:dyDescent="0.35">
      <c r="A1429" t="s">
        <v>1440</v>
      </c>
      <c r="B1429">
        <v>5</v>
      </c>
      <c r="C1429">
        <v>59516799.060000002</v>
      </c>
      <c r="D1429">
        <v>0.8</v>
      </c>
      <c r="E1429">
        <v>59795964.130000003</v>
      </c>
      <c r="F1429">
        <v>83791342</v>
      </c>
      <c r="G1429">
        <v>3</v>
      </c>
      <c r="H1429">
        <v>3</v>
      </c>
      <c r="I1429">
        <v>2</v>
      </c>
      <c r="J1429">
        <v>2.8</v>
      </c>
      <c r="K1429" t="s">
        <v>1268</v>
      </c>
    </row>
    <row r="1430" spans="1:11" x14ac:dyDescent="0.35">
      <c r="A1430" t="s">
        <v>1441</v>
      </c>
      <c r="B1430">
        <v>5</v>
      </c>
      <c r="C1430">
        <v>108655818.90000001</v>
      </c>
      <c r="D1430">
        <v>0.8</v>
      </c>
      <c r="E1430">
        <v>110507608.40000001</v>
      </c>
      <c r="F1430">
        <v>94791449.900000006</v>
      </c>
      <c r="G1430">
        <v>3</v>
      </c>
      <c r="H1430">
        <v>3</v>
      </c>
      <c r="I1430">
        <v>2</v>
      </c>
      <c r="J1430">
        <v>2.8</v>
      </c>
      <c r="K1430" t="s">
        <v>1268</v>
      </c>
    </row>
    <row r="1431" spans="1:11" x14ac:dyDescent="0.35">
      <c r="A1431" t="s">
        <v>1442</v>
      </c>
      <c r="B1431">
        <v>5</v>
      </c>
      <c r="C1431">
        <v>16589658.08</v>
      </c>
      <c r="D1431">
        <v>0.8</v>
      </c>
      <c r="E1431">
        <v>49852254.310000002</v>
      </c>
      <c r="F1431">
        <v>94201681.599999994</v>
      </c>
      <c r="G1431">
        <v>3</v>
      </c>
      <c r="H1431">
        <v>3</v>
      </c>
      <c r="I1431">
        <v>2</v>
      </c>
      <c r="J1431">
        <v>2.8</v>
      </c>
      <c r="K1431" t="s">
        <v>1268</v>
      </c>
    </row>
    <row r="1432" spans="1:11" x14ac:dyDescent="0.35">
      <c r="A1432" t="s">
        <v>1443</v>
      </c>
      <c r="B1432">
        <v>5</v>
      </c>
      <c r="C1432">
        <v>68690579.920000002</v>
      </c>
      <c r="D1432">
        <v>0.8</v>
      </c>
      <c r="E1432">
        <v>67659086.890000001</v>
      </c>
      <c r="F1432">
        <v>40499280.799999997</v>
      </c>
      <c r="G1432">
        <v>3</v>
      </c>
      <c r="H1432">
        <v>3</v>
      </c>
      <c r="I1432">
        <v>2</v>
      </c>
      <c r="J1432">
        <v>2.8</v>
      </c>
      <c r="K1432" t="s">
        <v>1268</v>
      </c>
    </row>
    <row r="1433" spans="1:11" x14ac:dyDescent="0.35">
      <c r="A1433" t="s">
        <v>1444</v>
      </c>
      <c r="B1433">
        <v>5</v>
      </c>
      <c r="C1433">
        <v>38303586.259999998</v>
      </c>
      <c r="D1433">
        <v>0.8</v>
      </c>
      <c r="E1433">
        <v>57423683.07</v>
      </c>
      <c r="F1433">
        <v>49674580.700000003</v>
      </c>
      <c r="G1433">
        <v>3</v>
      </c>
      <c r="H1433">
        <v>3</v>
      </c>
      <c r="I1433">
        <v>2</v>
      </c>
      <c r="J1433">
        <v>2.8</v>
      </c>
      <c r="K1433" t="s">
        <v>1268</v>
      </c>
    </row>
    <row r="1434" spans="1:11" x14ac:dyDescent="0.35">
      <c r="A1434" t="s">
        <v>1445</v>
      </c>
      <c r="B1434">
        <v>5</v>
      </c>
      <c r="C1434">
        <v>16529033.1</v>
      </c>
      <c r="D1434">
        <v>0.4</v>
      </c>
      <c r="E1434">
        <v>95656427.400000006</v>
      </c>
      <c r="F1434">
        <v>49415109.600000001</v>
      </c>
      <c r="G1434">
        <v>3</v>
      </c>
      <c r="H1434">
        <v>3</v>
      </c>
      <c r="I1434">
        <v>2</v>
      </c>
      <c r="J1434">
        <v>2.8</v>
      </c>
      <c r="K1434" t="s">
        <v>1268</v>
      </c>
    </row>
    <row r="1435" spans="1:11" x14ac:dyDescent="0.35">
      <c r="A1435" t="s">
        <v>1446</v>
      </c>
      <c r="B1435">
        <v>5</v>
      </c>
      <c r="C1435">
        <v>63877522.359999999</v>
      </c>
      <c r="D1435">
        <v>0.8</v>
      </c>
      <c r="E1435">
        <v>96646419.569999993</v>
      </c>
      <c r="F1435">
        <v>46845257.899999999</v>
      </c>
      <c r="G1435">
        <v>3</v>
      </c>
      <c r="H1435">
        <v>3</v>
      </c>
      <c r="I1435">
        <v>2</v>
      </c>
      <c r="J1435">
        <v>2.8</v>
      </c>
      <c r="K1435" t="s">
        <v>1268</v>
      </c>
    </row>
    <row r="1436" spans="1:11" x14ac:dyDescent="0.35">
      <c r="A1436" t="s">
        <v>1447</v>
      </c>
      <c r="B1436">
        <v>5</v>
      </c>
      <c r="C1436">
        <v>50745848.700000003</v>
      </c>
      <c r="D1436">
        <v>0.8</v>
      </c>
      <c r="E1436">
        <v>46710882.259999998</v>
      </c>
      <c r="F1436">
        <v>57331337.799999997</v>
      </c>
      <c r="G1436">
        <v>3</v>
      </c>
      <c r="H1436">
        <v>3</v>
      </c>
      <c r="I1436">
        <v>2</v>
      </c>
      <c r="J1436">
        <v>2.8</v>
      </c>
      <c r="K1436" t="s">
        <v>1268</v>
      </c>
    </row>
    <row r="1437" spans="1:11" x14ac:dyDescent="0.35">
      <c r="A1437" t="s">
        <v>1448</v>
      </c>
      <c r="B1437">
        <v>5</v>
      </c>
      <c r="C1437">
        <v>30221519.399999999</v>
      </c>
      <c r="D1437">
        <v>0.8</v>
      </c>
      <c r="E1437">
        <v>52043457.850000001</v>
      </c>
      <c r="F1437">
        <v>57976729.299999997</v>
      </c>
      <c r="G1437">
        <v>3</v>
      </c>
      <c r="H1437">
        <v>3</v>
      </c>
      <c r="I1437">
        <v>2</v>
      </c>
      <c r="J1437">
        <v>2.8</v>
      </c>
      <c r="K1437" t="s">
        <v>1268</v>
      </c>
    </row>
    <row r="1438" spans="1:11" x14ac:dyDescent="0.35">
      <c r="A1438" t="s">
        <v>1449</v>
      </c>
      <c r="B1438">
        <v>5</v>
      </c>
      <c r="C1438">
        <v>43708021.460000001</v>
      </c>
      <c r="D1438">
        <v>0.8</v>
      </c>
      <c r="E1438">
        <v>59805599.289999999</v>
      </c>
      <c r="F1438">
        <v>52515506.799999997</v>
      </c>
      <c r="G1438">
        <v>3</v>
      </c>
      <c r="H1438">
        <v>3</v>
      </c>
      <c r="I1438">
        <v>2</v>
      </c>
      <c r="J1438">
        <v>2.8</v>
      </c>
      <c r="K1438" t="s">
        <v>1268</v>
      </c>
    </row>
    <row r="1439" spans="1:11" x14ac:dyDescent="0.35">
      <c r="A1439" t="s">
        <v>1450</v>
      </c>
      <c r="B1439">
        <v>5</v>
      </c>
      <c r="C1439">
        <v>134328200.69999999</v>
      </c>
      <c r="D1439">
        <v>1</v>
      </c>
      <c r="E1439">
        <v>162343318.80000001</v>
      </c>
      <c r="F1439">
        <v>20861810.899999999</v>
      </c>
      <c r="G1439">
        <v>2</v>
      </c>
      <c r="H1439">
        <v>4</v>
      </c>
      <c r="I1439">
        <v>3</v>
      </c>
      <c r="J1439">
        <v>2.8</v>
      </c>
      <c r="K1439" t="s">
        <v>1268</v>
      </c>
    </row>
    <row r="1440" spans="1:11" x14ac:dyDescent="0.35">
      <c r="A1440" t="s">
        <v>1451</v>
      </c>
      <c r="B1440">
        <v>5</v>
      </c>
      <c r="C1440">
        <v>51874514.240000002</v>
      </c>
      <c r="D1440">
        <v>0.8</v>
      </c>
      <c r="E1440">
        <v>146455792.19999999</v>
      </c>
      <c r="F1440">
        <v>22979048.199999999</v>
      </c>
      <c r="G1440">
        <v>2</v>
      </c>
      <c r="H1440">
        <v>4</v>
      </c>
      <c r="I1440">
        <v>3</v>
      </c>
      <c r="J1440">
        <v>2.8</v>
      </c>
      <c r="K1440" t="s">
        <v>1268</v>
      </c>
    </row>
    <row r="1441" spans="1:11" x14ac:dyDescent="0.35">
      <c r="A1441" t="s">
        <v>1452</v>
      </c>
      <c r="B1441">
        <v>5</v>
      </c>
      <c r="C1441">
        <v>17985060.32</v>
      </c>
      <c r="D1441">
        <v>0.8</v>
      </c>
      <c r="E1441">
        <v>58751445</v>
      </c>
      <c r="F1441">
        <v>35815310.299999997</v>
      </c>
      <c r="G1441">
        <v>3</v>
      </c>
      <c r="H1441">
        <v>3</v>
      </c>
      <c r="I1441">
        <v>2</v>
      </c>
      <c r="J1441">
        <v>2.8</v>
      </c>
      <c r="K1441" t="s">
        <v>1268</v>
      </c>
    </row>
    <row r="1442" spans="1:11" x14ac:dyDescent="0.35">
      <c r="A1442" t="s">
        <v>1453</v>
      </c>
      <c r="B1442">
        <v>5</v>
      </c>
      <c r="C1442">
        <v>19575592.52</v>
      </c>
      <c r="D1442">
        <v>0.6</v>
      </c>
      <c r="E1442">
        <v>58078724.780000001</v>
      </c>
      <c r="F1442">
        <v>36808009.899999999</v>
      </c>
      <c r="G1442">
        <v>3</v>
      </c>
      <c r="H1442">
        <v>3</v>
      </c>
      <c r="I1442">
        <v>2</v>
      </c>
      <c r="J1442">
        <v>2.8</v>
      </c>
      <c r="K1442" t="s">
        <v>1268</v>
      </c>
    </row>
    <row r="1443" spans="1:11" x14ac:dyDescent="0.35">
      <c r="A1443" t="s">
        <v>1454</v>
      </c>
      <c r="B1443">
        <v>5</v>
      </c>
      <c r="C1443">
        <v>-15903466.439999999</v>
      </c>
      <c r="D1443">
        <v>0.6</v>
      </c>
      <c r="E1443">
        <v>94736627.349999994</v>
      </c>
      <c r="F1443">
        <v>38963222.100000001</v>
      </c>
      <c r="G1443">
        <v>3</v>
      </c>
      <c r="H1443">
        <v>3</v>
      </c>
      <c r="I1443">
        <v>2</v>
      </c>
      <c r="J1443">
        <v>2.8</v>
      </c>
      <c r="K1443" t="s">
        <v>1268</v>
      </c>
    </row>
    <row r="1444" spans="1:11" x14ac:dyDescent="0.35">
      <c r="A1444" t="s">
        <v>1455</v>
      </c>
      <c r="B1444">
        <v>5</v>
      </c>
      <c r="C1444">
        <v>5465094.7999999998</v>
      </c>
      <c r="D1444">
        <v>0.8</v>
      </c>
      <c r="E1444">
        <v>47185887.93</v>
      </c>
      <c r="F1444">
        <v>34899618.799999997</v>
      </c>
      <c r="G1444">
        <v>3</v>
      </c>
      <c r="H1444">
        <v>3</v>
      </c>
      <c r="I1444">
        <v>2</v>
      </c>
      <c r="J1444">
        <v>2.8</v>
      </c>
      <c r="K1444" t="s">
        <v>1268</v>
      </c>
    </row>
    <row r="1445" spans="1:11" x14ac:dyDescent="0.35">
      <c r="A1445" t="s">
        <v>1456</v>
      </c>
      <c r="B1445">
        <v>5</v>
      </c>
      <c r="C1445">
        <v>-33215197.920000002</v>
      </c>
      <c r="D1445">
        <v>0.4</v>
      </c>
      <c r="E1445">
        <v>47488880.310000002</v>
      </c>
      <c r="F1445">
        <v>28318479.399999999</v>
      </c>
      <c r="G1445">
        <v>3</v>
      </c>
      <c r="H1445">
        <v>3</v>
      </c>
      <c r="I1445">
        <v>2</v>
      </c>
      <c r="J1445">
        <v>2.8</v>
      </c>
      <c r="K1445" t="s">
        <v>1268</v>
      </c>
    </row>
    <row r="1446" spans="1:11" x14ac:dyDescent="0.35">
      <c r="A1446" t="s">
        <v>1457</v>
      </c>
      <c r="B1446">
        <v>5</v>
      </c>
      <c r="C1446">
        <v>90834505.560000002</v>
      </c>
      <c r="D1446">
        <v>0.8</v>
      </c>
      <c r="E1446">
        <v>134693928.5</v>
      </c>
      <c r="F1446">
        <v>16733121.1</v>
      </c>
      <c r="G1446">
        <v>2</v>
      </c>
      <c r="H1446">
        <v>4</v>
      </c>
      <c r="I1446">
        <v>3</v>
      </c>
      <c r="J1446">
        <v>2.8</v>
      </c>
      <c r="K1446" t="s">
        <v>1268</v>
      </c>
    </row>
    <row r="1447" spans="1:11" x14ac:dyDescent="0.35">
      <c r="A1447" t="s">
        <v>1458</v>
      </c>
      <c r="B1447">
        <v>5</v>
      </c>
      <c r="C1447">
        <v>750251990.79999995</v>
      </c>
      <c r="D1447">
        <v>1</v>
      </c>
      <c r="E1447">
        <v>278189197.60000002</v>
      </c>
      <c r="F1447">
        <v>11378004</v>
      </c>
      <c r="G1447">
        <v>2</v>
      </c>
      <c r="H1447">
        <v>4</v>
      </c>
      <c r="I1447">
        <v>3</v>
      </c>
      <c r="J1447">
        <v>2.8</v>
      </c>
      <c r="K1447" t="s">
        <v>1268</v>
      </c>
    </row>
    <row r="1448" spans="1:11" x14ac:dyDescent="0.35">
      <c r="A1448" t="s">
        <v>1459</v>
      </c>
      <c r="B1448">
        <v>5</v>
      </c>
      <c r="C1448">
        <v>860473682.10000002</v>
      </c>
      <c r="D1448">
        <v>1</v>
      </c>
      <c r="E1448">
        <v>271657310.80000001</v>
      </c>
      <c r="F1448">
        <v>10269796.800000001</v>
      </c>
      <c r="G1448">
        <v>2</v>
      </c>
      <c r="H1448">
        <v>4</v>
      </c>
      <c r="I1448">
        <v>3</v>
      </c>
      <c r="J1448">
        <v>2.8</v>
      </c>
      <c r="K1448" t="s">
        <v>1268</v>
      </c>
    </row>
    <row r="1449" spans="1:11" x14ac:dyDescent="0.35">
      <c r="A1449" t="s">
        <v>1460</v>
      </c>
      <c r="B1449">
        <v>5</v>
      </c>
      <c r="C1449">
        <v>49552452.960000001</v>
      </c>
      <c r="D1449">
        <v>0.8</v>
      </c>
      <c r="E1449">
        <v>34744143.100000001</v>
      </c>
      <c r="F1449">
        <v>10018740.6</v>
      </c>
      <c r="G1449">
        <v>3</v>
      </c>
      <c r="H1449">
        <v>2</v>
      </c>
      <c r="I1449">
        <v>3</v>
      </c>
      <c r="J1449">
        <v>2.7</v>
      </c>
      <c r="K1449" t="s">
        <v>1268</v>
      </c>
    </row>
    <row r="1450" spans="1:11" x14ac:dyDescent="0.35">
      <c r="A1450" t="s">
        <v>1461</v>
      </c>
      <c r="B1450">
        <v>5</v>
      </c>
      <c r="C1450">
        <v>-238332.32</v>
      </c>
      <c r="D1450">
        <v>0.4</v>
      </c>
      <c r="E1450">
        <v>15875761.640000001</v>
      </c>
      <c r="F1450">
        <v>11101564.300000001</v>
      </c>
      <c r="G1450">
        <v>3</v>
      </c>
      <c r="H1450">
        <v>2</v>
      </c>
      <c r="I1450">
        <v>3</v>
      </c>
      <c r="J1450">
        <v>2.7</v>
      </c>
      <c r="K1450" t="s">
        <v>1268</v>
      </c>
    </row>
    <row r="1451" spans="1:11" x14ac:dyDescent="0.35">
      <c r="A1451" t="s">
        <v>1462</v>
      </c>
      <c r="B1451">
        <v>5</v>
      </c>
      <c r="C1451">
        <v>31896400.66</v>
      </c>
      <c r="D1451">
        <v>0.8</v>
      </c>
      <c r="E1451">
        <v>30855029.120000001</v>
      </c>
      <c r="F1451">
        <v>11554166.5</v>
      </c>
      <c r="G1451">
        <v>3</v>
      </c>
      <c r="H1451">
        <v>2</v>
      </c>
      <c r="I1451">
        <v>3</v>
      </c>
      <c r="J1451">
        <v>2.7</v>
      </c>
      <c r="K1451" t="s">
        <v>1268</v>
      </c>
    </row>
    <row r="1452" spans="1:11" x14ac:dyDescent="0.35">
      <c r="A1452" t="s">
        <v>1463</v>
      </c>
      <c r="B1452">
        <v>5</v>
      </c>
      <c r="C1452">
        <v>16871777.16</v>
      </c>
      <c r="D1452">
        <v>0.8</v>
      </c>
      <c r="E1452">
        <v>20677738.09</v>
      </c>
      <c r="F1452">
        <v>17793236.100000001</v>
      </c>
      <c r="G1452">
        <v>3</v>
      </c>
      <c r="H1452">
        <v>2</v>
      </c>
      <c r="I1452">
        <v>3</v>
      </c>
      <c r="J1452">
        <v>2.7</v>
      </c>
      <c r="K1452" t="s">
        <v>1268</v>
      </c>
    </row>
    <row r="1453" spans="1:11" x14ac:dyDescent="0.35">
      <c r="A1453" t="s">
        <v>1464</v>
      </c>
      <c r="B1453">
        <v>5</v>
      </c>
      <c r="C1453">
        <v>1853350.56</v>
      </c>
      <c r="D1453">
        <v>0.4</v>
      </c>
      <c r="E1453">
        <v>18267303</v>
      </c>
      <c r="F1453">
        <v>17544985.600000001</v>
      </c>
      <c r="G1453">
        <v>3</v>
      </c>
      <c r="H1453">
        <v>2</v>
      </c>
      <c r="I1453">
        <v>3</v>
      </c>
      <c r="J1453">
        <v>2.7</v>
      </c>
      <c r="K1453" t="s">
        <v>1268</v>
      </c>
    </row>
    <row r="1454" spans="1:11" x14ac:dyDescent="0.35">
      <c r="A1454" t="s">
        <v>1465</v>
      </c>
      <c r="B1454">
        <v>5</v>
      </c>
      <c r="C1454">
        <v>-3173598.48</v>
      </c>
      <c r="D1454">
        <v>0.6</v>
      </c>
      <c r="E1454">
        <v>20228378.57</v>
      </c>
      <c r="F1454">
        <v>18679081.399999999</v>
      </c>
      <c r="G1454">
        <v>3</v>
      </c>
      <c r="H1454">
        <v>2</v>
      </c>
      <c r="I1454">
        <v>3</v>
      </c>
      <c r="J1454">
        <v>2.7</v>
      </c>
      <c r="K1454" t="s">
        <v>1268</v>
      </c>
    </row>
    <row r="1455" spans="1:11" x14ac:dyDescent="0.35">
      <c r="A1455" t="s">
        <v>1466</v>
      </c>
      <c r="B1455">
        <v>5</v>
      </c>
      <c r="C1455">
        <v>-5601763.54</v>
      </c>
      <c r="D1455">
        <v>0.6</v>
      </c>
      <c r="E1455">
        <v>31131428.210000001</v>
      </c>
      <c r="F1455">
        <v>18757002.5</v>
      </c>
      <c r="G1455">
        <v>3</v>
      </c>
      <c r="H1455">
        <v>2</v>
      </c>
      <c r="I1455">
        <v>3</v>
      </c>
      <c r="J1455">
        <v>2.7</v>
      </c>
      <c r="K1455" t="s">
        <v>1268</v>
      </c>
    </row>
    <row r="1456" spans="1:11" x14ac:dyDescent="0.35">
      <c r="A1456" t="s">
        <v>1467</v>
      </c>
      <c r="B1456">
        <v>5</v>
      </c>
      <c r="C1456">
        <v>6005055.5</v>
      </c>
      <c r="D1456">
        <v>0.6</v>
      </c>
      <c r="E1456">
        <v>41519034.770000003</v>
      </c>
      <c r="F1456">
        <v>14394406.199999999</v>
      </c>
      <c r="G1456">
        <v>3</v>
      </c>
      <c r="H1456">
        <v>2</v>
      </c>
      <c r="I1456">
        <v>3</v>
      </c>
      <c r="J1456">
        <v>2.7</v>
      </c>
      <c r="K1456" t="s">
        <v>1268</v>
      </c>
    </row>
    <row r="1457" spans="1:11" x14ac:dyDescent="0.35">
      <c r="A1457" t="s">
        <v>1468</v>
      </c>
      <c r="B1457">
        <v>5</v>
      </c>
      <c r="C1457">
        <v>23795912.100000001</v>
      </c>
      <c r="D1457">
        <v>0.8</v>
      </c>
      <c r="E1457">
        <v>18100585.57</v>
      </c>
      <c r="F1457">
        <v>13152965.199999999</v>
      </c>
      <c r="G1457">
        <v>3</v>
      </c>
      <c r="H1457">
        <v>2</v>
      </c>
      <c r="I1457">
        <v>3</v>
      </c>
      <c r="J1457">
        <v>2.7</v>
      </c>
      <c r="K1457" t="s">
        <v>1268</v>
      </c>
    </row>
    <row r="1458" spans="1:11" x14ac:dyDescent="0.35">
      <c r="A1458" t="s">
        <v>1469</v>
      </c>
      <c r="B1458">
        <v>5</v>
      </c>
      <c r="C1458">
        <v>-17814064.600000001</v>
      </c>
      <c r="D1458">
        <v>0.2</v>
      </c>
      <c r="E1458">
        <v>11486479.09</v>
      </c>
      <c r="F1458">
        <v>27528472</v>
      </c>
      <c r="G1458">
        <v>4</v>
      </c>
      <c r="H1458">
        <v>1</v>
      </c>
      <c r="I1458">
        <v>2</v>
      </c>
      <c r="J1458">
        <v>2.7</v>
      </c>
      <c r="K1458" t="s">
        <v>1268</v>
      </c>
    </row>
    <row r="1459" spans="1:11" x14ac:dyDescent="0.35">
      <c r="A1459" t="s">
        <v>1470</v>
      </c>
      <c r="B1459">
        <v>5</v>
      </c>
      <c r="C1459">
        <v>44639880.060000002</v>
      </c>
      <c r="D1459">
        <v>0.8</v>
      </c>
      <c r="E1459">
        <v>40153955.170000002</v>
      </c>
      <c r="F1459">
        <v>21107722.800000001</v>
      </c>
      <c r="G1459">
        <v>3</v>
      </c>
      <c r="H1459">
        <v>2</v>
      </c>
      <c r="I1459">
        <v>3</v>
      </c>
      <c r="J1459">
        <v>2.7</v>
      </c>
      <c r="K1459" t="s">
        <v>1268</v>
      </c>
    </row>
    <row r="1460" spans="1:11" x14ac:dyDescent="0.35">
      <c r="A1460" t="s">
        <v>1471</v>
      </c>
      <c r="B1460">
        <v>5</v>
      </c>
      <c r="C1460">
        <v>29119943.100000001</v>
      </c>
      <c r="D1460">
        <v>0.8</v>
      </c>
      <c r="E1460">
        <v>41676184.380000003</v>
      </c>
      <c r="F1460">
        <v>21460495</v>
      </c>
      <c r="G1460">
        <v>3</v>
      </c>
      <c r="H1460">
        <v>2</v>
      </c>
      <c r="I1460">
        <v>3</v>
      </c>
      <c r="J1460">
        <v>2.7</v>
      </c>
      <c r="K1460" t="s">
        <v>1268</v>
      </c>
    </row>
    <row r="1461" spans="1:11" x14ac:dyDescent="0.35">
      <c r="A1461" t="s">
        <v>1472</v>
      </c>
      <c r="B1461">
        <v>5</v>
      </c>
      <c r="C1461">
        <v>14764479.279999999</v>
      </c>
      <c r="D1461">
        <v>0.8</v>
      </c>
      <c r="E1461">
        <v>21010725.899999999</v>
      </c>
      <c r="F1461">
        <v>20038315.899999999</v>
      </c>
      <c r="G1461">
        <v>3</v>
      </c>
      <c r="H1461">
        <v>2</v>
      </c>
      <c r="I1461">
        <v>3</v>
      </c>
      <c r="J1461">
        <v>2.7</v>
      </c>
      <c r="K1461" t="s">
        <v>1268</v>
      </c>
    </row>
    <row r="1462" spans="1:11" x14ac:dyDescent="0.35">
      <c r="A1462" t="s">
        <v>1473</v>
      </c>
      <c r="B1462">
        <v>5</v>
      </c>
      <c r="C1462">
        <v>524611742.19999999</v>
      </c>
      <c r="D1462">
        <v>1</v>
      </c>
      <c r="E1462">
        <v>470339344.5</v>
      </c>
      <c r="F1462">
        <v>202505167.90000001</v>
      </c>
      <c r="G1462">
        <v>2</v>
      </c>
      <c r="H1462">
        <v>5</v>
      </c>
      <c r="I1462">
        <v>1</v>
      </c>
      <c r="J1462">
        <v>2.7</v>
      </c>
      <c r="K1462" t="s">
        <v>1268</v>
      </c>
    </row>
    <row r="1463" spans="1:11" x14ac:dyDescent="0.35">
      <c r="A1463" t="s">
        <v>1474</v>
      </c>
      <c r="B1463">
        <v>5</v>
      </c>
      <c r="C1463">
        <v>1367023322</v>
      </c>
      <c r="D1463">
        <v>1</v>
      </c>
      <c r="E1463">
        <v>736117659.60000002</v>
      </c>
      <c r="F1463">
        <v>345886004</v>
      </c>
      <c r="G1463">
        <v>2</v>
      </c>
      <c r="H1463">
        <v>5</v>
      </c>
      <c r="I1463">
        <v>1</v>
      </c>
      <c r="J1463">
        <v>2.7</v>
      </c>
      <c r="K1463" t="s">
        <v>1268</v>
      </c>
    </row>
    <row r="1464" spans="1:11" x14ac:dyDescent="0.35">
      <c r="A1464" t="s">
        <v>1475</v>
      </c>
      <c r="B1464">
        <v>5</v>
      </c>
      <c r="C1464">
        <v>506279261.60000002</v>
      </c>
      <c r="D1464">
        <v>0.8</v>
      </c>
      <c r="E1464">
        <v>334762817.10000002</v>
      </c>
      <c r="F1464">
        <v>332550224.80000001</v>
      </c>
      <c r="G1464">
        <v>2</v>
      </c>
      <c r="H1464">
        <v>5</v>
      </c>
      <c r="I1464">
        <v>1</v>
      </c>
      <c r="J1464">
        <v>2.7</v>
      </c>
      <c r="K1464" t="s">
        <v>1268</v>
      </c>
    </row>
    <row r="1465" spans="1:11" x14ac:dyDescent="0.35">
      <c r="A1465" t="s">
        <v>1476</v>
      </c>
      <c r="B1465">
        <v>5</v>
      </c>
      <c r="C1465">
        <v>2133194314</v>
      </c>
      <c r="D1465">
        <v>1</v>
      </c>
      <c r="E1465">
        <v>594696713.60000002</v>
      </c>
      <c r="F1465">
        <v>441736243</v>
      </c>
      <c r="G1465">
        <v>2</v>
      </c>
      <c r="H1465">
        <v>5</v>
      </c>
      <c r="I1465">
        <v>1</v>
      </c>
      <c r="J1465">
        <v>2.7</v>
      </c>
      <c r="K1465" t="s">
        <v>1268</v>
      </c>
    </row>
    <row r="1466" spans="1:11" x14ac:dyDescent="0.35">
      <c r="A1466" t="s">
        <v>1477</v>
      </c>
      <c r="B1466">
        <v>5</v>
      </c>
      <c r="C1466">
        <v>2725645371</v>
      </c>
      <c r="D1466">
        <v>1</v>
      </c>
      <c r="E1466">
        <v>501025056.89999998</v>
      </c>
      <c r="F1466">
        <v>381996988</v>
      </c>
      <c r="G1466">
        <v>2</v>
      </c>
      <c r="H1466">
        <v>5</v>
      </c>
      <c r="I1466">
        <v>1</v>
      </c>
      <c r="J1466">
        <v>2.7</v>
      </c>
      <c r="K1466" t="s">
        <v>1268</v>
      </c>
    </row>
    <row r="1467" spans="1:11" x14ac:dyDescent="0.35">
      <c r="A1467" t="s">
        <v>1478</v>
      </c>
      <c r="B1467">
        <v>5</v>
      </c>
      <c r="C1467">
        <v>514514634.10000002</v>
      </c>
      <c r="D1467">
        <v>1</v>
      </c>
      <c r="E1467">
        <v>408169343.89999998</v>
      </c>
      <c r="F1467">
        <v>251848636.19999999</v>
      </c>
      <c r="G1467">
        <v>2</v>
      </c>
      <c r="H1467">
        <v>5</v>
      </c>
      <c r="I1467">
        <v>1</v>
      </c>
      <c r="J1467">
        <v>2.7</v>
      </c>
      <c r="K1467" t="s">
        <v>1268</v>
      </c>
    </row>
    <row r="1468" spans="1:11" x14ac:dyDescent="0.35">
      <c r="A1468" t="s">
        <v>1479</v>
      </c>
      <c r="B1468">
        <v>5</v>
      </c>
      <c r="C1468">
        <v>229657017.90000001</v>
      </c>
      <c r="D1468">
        <v>0.8</v>
      </c>
      <c r="E1468">
        <v>825077750.60000002</v>
      </c>
      <c r="F1468">
        <v>256782446.19999999</v>
      </c>
      <c r="G1468">
        <v>2</v>
      </c>
      <c r="H1468">
        <v>5</v>
      </c>
      <c r="I1468">
        <v>1</v>
      </c>
      <c r="J1468">
        <v>2.7</v>
      </c>
      <c r="K1468" t="s">
        <v>1268</v>
      </c>
    </row>
    <row r="1469" spans="1:11" x14ac:dyDescent="0.35">
      <c r="A1469" t="s">
        <v>1480</v>
      </c>
      <c r="B1469">
        <v>5</v>
      </c>
      <c r="C1469">
        <v>513811077.80000001</v>
      </c>
      <c r="D1469">
        <v>0.8</v>
      </c>
      <c r="E1469">
        <v>659022186.10000002</v>
      </c>
      <c r="F1469">
        <v>314094789.5</v>
      </c>
      <c r="G1469">
        <v>2</v>
      </c>
      <c r="H1469">
        <v>5</v>
      </c>
      <c r="I1469">
        <v>1</v>
      </c>
      <c r="J1469">
        <v>2.7</v>
      </c>
      <c r="K1469" t="s">
        <v>1268</v>
      </c>
    </row>
    <row r="1470" spans="1:11" x14ac:dyDescent="0.35">
      <c r="A1470" t="s">
        <v>1481</v>
      </c>
      <c r="B1470">
        <v>5</v>
      </c>
      <c r="C1470">
        <v>870731789.79999995</v>
      </c>
      <c r="D1470">
        <v>1</v>
      </c>
      <c r="E1470">
        <v>446659832.89999998</v>
      </c>
      <c r="F1470">
        <v>537471845</v>
      </c>
      <c r="G1470">
        <v>2</v>
      </c>
      <c r="H1470">
        <v>5</v>
      </c>
      <c r="I1470">
        <v>1</v>
      </c>
      <c r="J1470">
        <v>2.7</v>
      </c>
      <c r="K1470" t="s">
        <v>1268</v>
      </c>
    </row>
    <row r="1471" spans="1:11" x14ac:dyDescent="0.35">
      <c r="A1471" t="s">
        <v>1482</v>
      </c>
      <c r="B1471">
        <v>5</v>
      </c>
      <c r="C1471">
        <v>597291658</v>
      </c>
      <c r="D1471">
        <v>1</v>
      </c>
      <c r="E1471">
        <v>350682875</v>
      </c>
      <c r="F1471">
        <v>492648860.5</v>
      </c>
      <c r="G1471">
        <v>2</v>
      </c>
      <c r="H1471">
        <v>5</v>
      </c>
      <c r="I1471">
        <v>1</v>
      </c>
      <c r="J1471">
        <v>2.7</v>
      </c>
      <c r="K1471" t="s">
        <v>1268</v>
      </c>
    </row>
    <row r="1472" spans="1:11" x14ac:dyDescent="0.35">
      <c r="A1472" t="s">
        <v>1483</v>
      </c>
      <c r="B1472">
        <v>5</v>
      </c>
      <c r="C1472">
        <v>94163619.859999999</v>
      </c>
      <c r="D1472">
        <v>0.8</v>
      </c>
      <c r="E1472">
        <v>464748234.10000002</v>
      </c>
      <c r="F1472">
        <v>458765112.19999999</v>
      </c>
      <c r="G1472">
        <v>2</v>
      </c>
      <c r="H1472">
        <v>5</v>
      </c>
      <c r="I1472">
        <v>1</v>
      </c>
      <c r="J1472">
        <v>2.7</v>
      </c>
      <c r="K1472" t="s">
        <v>1268</v>
      </c>
    </row>
    <row r="1473" spans="1:11" x14ac:dyDescent="0.35">
      <c r="A1473" t="s">
        <v>1484</v>
      </c>
      <c r="B1473">
        <v>5</v>
      </c>
      <c r="C1473">
        <v>552107309.39999998</v>
      </c>
      <c r="D1473">
        <v>1</v>
      </c>
      <c r="E1473">
        <v>539588536</v>
      </c>
      <c r="F1473">
        <v>584695183.70000005</v>
      </c>
      <c r="G1473">
        <v>2</v>
      </c>
      <c r="H1473">
        <v>5</v>
      </c>
      <c r="I1473">
        <v>1</v>
      </c>
      <c r="J1473">
        <v>2.7</v>
      </c>
      <c r="K1473" t="s">
        <v>1268</v>
      </c>
    </row>
    <row r="1474" spans="1:11" x14ac:dyDescent="0.35">
      <c r="A1474" t="s">
        <v>1485</v>
      </c>
      <c r="B1474">
        <v>5</v>
      </c>
      <c r="C1474">
        <v>3260329794</v>
      </c>
      <c r="D1474">
        <v>1</v>
      </c>
      <c r="E1474">
        <v>1368801918</v>
      </c>
      <c r="F1474">
        <v>581773451</v>
      </c>
      <c r="G1474">
        <v>2</v>
      </c>
      <c r="H1474">
        <v>5</v>
      </c>
      <c r="I1474">
        <v>1</v>
      </c>
      <c r="J1474">
        <v>2.7</v>
      </c>
      <c r="K1474" t="s">
        <v>1268</v>
      </c>
    </row>
    <row r="1475" spans="1:11" x14ac:dyDescent="0.35">
      <c r="A1475" t="s">
        <v>1486</v>
      </c>
      <c r="B1475">
        <v>5</v>
      </c>
      <c r="C1475">
        <v>488244067.69999999</v>
      </c>
      <c r="D1475">
        <v>1</v>
      </c>
      <c r="E1475">
        <v>344184235.60000002</v>
      </c>
      <c r="F1475">
        <v>554428690.89999998</v>
      </c>
      <c r="G1475">
        <v>2</v>
      </c>
      <c r="H1475">
        <v>5</v>
      </c>
      <c r="I1475">
        <v>1</v>
      </c>
      <c r="J1475">
        <v>2.7</v>
      </c>
      <c r="K1475" t="s">
        <v>1268</v>
      </c>
    </row>
    <row r="1476" spans="1:11" x14ac:dyDescent="0.35">
      <c r="A1476" t="s">
        <v>1487</v>
      </c>
      <c r="B1476">
        <v>5</v>
      </c>
      <c r="C1476">
        <v>862287475.10000002</v>
      </c>
      <c r="D1476">
        <v>1</v>
      </c>
      <c r="E1476">
        <v>347553809</v>
      </c>
      <c r="F1476">
        <v>556763417.10000002</v>
      </c>
      <c r="G1476">
        <v>2</v>
      </c>
      <c r="H1476">
        <v>5</v>
      </c>
      <c r="I1476">
        <v>1</v>
      </c>
      <c r="J1476">
        <v>2.7</v>
      </c>
      <c r="K1476" t="s">
        <v>1268</v>
      </c>
    </row>
    <row r="1477" spans="1:11" x14ac:dyDescent="0.35">
      <c r="A1477" t="s">
        <v>1488</v>
      </c>
      <c r="B1477">
        <v>5</v>
      </c>
      <c r="C1477">
        <v>936002428.70000005</v>
      </c>
      <c r="D1477">
        <v>1</v>
      </c>
      <c r="E1477">
        <v>421392967.5</v>
      </c>
      <c r="F1477">
        <v>565035297.60000002</v>
      </c>
      <c r="G1477">
        <v>2</v>
      </c>
      <c r="H1477">
        <v>5</v>
      </c>
      <c r="I1477">
        <v>1</v>
      </c>
      <c r="J1477">
        <v>2.7</v>
      </c>
      <c r="K1477" t="s">
        <v>1268</v>
      </c>
    </row>
    <row r="1478" spans="1:11" x14ac:dyDescent="0.35">
      <c r="A1478" t="s">
        <v>1489</v>
      </c>
      <c r="B1478">
        <v>5</v>
      </c>
      <c r="C1478">
        <v>1545079657</v>
      </c>
      <c r="D1478">
        <v>1</v>
      </c>
      <c r="E1478">
        <v>335070066.19999999</v>
      </c>
      <c r="F1478">
        <v>561690096</v>
      </c>
      <c r="G1478">
        <v>2</v>
      </c>
      <c r="H1478">
        <v>5</v>
      </c>
      <c r="I1478">
        <v>1</v>
      </c>
      <c r="J1478">
        <v>2.7</v>
      </c>
      <c r="K1478" t="s">
        <v>1268</v>
      </c>
    </row>
    <row r="1479" spans="1:11" x14ac:dyDescent="0.35">
      <c r="A1479" t="s">
        <v>1490</v>
      </c>
      <c r="B1479">
        <v>5</v>
      </c>
      <c r="C1479">
        <v>980425654.79999995</v>
      </c>
      <c r="D1479">
        <v>1</v>
      </c>
      <c r="E1479">
        <v>353673017.30000001</v>
      </c>
      <c r="F1479">
        <v>588655305.5</v>
      </c>
      <c r="G1479">
        <v>2</v>
      </c>
      <c r="H1479">
        <v>5</v>
      </c>
      <c r="I1479">
        <v>1</v>
      </c>
      <c r="J1479">
        <v>2.7</v>
      </c>
      <c r="K1479" t="s">
        <v>1268</v>
      </c>
    </row>
    <row r="1480" spans="1:11" x14ac:dyDescent="0.35">
      <c r="A1480" t="s">
        <v>1491</v>
      </c>
      <c r="B1480">
        <v>5</v>
      </c>
      <c r="C1480">
        <v>1495115271</v>
      </c>
      <c r="D1480">
        <v>1</v>
      </c>
      <c r="E1480">
        <v>431349604.89999998</v>
      </c>
      <c r="F1480">
        <v>587324896</v>
      </c>
      <c r="G1480">
        <v>2</v>
      </c>
      <c r="H1480">
        <v>5</v>
      </c>
      <c r="I1480">
        <v>1</v>
      </c>
      <c r="J1480">
        <v>2.7</v>
      </c>
      <c r="K1480" t="s">
        <v>1268</v>
      </c>
    </row>
    <row r="1481" spans="1:11" x14ac:dyDescent="0.35">
      <c r="A1481" t="s">
        <v>1492</v>
      </c>
      <c r="B1481">
        <v>5</v>
      </c>
      <c r="C1481">
        <v>4285983028</v>
      </c>
      <c r="D1481">
        <v>1</v>
      </c>
      <c r="E1481">
        <v>1711518522</v>
      </c>
      <c r="F1481">
        <v>810725931</v>
      </c>
      <c r="G1481">
        <v>2</v>
      </c>
      <c r="H1481">
        <v>5</v>
      </c>
      <c r="I1481">
        <v>1</v>
      </c>
      <c r="J1481">
        <v>2.7</v>
      </c>
      <c r="K1481" t="s">
        <v>1268</v>
      </c>
    </row>
    <row r="1482" spans="1:11" x14ac:dyDescent="0.35">
      <c r="A1482" t="s">
        <v>1493</v>
      </c>
      <c r="B1482">
        <v>5</v>
      </c>
      <c r="C1482">
        <v>901562643.20000005</v>
      </c>
      <c r="D1482">
        <v>1</v>
      </c>
      <c r="E1482">
        <v>422590419.69999999</v>
      </c>
      <c r="F1482">
        <v>859184403.60000002</v>
      </c>
      <c r="G1482">
        <v>2</v>
      </c>
      <c r="H1482">
        <v>5</v>
      </c>
      <c r="I1482">
        <v>1</v>
      </c>
      <c r="J1482">
        <v>2.7</v>
      </c>
      <c r="K1482" t="s">
        <v>1268</v>
      </c>
    </row>
    <row r="1483" spans="1:11" x14ac:dyDescent="0.35">
      <c r="A1483" t="s">
        <v>1494</v>
      </c>
      <c r="B1483">
        <v>5</v>
      </c>
      <c r="C1483">
        <v>436704517.5</v>
      </c>
      <c r="D1483">
        <v>0.8</v>
      </c>
      <c r="E1483">
        <v>427867835.19999999</v>
      </c>
      <c r="F1483">
        <v>836497646.20000005</v>
      </c>
      <c r="G1483">
        <v>2</v>
      </c>
      <c r="H1483">
        <v>5</v>
      </c>
      <c r="I1483">
        <v>1</v>
      </c>
      <c r="J1483">
        <v>2.7</v>
      </c>
      <c r="K1483" t="s">
        <v>1268</v>
      </c>
    </row>
    <row r="1484" spans="1:11" x14ac:dyDescent="0.35">
      <c r="A1484" t="s">
        <v>1495</v>
      </c>
      <c r="B1484">
        <v>5</v>
      </c>
      <c r="C1484">
        <v>2265561781</v>
      </c>
      <c r="D1484">
        <v>1</v>
      </c>
      <c r="E1484">
        <v>576492934.60000002</v>
      </c>
      <c r="F1484">
        <v>1055981787</v>
      </c>
      <c r="G1484">
        <v>2</v>
      </c>
      <c r="H1484">
        <v>5</v>
      </c>
      <c r="I1484">
        <v>1</v>
      </c>
      <c r="J1484">
        <v>2.7</v>
      </c>
      <c r="K1484" t="s">
        <v>1268</v>
      </c>
    </row>
    <row r="1485" spans="1:11" x14ac:dyDescent="0.35">
      <c r="A1485" t="s">
        <v>1496</v>
      </c>
      <c r="B1485">
        <v>5</v>
      </c>
      <c r="C1485">
        <v>2966910534</v>
      </c>
      <c r="D1485">
        <v>1</v>
      </c>
      <c r="E1485">
        <v>798295514.60000002</v>
      </c>
      <c r="F1485">
        <v>877943650</v>
      </c>
      <c r="G1485">
        <v>2</v>
      </c>
      <c r="H1485">
        <v>5</v>
      </c>
      <c r="I1485">
        <v>1</v>
      </c>
      <c r="J1485">
        <v>2.7</v>
      </c>
      <c r="K1485" t="s">
        <v>1268</v>
      </c>
    </row>
    <row r="1486" spans="1:11" x14ac:dyDescent="0.35">
      <c r="A1486" t="s">
        <v>1497</v>
      </c>
      <c r="B1486">
        <v>5</v>
      </c>
      <c r="C1486">
        <v>2296167489</v>
      </c>
      <c r="D1486">
        <v>1</v>
      </c>
      <c r="E1486">
        <v>767007282</v>
      </c>
      <c r="F1486">
        <v>948405261</v>
      </c>
      <c r="G1486">
        <v>2</v>
      </c>
      <c r="H1486">
        <v>5</v>
      </c>
      <c r="I1486">
        <v>1</v>
      </c>
      <c r="J1486">
        <v>2.7</v>
      </c>
      <c r="K1486" t="s">
        <v>1268</v>
      </c>
    </row>
    <row r="1487" spans="1:11" x14ac:dyDescent="0.35">
      <c r="A1487" t="s">
        <v>1498</v>
      </c>
      <c r="B1487">
        <v>5</v>
      </c>
      <c r="C1487">
        <v>1218892852</v>
      </c>
      <c r="D1487">
        <v>0.8</v>
      </c>
      <c r="E1487">
        <v>1039084574</v>
      </c>
      <c r="F1487">
        <v>946265644.60000002</v>
      </c>
      <c r="G1487">
        <v>2</v>
      </c>
      <c r="H1487">
        <v>5</v>
      </c>
      <c r="I1487">
        <v>1</v>
      </c>
      <c r="J1487">
        <v>2.7</v>
      </c>
      <c r="K1487" t="s">
        <v>1268</v>
      </c>
    </row>
    <row r="1488" spans="1:11" x14ac:dyDescent="0.35">
      <c r="A1488" t="s">
        <v>1499</v>
      </c>
      <c r="B1488">
        <v>5</v>
      </c>
      <c r="C1488">
        <v>1953909347</v>
      </c>
      <c r="D1488">
        <v>1</v>
      </c>
      <c r="E1488">
        <v>365445654.19999999</v>
      </c>
      <c r="F1488">
        <v>889213374</v>
      </c>
      <c r="G1488">
        <v>2</v>
      </c>
      <c r="H1488">
        <v>5</v>
      </c>
      <c r="I1488">
        <v>1</v>
      </c>
      <c r="J1488">
        <v>2.7</v>
      </c>
      <c r="K1488" t="s">
        <v>1268</v>
      </c>
    </row>
    <row r="1489" spans="1:11" x14ac:dyDescent="0.35">
      <c r="A1489" t="s">
        <v>1500</v>
      </c>
      <c r="B1489">
        <v>5</v>
      </c>
      <c r="C1489">
        <v>8286258820</v>
      </c>
      <c r="D1489">
        <v>1</v>
      </c>
      <c r="E1489">
        <v>973755581.89999998</v>
      </c>
      <c r="F1489">
        <v>1036170131</v>
      </c>
      <c r="G1489">
        <v>2</v>
      </c>
      <c r="H1489">
        <v>5</v>
      </c>
      <c r="I1489">
        <v>1</v>
      </c>
      <c r="J1489">
        <v>2.7</v>
      </c>
      <c r="K1489" t="s">
        <v>1268</v>
      </c>
    </row>
    <row r="1490" spans="1:11" x14ac:dyDescent="0.35">
      <c r="A1490" t="s">
        <v>1501</v>
      </c>
      <c r="B1490">
        <v>5</v>
      </c>
      <c r="C1490">
        <v>1232569565</v>
      </c>
      <c r="D1490">
        <v>1</v>
      </c>
      <c r="E1490">
        <v>362225588.80000001</v>
      </c>
      <c r="F1490">
        <v>923295307</v>
      </c>
      <c r="G1490">
        <v>2</v>
      </c>
      <c r="H1490">
        <v>5</v>
      </c>
      <c r="I1490">
        <v>1</v>
      </c>
      <c r="J1490">
        <v>2.7</v>
      </c>
      <c r="K1490" t="s">
        <v>1268</v>
      </c>
    </row>
    <row r="1491" spans="1:11" x14ac:dyDescent="0.35">
      <c r="A1491" t="s">
        <v>1502</v>
      </c>
      <c r="B1491">
        <v>5</v>
      </c>
      <c r="C1491">
        <v>2460694628</v>
      </c>
      <c r="D1491">
        <v>1</v>
      </c>
      <c r="E1491">
        <v>988360894.29999995</v>
      </c>
      <c r="F1491">
        <v>920465652</v>
      </c>
      <c r="G1491">
        <v>2</v>
      </c>
      <c r="H1491">
        <v>5</v>
      </c>
      <c r="I1491">
        <v>1</v>
      </c>
      <c r="J1491">
        <v>2.7</v>
      </c>
      <c r="K1491" t="s">
        <v>1268</v>
      </c>
    </row>
    <row r="1492" spans="1:11" x14ac:dyDescent="0.35">
      <c r="A1492" t="s">
        <v>1503</v>
      </c>
      <c r="B1492">
        <v>5</v>
      </c>
      <c r="C1492">
        <v>1950861667</v>
      </c>
      <c r="D1492">
        <v>1</v>
      </c>
      <c r="E1492">
        <v>336789840.5</v>
      </c>
      <c r="F1492">
        <v>908079381</v>
      </c>
      <c r="G1492">
        <v>2</v>
      </c>
      <c r="H1492">
        <v>5</v>
      </c>
      <c r="I1492">
        <v>1</v>
      </c>
      <c r="J1492">
        <v>2.7</v>
      </c>
      <c r="K1492" t="s">
        <v>1268</v>
      </c>
    </row>
    <row r="1493" spans="1:11" x14ac:dyDescent="0.35">
      <c r="A1493" t="s">
        <v>1504</v>
      </c>
      <c r="B1493">
        <v>5</v>
      </c>
      <c r="C1493">
        <v>1296260759</v>
      </c>
      <c r="D1493">
        <v>0.8</v>
      </c>
      <c r="E1493">
        <v>1221328302</v>
      </c>
      <c r="F1493">
        <v>732620775</v>
      </c>
      <c r="G1493">
        <v>2</v>
      </c>
      <c r="H1493">
        <v>5</v>
      </c>
      <c r="I1493">
        <v>1</v>
      </c>
      <c r="J1493">
        <v>2.7</v>
      </c>
      <c r="K1493" t="s">
        <v>1268</v>
      </c>
    </row>
    <row r="1494" spans="1:11" x14ac:dyDescent="0.35">
      <c r="A1494" t="s">
        <v>1505</v>
      </c>
      <c r="B1494">
        <v>5</v>
      </c>
      <c r="C1494">
        <v>689262847.39999998</v>
      </c>
      <c r="D1494">
        <v>0.8</v>
      </c>
      <c r="E1494">
        <v>691805427.20000005</v>
      </c>
      <c r="F1494">
        <v>725851790.29999995</v>
      </c>
      <c r="G1494">
        <v>2</v>
      </c>
      <c r="H1494">
        <v>5</v>
      </c>
      <c r="I1494">
        <v>1</v>
      </c>
      <c r="J1494">
        <v>2.7</v>
      </c>
      <c r="K1494" t="s">
        <v>1268</v>
      </c>
    </row>
    <row r="1495" spans="1:11" x14ac:dyDescent="0.35">
      <c r="A1495" t="s">
        <v>1506</v>
      </c>
      <c r="B1495">
        <v>5</v>
      </c>
      <c r="C1495">
        <v>1152046194</v>
      </c>
      <c r="D1495">
        <v>1</v>
      </c>
      <c r="E1495">
        <v>608842638</v>
      </c>
      <c r="F1495">
        <v>691358370.29999995</v>
      </c>
      <c r="G1495">
        <v>2</v>
      </c>
      <c r="H1495">
        <v>5</v>
      </c>
      <c r="I1495">
        <v>1</v>
      </c>
      <c r="J1495">
        <v>2.7</v>
      </c>
      <c r="K1495" t="s">
        <v>1268</v>
      </c>
    </row>
    <row r="1496" spans="1:11" x14ac:dyDescent="0.35">
      <c r="A1496" t="s">
        <v>1507</v>
      </c>
      <c r="B1496">
        <v>5</v>
      </c>
      <c r="C1496">
        <v>403119314.80000001</v>
      </c>
      <c r="D1496">
        <v>0.8</v>
      </c>
      <c r="E1496">
        <v>367447692.30000001</v>
      </c>
      <c r="F1496">
        <v>687158297.79999995</v>
      </c>
      <c r="G1496">
        <v>2</v>
      </c>
      <c r="H1496">
        <v>5</v>
      </c>
      <c r="I1496">
        <v>1</v>
      </c>
      <c r="J1496">
        <v>2.7</v>
      </c>
      <c r="K1496" t="s">
        <v>1268</v>
      </c>
    </row>
    <row r="1497" spans="1:11" x14ac:dyDescent="0.35">
      <c r="A1497" t="s">
        <v>1508</v>
      </c>
      <c r="B1497">
        <v>5</v>
      </c>
      <c r="C1497">
        <v>6272164291</v>
      </c>
      <c r="D1497">
        <v>1</v>
      </c>
      <c r="E1497">
        <v>663070906.89999998</v>
      </c>
      <c r="F1497">
        <v>686670365</v>
      </c>
      <c r="G1497">
        <v>2</v>
      </c>
      <c r="H1497">
        <v>5</v>
      </c>
      <c r="I1497">
        <v>1</v>
      </c>
      <c r="J1497">
        <v>2.7</v>
      </c>
      <c r="K1497" t="s">
        <v>1268</v>
      </c>
    </row>
    <row r="1498" spans="1:11" x14ac:dyDescent="0.35">
      <c r="A1498" t="s">
        <v>1509</v>
      </c>
      <c r="B1498">
        <v>5</v>
      </c>
      <c r="C1498">
        <v>1922664706</v>
      </c>
      <c r="D1498">
        <v>1</v>
      </c>
      <c r="E1498">
        <v>342375966.10000002</v>
      </c>
      <c r="F1498">
        <v>756030095</v>
      </c>
      <c r="G1498">
        <v>2</v>
      </c>
      <c r="H1498">
        <v>5</v>
      </c>
      <c r="I1498">
        <v>1</v>
      </c>
      <c r="J1498">
        <v>2.7</v>
      </c>
      <c r="K1498" t="s">
        <v>1268</v>
      </c>
    </row>
    <row r="1499" spans="1:11" x14ac:dyDescent="0.35">
      <c r="A1499" t="s">
        <v>1510</v>
      </c>
      <c r="B1499">
        <v>5</v>
      </c>
      <c r="C1499">
        <v>1927729951</v>
      </c>
      <c r="D1499">
        <v>1</v>
      </c>
      <c r="E1499">
        <v>371576986.5</v>
      </c>
      <c r="F1499">
        <v>710106960</v>
      </c>
      <c r="G1499">
        <v>2</v>
      </c>
      <c r="H1499">
        <v>5</v>
      </c>
      <c r="I1499">
        <v>1</v>
      </c>
      <c r="J1499">
        <v>2.7</v>
      </c>
      <c r="K1499" t="s">
        <v>1268</v>
      </c>
    </row>
    <row r="1500" spans="1:11" x14ac:dyDescent="0.35">
      <c r="A1500" t="s">
        <v>1511</v>
      </c>
      <c r="B1500">
        <v>5</v>
      </c>
      <c r="C1500">
        <v>1254188964</v>
      </c>
      <c r="D1500">
        <v>1</v>
      </c>
      <c r="E1500">
        <v>395991210</v>
      </c>
      <c r="F1500">
        <v>658451329.10000002</v>
      </c>
      <c r="G1500">
        <v>2</v>
      </c>
      <c r="H1500">
        <v>5</v>
      </c>
      <c r="I1500">
        <v>1</v>
      </c>
      <c r="J1500">
        <v>2.7</v>
      </c>
      <c r="K1500" t="s">
        <v>1268</v>
      </c>
    </row>
    <row r="1501" spans="1:11" x14ac:dyDescent="0.35">
      <c r="A1501" t="s">
        <v>1512</v>
      </c>
      <c r="B1501">
        <v>5</v>
      </c>
      <c r="C1501">
        <v>1253031206</v>
      </c>
      <c r="D1501">
        <v>1</v>
      </c>
      <c r="E1501">
        <v>387310575.69999999</v>
      </c>
      <c r="F1501">
        <v>633705054</v>
      </c>
      <c r="G1501">
        <v>2</v>
      </c>
      <c r="H1501">
        <v>5</v>
      </c>
      <c r="I1501">
        <v>1</v>
      </c>
      <c r="J1501">
        <v>2.7</v>
      </c>
      <c r="K1501" t="s">
        <v>1268</v>
      </c>
    </row>
    <row r="1502" spans="1:11" x14ac:dyDescent="0.35">
      <c r="A1502" t="s">
        <v>1513</v>
      </c>
      <c r="B1502">
        <v>5</v>
      </c>
      <c r="C1502">
        <v>523132891.69999999</v>
      </c>
      <c r="D1502">
        <v>0.8</v>
      </c>
      <c r="E1502">
        <v>418412691.5</v>
      </c>
      <c r="F1502">
        <v>1129443257</v>
      </c>
      <c r="G1502">
        <v>2</v>
      </c>
      <c r="H1502">
        <v>5</v>
      </c>
      <c r="I1502">
        <v>1</v>
      </c>
      <c r="J1502">
        <v>2.7</v>
      </c>
      <c r="K1502" t="s">
        <v>1268</v>
      </c>
    </row>
    <row r="1503" spans="1:11" x14ac:dyDescent="0.35">
      <c r="A1503" t="s">
        <v>1514</v>
      </c>
      <c r="B1503">
        <v>5</v>
      </c>
      <c r="C1503">
        <v>611706635.29999995</v>
      </c>
      <c r="D1503">
        <v>1</v>
      </c>
      <c r="E1503">
        <v>679691481.29999995</v>
      </c>
      <c r="F1503">
        <v>1173263323</v>
      </c>
      <c r="G1503">
        <v>2</v>
      </c>
      <c r="H1503">
        <v>5</v>
      </c>
      <c r="I1503">
        <v>1</v>
      </c>
      <c r="J1503">
        <v>2.7</v>
      </c>
      <c r="K1503" t="s">
        <v>1268</v>
      </c>
    </row>
    <row r="1504" spans="1:11" x14ac:dyDescent="0.35">
      <c r="A1504" t="s">
        <v>1515</v>
      </c>
      <c r="B1504">
        <v>5</v>
      </c>
      <c r="C1504">
        <v>567892566.29999995</v>
      </c>
      <c r="D1504">
        <v>1</v>
      </c>
      <c r="E1504">
        <v>496478018</v>
      </c>
      <c r="F1504">
        <v>1233701289</v>
      </c>
      <c r="G1504">
        <v>2</v>
      </c>
      <c r="H1504">
        <v>5</v>
      </c>
      <c r="I1504">
        <v>1</v>
      </c>
      <c r="J1504">
        <v>2.7</v>
      </c>
      <c r="K1504" t="s">
        <v>1268</v>
      </c>
    </row>
    <row r="1505" spans="1:11" x14ac:dyDescent="0.35">
      <c r="A1505" t="s">
        <v>1516</v>
      </c>
      <c r="B1505">
        <v>5</v>
      </c>
      <c r="C1505">
        <v>511831386.39999998</v>
      </c>
      <c r="D1505">
        <v>1</v>
      </c>
      <c r="E1505">
        <v>693006554.70000005</v>
      </c>
      <c r="F1505">
        <v>1221611881</v>
      </c>
      <c r="G1505">
        <v>2</v>
      </c>
      <c r="H1505">
        <v>5</v>
      </c>
      <c r="I1505">
        <v>1</v>
      </c>
      <c r="J1505">
        <v>2.7</v>
      </c>
      <c r="K1505" t="s">
        <v>1268</v>
      </c>
    </row>
    <row r="1506" spans="1:11" x14ac:dyDescent="0.35">
      <c r="A1506" t="s">
        <v>1517</v>
      </c>
      <c r="B1506">
        <v>5</v>
      </c>
      <c r="C1506">
        <v>2936585985</v>
      </c>
      <c r="D1506">
        <v>1</v>
      </c>
      <c r="E1506">
        <v>1671614126</v>
      </c>
      <c r="F1506">
        <v>1204727579</v>
      </c>
      <c r="G1506">
        <v>2</v>
      </c>
      <c r="H1506">
        <v>5</v>
      </c>
      <c r="I1506">
        <v>1</v>
      </c>
      <c r="J1506">
        <v>2.7</v>
      </c>
      <c r="K1506" t="s">
        <v>1268</v>
      </c>
    </row>
    <row r="1507" spans="1:11" x14ac:dyDescent="0.35">
      <c r="A1507" t="s">
        <v>1518</v>
      </c>
      <c r="B1507">
        <v>5</v>
      </c>
      <c r="C1507">
        <v>3870636511</v>
      </c>
      <c r="D1507">
        <v>1</v>
      </c>
      <c r="E1507">
        <v>825892652.29999995</v>
      </c>
      <c r="F1507">
        <v>1262927958</v>
      </c>
      <c r="G1507">
        <v>2</v>
      </c>
      <c r="H1507">
        <v>5</v>
      </c>
      <c r="I1507">
        <v>1</v>
      </c>
      <c r="J1507">
        <v>2.7</v>
      </c>
      <c r="K1507" t="s">
        <v>1268</v>
      </c>
    </row>
    <row r="1508" spans="1:11" x14ac:dyDescent="0.35">
      <c r="A1508" t="s">
        <v>1519</v>
      </c>
      <c r="B1508">
        <v>5</v>
      </c>
      <c r="C1508">
        <v>1626665355</v>
      </c>
      <c r="D1508">
        <v>1</v>
      </c>
      <c r="E1508">
        <v>669503957.20000005</v>
      </c>
      <c r="F1508">
        <v>1271581886</v>
      </c>
      <c r="G1508">
        <v>2</v>
      </c>
      <c r="H1508">
        <v>5</v>
      </c>
      <c r="I1508">
        <v>1</v>
      </c>
      <c r="J1508">
        <v>2.7</v>
      </c>
      <c r="K1508" t="s">
        <v>1268</v>
      </c>
    </row>
    <row r="1509" spans="1:11" x14ac:dyDescent="0.35">
      <c r="A1509" t="s">
        <v>1520</v>
      </c>
      <c r="B1509">
        <v>5</v>
      </c>
      <c r="C1509">
        <v>7966732042</v>
      </c>
      <c r="D1509">
        <v>1</v>
      </c>
      <c r="E1509">
        <v>954995706.10000002</v>
      </c>
      <c r="F1509">
        <v>1416659004</v>
      </c>
      <c r="G1509">
        <v>2</v>
      </c>
      <c r="H1509">
        <v>5</v>
      </c>
      <c r="I1509">
        <v>1</v>
      </c>
      <c r="J1509">
        <v>2.7</v>
      </c>
      <c r="K1509" t="s">
        <v>1268</v>
      </c>
    </row>
    <row r="1510" spans="1:11" x14ac:dyDescent="0.35">
      <c r="A1510" t="s">
        <v>1521</v>
      </c>
      <c r="B1510">
        <v>5</v>
      </c>
      <c r="C1510">
        <v>4777499150</v>
      </c>
      <c r="D1510">
        <v>1</v>
      </c>
      <c r="E1510">
        <v>1491870268</v>
      </c>
      <c r="F1510">
        <v>1317201253</v>
      </c>
      <c r="G1510">
        <v>2</v>
      </c>
      <c r="H1510">
        <v>5</v>
      </c>
      <c r="I1510">
        <v>1</v>
      </c>
      <c r="J1510">
        <v>2.7</v>
      </c>
      <c r="K1510" t="s">
        <v>1268</v>
      </c>
    </row>
    <row r="1511" spans="1:11" x14ac:dyDescent="0.35">
      <c r="A1511" t="s">
        <v>1522</v>
      </c>
      <c r="B1511">
        <v>5</v>
      </c>
      <c r="C1511">
        <v>299975408.10000002</v>
      </c>
      <c r="D1511">
        <v>0.8</v>
      </c>
      <c r="E1511">
        <v>3747713932</v>
      </c>
      <c r="F1511">
        <v>1860128549</v>
      </c>
      <c r="G1511">
        <v>2</v>
      </c>
      <c r="H1511">
        <v>5</v>
      </c>
      <c r="I1511">
        <v>1</v>
      </c>
      <c r="J1511">
        <v>2.7</v>
      </c>
      <c r="K1511" t="s">
        <v>1268</v>
      </c>
    </row>
    <row r="1512" spans="1:11" x14ac:dyDescent="0.35">
      <c r="A1512" t="s">
        <v>1523</v>
      </c>
      <c r="B1512">
        <v>5</v>
      </c>
      <c r="C1512">
        <v>3442568007</v>
      </c>
      <c r="D1512">
        <v>1</v>
      </c>
      <c r="E1512">
        <v>938394506.79999995</v>
      </c>
      <c r="F1512">
        <v>1898525668</v>
      </c>
      <c r="G1512">
        <v>2</v>
      </c>
      <c r="H1512">
        <v>5</v>
      </c>
      <c r="I1512">
        <v>1</v>
      </c>
      <c r="J1512">
        <v>2.7</v>
      </c>
      <c r="K1512" t="s">
        <v>1268</v>
      </c>
    </row>
    <row r="1513" spans="1:11" x14ac:dyDescent="0.35">
      <c r="A1513" t="s">
        <v>1524</v>
      </c>
      <c r="B1513">
        <v>5</v>
      </c>
      <c r="C1513">
        <v>1096856000</v>
      </c>
      <c r="D1513">
        <v>1</v>
      </c>
      <c r="E1513">
        <v>890818388.5</v>
      </c>
      <c r="F1513">
        <v>1930305133</v>
      </c>
      <c r="G1513">
        <v>2</v>
      </c>
      <c r="H1513">
        <v>5</v>
      </c>
      <c r="I1513">
        <v>1</v>
      </c>
      <c r="J1513">
        <v>2.7</v>
      </c>
      <c r="K1513" t="s">
        <v>1268</v>
      </c>
    </row>
    <row r="1514" spans="1:11" x14ac:dyDescent="0.35">
      <c r="A1514" t="s">
        <v>1525</v>
      </c>
      <c r="B1514">
        <v>5</v>
      </c>
      <c r="C1514">
        <v>6147930093</v>
      </c>
      <c r="D1514">
        <v>1</v>
      </c>
      <c r="E1514">
        <v>1591735767</v>
      </c>
      <c r="F1514">
        <v>2154997015</v>
      </c>
      <c r="G1514">
        <v>2</v>
      </c>
      <c r="H1514">
        <v>5</v>
      </c>
      <c r="I1514">
        <v>1</v>
      </c>
      <c r="J1514">
        <v>2.7</v>
      </c>
      <c r="K1514" t="s">
        <v>1268</v>
      </c>
    </row>
    <row r="1515" spans="1:11" x14ac:dyDescent="0.35">
      <c r="A1515" t="s">
        <v>1526</v>
      </c>
      <c r="B1515">
        <v>5</v>
      </c>
      <c r="C1515">
        <v>1226953522</v>
      </c>
      <c r="D1515">
        <v>1</v>
      </c>
      <c r="E1515">
        <v>817713641.79999995</v>
      </c>
      <c r="F1515">
        <v>2114327550</v>
      </c>
      <c r="G1515">
        <v>2</v>
      </c>
      <c r="H1515">
        <v>5</v>
      </c>
      <c r="I1515">
        <v>1</v>
      </c>
      <c r="J1515">
        <v>2.7</v>
      </c>
      <c r="K1515" t="s">
        <v>1268</v>
      </c>
    </row>
    <row r="1516" spans="1:11" x14ac:dyDescent="0.35">
      <c r="A1516" t="s">
        <v>1527</v>
      </c>
      <c r="B1516">
        <v>5</v>
      </c>
      <c r="C1516">
        <v>2585641118</v>
      </c>
      <c r="D1516">
        <v>1</v>
      </c>
      <c r="E1516">
        <v>1263136193</v>
      </c>
      <c r="F1516">
        <v>2234750657</v>
      </c>
      <c r="G1516">
        <v>2</v>
      </c>
      <c r="H1516">
        <v>5</v>
      </c>
      <c r="I1516">
        <v>1</v>
      </c>
      <c r="J1516">
        <v>2.7</v>
      </c>
      <c r="K1516" t="s">
        <v>1268</v>
      </c>
    </row>
    <row r="1517" spans="1:11" x14ac:dyDescent="0.35">
      <c r="A1517" t="s">
        <v>1528</v>
      </c>
      <c r="B1517">
        <v>5</v>
      </c>
      <c r="C1517">
        <v>2156735403</v>
      </c>
      <c r="D1517">
        <v>1</v>
      </c>
      <c r="E1517">
        <v>1480929083</v>
      </c>
      <c r="F1517">
        <v>1803140131</v>
      </c>
      <c r="G1517">
        <v>2</v>
      </c>
      <c r="H1517">
        <v>5</v>
      </c>
      <c r="I1517">
        <v>1</v>
      </c>
      <c r="J1517">
        <v>2.7</v>
      </c>
      <c r="K1517" t="s">
        <v>1268</v>
      </c>
    </row>
    <row r="1518" spans="1:11" x14ac:dyDescent="0.35">
      <c r="A1518" t="s">
        <v>1529</v>
      </c>
      <c r="B1518">
        <v>5</v>
      </c>
      <c r="C1518">
        <v>4404904338</v>
      </c>
      <c r="D1518">
        <v>1</v>
      </c>
      <c r="E1518">
        <v>2162775845</v>
      </c>
      <c r="F1518">
        <v>1669017542</v>
      </c>
      <c r="G1518">
        <v>2</v>
      </c>
      <c r="H1518">
        <v>5</v>
      </c>
      <c r="I1518">
        <v>1</v>
      </c>
      <c r="J1518">
        <v>2.7</v>
      </c>
      <c r="K1518" t="s">
        <v>1268</v>
      </c>
    </row>
    <row r="1519" spans="1:11" x14ac:dyDescent="0.35">
      <c r="A1519" t="s">
        <v>1530</v>
      </c>
      <c r="B1519">
        <v>5</v>
      </c>
      <c r="C1519">
        <v>6869163249</v>
      </c>
      <c r="D1519">
        <v>1</v>
      </c>
      <c r="E1519">
        <v>1727138026</v>
      </c>
      <c r="F1519">
        <v>1687017159</v>
      </c>
      <c r="G1519">
        <v>2</v>
      </c>
      <c r="H1519">
        <v>5</v>
      </c>
      <c r="I1519">
        <v>1</v>
      </c>
      <c r="J1519">
        <v>2.7</v>
      </c>
      <c r="K1519" t="s">
        <v>1268</v>
      </c>
    </row>
    <row r="1520" spans="1:11" x14ac:dyDescent="0.35">
      <c r="A1520" t="s">
        <v>1531</v>
      </c>
      <c r="B1520">
        <v>5</v>
      </c>
      <c r="C1520">
        <v>1937384354</v>
      </c>
      <c r="D1520">
        <v>1</v>
      </c>
      <c r="E1520">
        <v>703267629.5</v>
      </c>
      <c r="F1520">
        <v>1576743301</v>
      </c>
      <c r="G1520">
        <v>2</v>
      </c>
      <c r="H1520">
        <v>5</v>
      </c>
      <c r="I1520">
        <v>1</v>
      </c>
      <c r="J1520">
        <v>2.7</v>
      </c>
      <c r="K1520" t="s">
        <v>1268</v>
      </c>
    </row>
    <row r="1521" spans="1:11" x14ac:dyDescent="0.35">
      <c r="A1521" t="s">
        <v>1532</v>
      </c>
      <c r="B1521">
        <v>5</v>
      </c>
      <c r="C1521">
        <v>2532307922</v>
      </c>
      <c r="D1521">
        <v>1</v>
      </c>
      <c r="E1521">
        <v>998161636.60000002</v>
      </c>
      <c r="F1521">
        <v>1553837555</v>
      </c>
      <c r="G1521">
        <v>2</v>
      </c>
      <c r="H1521">
        <v>5</v>
      </c>
      <c r="I1521">
        <v>1</v>
      </c>
      <c r="J1521">
        <v>2.7</v>
      </c>
      <c r="K1521" t="s">
        <v>1268</v>
      </c>
    </row>
    <row r="1522" spans="1:11" x14ac:dyDescent="0.35">
      <c r="A1522" t="s">
        <v>1533</v>
      </c>
      <c r="B1522">
        <v>5</v>
      </c>
      <c r="C1522">
        <v>12080864581</v>
      </c>
      <c r="D1522">
        <v>1</v>
      </c>
      <c r="E1522">
        <v>8392615956</v>
      </c>
      <c r="F1522">
        <v>16593960715</v>
      </c>
      <c r="G1522">
        <v>2</v>
      </c>
      <c r="H1522">
        <v>5</v>
      </c>
      <c r="I1522">
        <v>1</v>
      </c>
      <c r="J1522">
        <v>2.7</v>
      </c>
      <c r="K1522" t="s">
        <v>1268</v>
      </c>
    </row>
    <row r="1523" spans="1:11" x14ac:dyDescent="0.35">
      <c r="A1523" t="s">
        <v>1534</v>
      </c>
      <c r="B1523">
        <v>5</v>
      </c>
      <c r="C1523">
        <v>29941463719</v>
      </c>
      <c r="D1523">
        <v>1</v>
      </c>
      <c r="E1523">
        <v>9659727648</v>
      </c>
      <c r="F1523">
        <v>20587614727</v>
      </c>
      <c r="G1523">
        <v>2</v>
      </c>
      <c r="H1523">
        <v>5</v>
      </c>
      <c r="I1523">
        <v>1</v>
      </c>
      <c r="J1523">
        <v>2.7</v>
      </c>
      <c r="K1523" t="s">
        <v>1268</v>
      </c>
    </row>
    <row r="1524" spans="1:11" x14ac:dyDescent="0.35">
      <c r="A1524" t="s">
        <v>1535</v>
      </c>
      <c r="B1524">
        <v>5</v>
      </c>
      <c r="C1524">
        <v>57815999584</v>
      </c>
      <c r="D1524">
        <v>1</v>
      </c>
      <c r="E1524">
        <v>15429263473</v>
      </c>
      <c r="F1524">
        <v>33408799758</v>
      </c>
      <c r="G1524">
        <v>2</v>
      </c>
      <c r="H1524">
        <v>5</v>
      </c>
      <c r="I1524">
        <v>1</v>
      </c>
      <c r="J1524">
        <v>2.7</v>
      </c>
      <c r="K1524" t="s">
        <v>1268</v>
      </c>
    </row>
    <row r="1525" spans="1:11" x14ac:dyDescent="0.35">
      <c r="A1525" t="s">
        <v>1536</v>
      </c>
      <c r="B1525">
        <v>5</v>
      </c>
      <c r="C1525">
        <v>10182403521</v>
      </c>
      <c r="D1525">
        <v>1</v>
      </c>
      <c r="E1525">
        <v>11316914269</v>
      </c>
      <c r="F1525">
        <v>27112217560</v>
      </c>
      <c r="G1525">
        <v>2</v>
      </c>
      <c r="H1525">
        <v>5</v>
      </c>
      <c r="I1525">
        <v>1</v>
      </c>
      <c r="J1525">
        <v>2.7</v>
      </c>
      <c r="K1525" t="s">
        <v>1268</v>
      </c>
    </row>
    <row r="1526" spans="1:11" x14ac:dyDescent="0.35">
      <c r="A1526" t="s">
        <v>1537</v>
      </c>
      <c r="B1526">
        <v>5</v>
      </c>
      <c r="C1526">
        <v>21490421189</v>
      </c>
      <c r="D1526">
        <v>0.8</v>
      </c>
      <c r="E1526">
        <v>28558037084</v>
      </c>
      <c r="F1526">
        <v>23427602849</v>
      </c>
      <c r="G1526">
        <v>2</v>
      </c>
      <c r="H1526">
        <v>5</v>
      </c>
      <c r="I1526">
        <v>1</v>
      </c>
      <c r="J1526">
        <v>2.7</v>
      </c>
      <c r="K1526" t="s">
        <v>1268</v>
      </c>
    </row>
    <row r="1527" spans="1:11" x14ac:dyDescent="0.35">
      <c r="A1527" t="s">
        <v>1538</v>
      </c>
      <c r="B1527">
        <v>5</v>
      </c>
      <c r="C1527">
        <v>6558781081</v>
      </c>
      <c r="D1527">
        <v>0.8</v>
      </c>
      <c r="E1527">
        <v>6941318054</v>
      </c>
      <c r="F1527">
        <v>15143430486</v>
      </c>
      <c r="G1527">
        <v>2</v>
      </c>
      <c r="H1527">
        <v>5</v>
      </c>
      <c r="I1527">
        <v>1</v>
      </c>
      <c r="J1527">
        <v>2.7</v>
      </c>
      <c r="K1527" t="s">
        <v>1268</v>
      </c>
    </row>
    <row r="1528" spans="1:11" x14ac:dyDescent="0.35">
      <c r="A1528" t="s">
        <v>1539</v>
      </c>
      <c r="B1528">
        <v>5</v>
      </c>
      <c r="C1528">
        <v>4531311097</v>
      </c>
      <c r="D1528">
        <v>0.8</v>
      </c>
      <c r="E1528">
        <v>5551600875</v>
      </c>
      <c r="F1528">
        <v>6679128408</v>
      </c>
      <c r="G1528">
        <v>2</v>
      </c>
      <c r="H1528">
        <v>5</v>
      </c>
      <c r="I1528">
        <v>1</v>
      </c>
      <c r="J1528">
        <v>2.7</v>
      </c>
      <c r="K1528" t="s">
        <v>1268</v>
      </c>
    </row>
    <row r="1529" spans="1:11" x14ac:dyDescent="0.35">
      <c r="A1529" t="s">
        <v>1540</v>
      </c>
      <c r="B1529">
        <v>5</v>
      </c>
      <c r="C1529">
        <v>17733363435</v>
      </c>
      <c r="D1529">
        <v>1</v>
      </c>
      <c r="E1529">
        <v>3079472601</v>
      </c>
      <c r="F1529">
        <v>8153602607</v>
      </c>
      <c r="G1529">
        <v>2</v>
      </c>
      <c r="H1529">
        <v>5</v>
      </c>
      <c r="I1529">
        <v>1</v>
      </c>
      <c r="J1529">
        <v>2.7</v>
      </c>
      <c r="K1529" t="s">
        <v>1268</v>
      </c>
    </row>
    <row r="1530" spans="1:11" x14ac:dyDescent="0.35">
      <c r="A1530" t="s">
        <v>1541</v>
      </c>
      <c r="B1530">
        <v>5</v>
      </c>
      <c r="C1530">
        <v>12214548214</v>
      </c>
      <c r="D1530">
        <v>1</v>
      </c>
      <c r="E1530">
        <v>4668451071</v>
      </c>
      <c r="F1530">
        <v>11014414507</v>
      </c>
      <c r="G1530">
        <v>2</v>
      </c>
      <c r="H1530">
        <v>5</v>
      </c>
      <c r="I1530">
        <v>1</v>
      </c>
      <c r="J1530">
        <v>2.7</v>
      </c>
      <c r="K1530" t="s">
        <v>1268</v>
      </c>
    </row>
    <row r="1531" spans="1:11" x14ac:dyDescent="0.35">
      <c r="A1531" t="s">
        <v>1542</v>
      </c>
      <c r="B1531">
        <v>5</v>
      </c>
      <c r="C1531">
        <v>3993100799</v>
      </c>
      <c r="D1531">
        <v>1</v>
      </c>
      <c r="E1531">
        <v>2247290686</v>
      </c>
      <c r="F1531">
        <v>4563724427</v>
      </c>
      <c r="G1531">
        <v>2</v>
      </c>
      <c r="H1531">
        <v>5</v>
      </c>
      <c r="I1531">
        <v>1</v>
      </c>
      <c r="J1531">
        <v>2.7</v>
      </c>
      <c r="K1531" t="s">
        <v>1268</v>
      </c>
    </row>
    <row r="1532" spans="1:11" x14ac:dyDescent="0.35">
      <c r="A1532" t="s">
        <v>1543</v>
      </c>
      <c r="B1532">
        <v>5</v>
      </c>
      <c r="C1532">
        <v>13656073828</v>
      </c>
      <c r="D1532">
        <v>1</v>
      </c>
      <c r="E1532">
        <v>2627090249</v>
      </c>
      <c r="F1532">
        <v>5999046796</v>
      </c>
      <c r="G1532">
        <v>2</v>
      </c>
      <c r="H1532">
        <v>5</v>
      </c>
      <c r="I1532">
        <v>1</v>
      </c>
      <c r="J1532">
        <v>2.7</v>
      </c>
      <c r="K1532" t="s">
        <v>1268</v>
      </c>
    </row>
    <row r="1533" spans="1:11" x14ac:dyDescent="0.35">
      <c r="A1533" t="s">
        <v>1544</v>
      </c>
      <c r="B1533">
        <v>5</v>
      </c>
      <c r="C1533">
        <v>3646965998</v>
      </c>
      <c r="D1533">
        <v>0.8</v>
      </c>
      <c r="E1533">
        <v>5763245951</v>
      </c>
      <c r="F1533">
        <v>3919436249</v>
      </c>
      <c r="G1533">
        <v>2</v>
      </c>
      <c r="H1533">
        <v>5</v>
      </c>
      <c r="I1533">
        <v>1</v>
      </c>
      <c r="J1533">
        <v>2.7</v>
      </c>
      <c r="K1533" t="s">
        <v>1268</v>
      </c>
    </row>
    <row r="1534" spans="1:11" x14ac:dyDescent="0.35">
      <c r="A1534" t="s">
        <v>1545</v>
      </c>
      <c r="B1534">
        <v>5</v>
      </c>
      <c r="C1534">
        <v>3208338038</v>
      </c>
      <c r="D1534">
        <v>0.8</v>
      </c>
      <c r="E1534">
        <v>3435618315</v>
      </c>
      <c r="F1534">
        <v>4284472774</v>
      </c>
      <c r="G1534">
        <v>2</v>
      </c>
      <c r="H1534">
        <v>5</v>
      </c>
      <c r="I1534">
        <v>1</v>
      </c>
      <c r="J1534">
        <v>2.7</v>
      </c>
      <c r="K1534" t="s">
        <v>1268</v>
      </c>
    </row>
    <row r="1535" spans="1:11" x14ac:dyDescent="0.35">
      <c r="A1535" t="s">
        <v>1546</v>
      </c>
      <c r="B1535">
        <v>5</v>
      </c>
      <c r="C1535">
        <v>3859564052</v>
      </c>
      <c r="D1535">
        <v>1</v>
      </c>
      <c r="E1535">
        <v>1472999295</v>
      </c>
      <c r="F1535">
        <v>3433804470</v>
      </c>
      <c r="G1535">
        <v>2</v>
      </c>
      <c r="H1535">
        <v>5</v>
      </c>
      <c r="I1535">
        <v>1</v>
      </c>
      <c r="J1535">
        <v>2.7</v>
      </c>
      <c r="K1535" t="s">
        <v>1268</v>
      </c>
    </row>
    <row r="1536" spans="1:11" x14ac:dyDescent="0.35">
      <c r="A1536" t="s">
        <v>1547</v>
      </c>
      <c r="B1536">
        <v>5</v>
      </c>
      <c r="C1536">
        <v>4312069615</v>
      </c>
      <c r="D1536">
        <v>1</v>
      </c>
      <c r="E1536">
        <v>1563212037</v>
      </c>
      <c r="F1536">
        <v>3348272522</v>
      </c>
      <c r="G1536">
        <v>2</v>
      </c>
      <c r="H1536">
        <v>5</v>
      </c>
      <c r="I1536">
        <v>1</v>
      </c>
      <c r="J1536">
        <v>2.7</v>
      </c>
      <c r="K1536" t="s">
        <v>1268</v>
      </c>
    </row>
    <row r="1537" spans="1:11" x14ac:dyDescent="0.35">
      <c r="A1537" t="s">
        <v>1548</v>
      </c>
      <c r="B1537">
        <v>5</v>
      </c>
      <c r="C1537">
        <v>4227969276</v>
      </c>
      <c r="D1537">
        <v>1</v>
      </c>
      <c r="E1537">
        <v>3170499313</v>
      </c>
      <c r="F1537">
        <v>3331219150</v>
      </c>
      <c r="G1537">
        <v>2</v>
      </c>
      <c r="H1537">
        <v>5</v>
      </c>
      <c r="I1537">
        <v>1</v>
      </c>
      <c r="J1537">
        <v>2.7</v>
      </c>
      <c r="K1537" t="s">
        <v>1268</v>
      </c>
    </row>
    <row r="1538" spans="1:11" x14ac:dyDescent="0.35">
      <c r="A1538" t="s">
        <v>1549</v>
      </c>
      <c r="B1538">
        <v>5</v>
      </c>
      <c r="C1538">
        <v>7676509316</v>
      </c>
      <c r="D1538">
        <v>1</v>
      </c>
      <c r="E1538">
        <v>3383656207</v>
      </c>
      <c r="F1538">
        <v>2830212050</v>
      </c>
      <c r="G1538">
        <v>2</v>
      </c>
      <c r="H1538">
        <v>5</v>
      </c>
      <c r="I1538">
        <v>1</v>
      </c>
      <c r="J1538">
        <v>2.7</v>
      </c>
      <c r="K1538" t="s">
        <v>1268</v>
      </c>
    </row>
    <row r="1539" spans="1:11" x14ac:dyDescent="0.35">
      <c r="A1539" t="s">
        <v>1550</v>
      </c>
      <c r="B1539">
        <v>5</v>
      </c>
      <c r="C1539">
        <v>2600177778</v>
      </c>
      <c r="D1539">
        <v>1</v>
      </c>
      <c r="E1539">
        <v>901977795.60000002</v>
      </c>
      <c r="F1539">
        <v>2255716491</v>
      </c>
      <c r="G1539">
        <v>2</v>
      </c>
      <c r="H1539">
        <v>5</v>
      </c>
      <c r="I1539">
        <v>1</v>
      </c>
      <c r="J1539">
        <v>2.7</v>
      </c>
      <c r="K1539" t="s">
        <v>1268</v>
      </c>
    </row>
    <row r="1540" spans="1:11" x14ac:dyDescent="0.35">
      <c r="A1540" t="s">
        <v>1551</v>
      </c>
      <c r="B1540">
        <v>5</v>
      </c>
      <c r="C1540">
        <v>1498333162</v>
      </c>
      <c r="D1540">
        <v>1</v>
      </c>
      <c r="E1540">
        <v>1279239128</v>
      </c>
      <c r="F1540">
        <v>2427105802</v>
      </c>
      <c r="G1540">
        <v>2</v>
      </c>
      <c r="H1540">
        <v>5</v>
      </c>
      <c r="I1540">
        <v>1</v>
      </c>
      <c r="J1540">
        <v>2.7</v>
      </c>
      <c r="K1540" t="s">
        <v>1268</v>
      </c>
    </row>
    <row r="1541" spans="1:11" x14ac:dyDescent="0.35">
      <c r="A1541" t="s">
        <v>1552</v>
      </c>
      <c r="B1541">
        <v>5</v>
      </c>
      <c r="C1541">
        <v>6564402956</v>
      </c>
      <c r="D1541">
        <v>1</v>
      </c>
      <c r="E1541">
        <v>1293882140</v>
      </c>
      <c r="F1541">
        <v>2425594171</v>
      </c>
      <c r="G1541">
        <v>2</v>
      </c>
      <c r="H1541">
        <v>5</v>
      </c>
      <c r="I1541">
        <v>1</v>
      </c>
      <c r="J1541">
        <v>2.7</v>
      </c>
      <c r="K1541" t="s">
        <v>1268</v>
      </c>
    </row>
    <row r="1542" spans="1:11" x14ac:dyDescent="0.35">
      <c r="A1542" t="s">
        <v>1553</v>
      </c>
      <c r="B1542">
        <v>5</v>
      </c>
      <c r="C1542">
        <v>1560678050</v>
      </c>
      <c r="D1542">
        <v>1</v>
      </c>
      <c r="E1542">
        <v>1152912577</v>
      </c>
      <c r="F1542">
        <v>2375727133</v>
      </c>
      <c r="G1542">
        <v>2</v>
      </c>
      <c r="H1542">
        <v>5</v>
      </c>
      <c r="I1542">
        <v>1</v>
      </c>
      <c r="J1542">
        <v>2.7</v>
      </c>
      <c r="K1542" t="s">
        <v>1268</v>
      </c>
    </row>
    <row r="1543" spans="1:11" x14ac:dyDescent="0.35">
      <c r="A1543" t="s">
        <v>1554</v>
      </c>
      <c r="B1543">
        <v>5</v>
      </c>
      <c r="C1543">
        <v>7396231512</v>
      </c>
      <c r="D1543">
        <v>1</v>
      </c>
      <c r="E1543">
        <v>4934296136</v>
      </c>
      <c r="F1543">
        <v>2332508894</v>
      </c>
      <c r="G1543">
        <v>2</v>
      </c>
      <c r="H1543">
        <v>5</v>
      </c>
      <c r="I1543">
        <v>1</v>
      </c>
      <c r="J1543">
        <v>2.7</v>
      </c>
      <c r="K1543" t="s">
        <v>1268</v>
      </c>
    </row>
    <row r="1544" spans="1:11" x14ac:dyDescent="0.35">
      <c r="A1544" t="s">
        <v>1555</v>
      </c>
      <c r="B1544">
        <v>5</v>
      </c>
      <c r="C1544">
        <v>26141731.16</v>
      </c>
      <c r="D1544">
        <v>0.8</v>
      </c>
      <c r="E1544">
        <v>57536948.030000001</v>
      </c>
      <c r="F1544">
        <v>-33743923.700000003</v>
      </c>
      <c r="G1544">
        <v>2</v>
      </c>
      <c r="H1544">
        <v>3</v>
      </c>
      <c r="I1544">
        <v>4</v>
      </c>
      <c r="J1544">
        <v>2.7</v>
      </c>
      <c r="K1544" t="s">
        <v>1268</v>
      </c>
    </row>
    <row r="1545" spans="1:11" x14ac:dyDescent="0.35">
      <c r="A1545" t="s">
        <v>1556</v>
      </c>
      <c r="B1545">
        <v>5</v>
      </c>
      <c r="C1545">
        <v>24281398.300000001</v>
      </c>
      <c r="D1545">
        <v>0.8</v>
      </c>
      <c r="E1545">
        <v>102228769.90000001</v>
      </c>
      <c r="F1545">
        <v>-19180248.199999999</v>
      </c>
      <c r="G1545">
        <v>2</v>
      </c>
      <c r="H1545">
        <v>3</v>
      </c>
      <c r="I1545">
        <v>4</v>
      </c>
      <c r="J1545">
        <v>2.7</v>
      </c>
      <c r="K1545" t="s">
        <v>1268</v>
      </c>
    </row>
    <row r="1546" spans="1:11" x14ac:dyDescent="0.35">
      <c r="A1546" t="s">
        <v>1557</v>
      </c>
      <c r="B1546">
        <v>5</v>
      </c>
      <c r="C1546">
        <v>124545382.5</v>
      </c>
      <c r="D1546">
        <v>1</v>
      </c>
      <c r="E1546">
        <v>87188710.060000002</v>
      </c>
      <c r="F1546">
        <v>-24328265.100000001</v>
      </c>
      <c r="G1546">
        <v>2</v>
      </c>
      <c r="H1546">
        <v>3</v>
      </c>
      <c r="I1546">
        <v>4</v>
      </c>
      <c r="J1546">
        <v>2.7</v>
      </c>
      <c r="K1546" t="s">
        <v>1268</v>
      </c>
    </row>
    <row r="1547" spans="1:11" x14ac:dyDescent="0.35">
      <c r="A1547" t="s">
        <v>1558</v>
      </c>
      <c r="B1547">
        <v>5</v>
      </c>
      <c r="C1547">
        <v>10254623.880000001</v>
      </c>
      <c r="D1547">
        <v>0.8</v>
      </c>
      <c r="E1547">
        <v>57186886.829999998</v>
      </c>
      <c r="F1547">
        <v>-23918785.600000001</v>
      </c>
      <c r="G1547">
        <v>2</v>
      </c>
      <c r="H1547">
        <v>3</v>
      </c>
      <c r="I1547">
        <v>4</v>
      </c>
      <c r="J1547">
        <v>2.7</v>
      </c>
      <c r="K1547" t="s">
        <v>1268</v>
      </c>
    </row>
    <row r="1548" spans="1:11" x14ac:dyDescent="0.35">
      <c r="A1548" t="s">
        <v>1559</v>
      </c>
      <c r="B1548">
        <v>5</v>
      </c>
      <c r="C1548">
        <v>151247596.69999999</v>
      </c>
      <c r="D1548">
        <v>1</v>
      </c>
      <c r="E1548">
        <v>53586492.810000002</v>
      </c>
      <c r="F1548">
        <v>-8953450.4000000004</v>
      </c>
      <c r="G1548">
        <v>2</v>
      </c>
      <c r="H1548">
        <v>3</v>
      </c>
      <c r="I1548">
        <v>4</v>
      </c>
      <c r="J1548">
        <v>2.7</v>
      </c>
      <c r="K1548" t="s">
        <v>1268</v>
      </c>
    </row>
    <row r="1549" spans="1:11" x14ac:dyDescent="0.35">
      <c r="A1549" t="s">
        <v>1560</v>
      </c>
      <c r="B1549">
        <v>5</v>
      </c>
      <c r="C1549">
        <v>128189128.7</v>
      </c>
      <c r="D1549">
        <v>1</v>
      </c>
      <c r="E1549">
        <v>90643219.790000007</v>
      </c>
      <c r="F1549">
        <v>-14535671.6</v>
      </c>
      <c r="G1549">
        <v>2</v>
      </c>
      <c r="H1549">
        <v>3</v>
      </c>
      <c r="I1549">
        <v>4</v>
      </c>
      <c r="J1549">
        <v>2.7</v>
      </c>
      <c r="K1549" t="s">
        <v>1268</v>
      </c>
    </row>
    <row r="1550" spans="1:11" x14ac:dyDescent="0.35">
      <c r="A1550" t="s">
        <v>1561</v>
      </c>
      <c r="B1550">
        <v>5</v>
      </c>
      <c r="C1550">
        <v>24620654.34</v>
      </c>
      <c r="D1550">
        <v>0.6</v>
      </c>
      <c r="E1550">
        <v>31786216.120000001</v>
      </c>
      <c r="F1550">
        <v>4096329.4</v>
      </c>
      <c r="G1550">
        <v>3</v>
      </c>
      <c r="H1550">
        <v>2</v>
      </c>
      <c r="I1550">
        <v>3</v>
      </c>
      <c r="J1550">
        <v>2.7</v>
      </c>
      <c r="K1550" t="s">
        <v>1268</v>
      </c>
    </row>
    <row r="1551" spans="1:11" x14ac:dyDescent="0.35">
      <c r="A1551" t="s">
        <v>1562</v>
      </c>
      <c r="B1551">
        <v>5</v>
      </c>
      <c r="C1551">
        <v>12867079.619999999</v>
      </c>
      <c r="D1551">
        <v>0.6</v>
      </c>
      <c r="E1551">
        <v>44027325.380000003</v>
      </c>
      <c r="F1551">
        <v>6732029.2000000002</v>
      </c>
      <c r="G1551">
        <v>3</v>
      </c>
      <c r="H1551">
        <v>2</v>
      </c>
      <c r="I1551">
        <v>3</v>
      </c>
      <c r="J1551">
        <v>2.7</v>
      </c>
      <c r="K1551" t="s">
        <v>1268</v>
      </c>
    </row>
    <row r="1552" spans="1:11" x14ac:dyDescent="0.35">
      <c r="A1552" t="s">
        <v>1563</v>
      </c>
      <c r="B1552">
        <v>5</v>
      </c>
      <c r="C1552">
        <v>-6748055.8200000003</v>
      </c>
      <c r="D1552">
        <v>0.6</v>
      </c>
      <c r="E1552">
        <v>31159358.960000001</v>
      </c>
      <c r="F1552">
        <v>2219440.7999999998</v>
      </c>
      <c r="G1552">
        <v>3</v>
      </c>
      <c r="H1552">
        <v>2</v>
      </c>
      <c r="I1552">
        <v>3</v>
      </c>
      <c r="J1552">
        <v>2.7</v>
      </c>
      <c r="K1552" t="s">
        <v>1268</v>
      </c>
    </row>
    <row r="1553" spans="1:11" x14ac:dyDescent="0.35">
      <c r="A1553" t="s">
        <v>1564</v>
      </c>
      <c r="B1553">
        <v>5</v>
      </c>
      <c r="C1553">
        <v>20714670.539999999</v>
      </c>
      <c r="D1553">
        <v>0.8</v>
      </c>
      <c r="E1553">
        <v>42414689.409999996</v>
      </c>
      <c r="F1553">
        <v>-3114488.4</v>
      </c>
      <c r="G1553">
        <v>3</v>
      </c>
      <c r="H1553">
        <v>2</v>
      </c>
      <c r="I1553">
        <v>3</v>
      </c>
      <c r="J1553">
        <v>2.7</v>
      </c>
      <c r="K1553" t="s">
        <v>1268</v>
      </c>
    </row>
    <row r="1554" spans="1:11" x14ac:dyDescent="0.35">
      <c r="A1554" t="s">
        <v>1565</v>
      </c>
      <c r="B1554">
        <v>5</v>
      </c>
      <c r="C1554">
        <v>69109064.560000002</v>
      </c>
      <c r="D1554">
        <v>1</v>
      </c>
      <c r="E1554">
        <v>46620025.460000001</v>
      </c>
      <c r="F1554">
        <v>-6209894.0999999996</v>
      </c>
      <c r="G1554">
        <v>2</v>
      </c>
      <c r="H1554">
        <v>3</v>
      </c>
      <c r="I1554">
        <v>4</v>
      </c>
      <c r="J1554">
        <v>2.7</v>
      </c>
      <c r="K1554" t="s">
        <v>1268</v>
      </c>
    </row>
    <row r="1555" spans="1:11" x14ac:dyDescent="0.35">
      <c r="A1555" t="s">
        <v>1566</v>
      </c>
      <c r="B1555">
        <v>5</v>
      </c>
      <c r="C1555">
        <v>3435318.4</v>
      </c>
      <c r="D1555">
        <v>0.6</v>
      </c>
      <c r="E1555">
        <v>28671428.559999999</v>
      </c>
      <c r="F1555">
        <v>222185.8</v>
      </c>
      <c r="G1555">
        <v>3</v>
      </c>
      <c r="H1555">
        <v>2</v>
      </c>
      <c r="I1555">
        <v>3</v>
      </c>
      <c r="J1555">
        <v>2.7</v>
      </c>
      <c r="K1555" t="s">
        <v>1268</v>
      </c>
    </row>
    <row r="1556" spans="1:11" x14ac:dyDescent="0.35">
      <c r="A1556" t="s">
        <v>1567</v>
      </c>
      <c r="B1556">
        <v>5</v>
      </c>
      <c r="C1556">
        <v>-7370400.3799999999</v>
      </c>
      <c r="D1556">
        <v>0.6</v>
      </c>
      <c r="E1556">
        <v>24951699.91</v>
      </c>
      <c r="F1556">
        <v>-487155</v>
      </c>
      <c r="G1556">
        <v>3</v>
      </c>
      <c r="H1556">
        <v>2</v>
      </c>
      <c r="I1556">
        <v>3</v>
      </c>
      <c r="J1556">
        <v>2.7</v>
      </c>
      <c r="K1556" t="s">
        <v>1268</v>
      </c>
    </row>
    <row r="1557" spans="1:11" x14ac:dyDescent="0.35">
      <c r="A1557" t="s">
        <v>1568</v>
      </c>
      <c r="B1557">
        <v>5</v>
      </c>
      <c r="C1557">
        <v>12599050.24</v>
      </c>
      <c r="D1557">
        <v>0.8</v>
      </c>
      <c r="E1557">
        <v>67780123.109999999</v>
      </c>
      <c r="F1557">
        <v>-48225533.799999997</v>
      </c>
      <c r="G1557">
        <v>2</v>
      </c>
      <c r="H1557">
        <v>3</v>
      </c>
      <c r="I1557">
        <v>4</v>
      </c>
      <c r="J1557">
        <v>2.7</v>
      </c>
      <c r="K1557" t="s">
        <v>1268</v>
      </c>
    </row>
    <row r="1558" spans="1:11" x14ac:dyDescent="0.35">
      <c r="A1558" t="s">
        <v>1569</v>
      </c>
      <c r="B1558">
        <v>5</v>
      </c>
      <c r="C1558">
        <v>226957604</v>
      </c>
      <c r="D1558">
        <v>1</v>
      </c>
      <c r="E1558">
        <v>108944629.90000001</v>
      </c>
      <c r="F1558">
        <v>-49995359.700000003</v>
      </c>
      <c r="G1558">
        <v>2</v>
      </c>
      <c r="H1558">
        <v>3</v>
      </c>
      <c r="I1558">
        <v>4</v>
      </c>
      <c r="J1558">
        <v>2.7</v>
      </c>
      <c r="K1558" t="s">
        <v>1268</v>
      </c>
    </row>
    <row r="1559" spans="1:11" x14ac:dyDescent="0.35">
      <c r="A1559" t="s">
        <v>1570</v>
      </c>
      <c r="B1559">
        <v>5</v>
      </c>
      <c r="C1559">
        <v>46380350.840000004</v>
      </c>
      <c r="D1559">
        <v>0.8</v>
      </c>
      <c r="E1559">
        <v>55803078.539999999</v>
      </c>
      <c r="F1559">
        <v>-50670306.5</v>
      </c>
      <c r="G1559">
        <v>2</v>
      </c>
      <c r="H1559">
        <v>3</v>
      </c>
      <c r="I1559">
        <v>4</v>
      </c>
      <c r="J1559">
        <v>2.7</v>
      </c>
      <c r="K1559" t="s">
        <v>1268</v>
      </c>
    </row>
    <row r="1560" spans="1:11" x14ac:dyDescent="0.35">
      <c r="A1560" t="s">
        <v>1571</v>
      </c>
      <c r="B1560">
        <v>5</v>
      </c>
      <c r="C1560">
        <v>36681426.460000001</v>
      </c>
      <c r="D1560">
        <v>0.8</v>
      </c>
      <c r="E1560">
        <v>69506160.090000004</v>
      </c>
      <c r="F1560">
        <v>-56783981.899999999</v>
      </c>
      <c r="G1560">
        <v>2</v>
      </c>
      <c r="H1560">
        <v>3</v>
      </c>
      <c r="I1560">
        <v>4</v>
      </c>
      <c r="J1560">
        <v>2.7</v>
      </c>
      <c r="K1560" t="s">
        <v>1268</v>
      </c>
    </row>
    <row r="1561" spans="1:11" x14ac:dyDescent="0.35">
      <c r="A1561" t="s">
        <v>1572</v>
      </c>
      <c r="B1561">
        <v>5</v>
      </c>
      <c r="C1561">
        <v>63515355.32</v>
      </c>
      <c r="D1561">
        <v>0.8</v>
      </c>
      <c r="E1561">
        <v>103618090.3</v>
      </c>
      <c r="F1561">
        <v>-57092101.5</v>
      </c>
      <c r="G1561">
        <v>2</v>
      </c>
      <c r="H1561">
        <v>3</v>
      </c>
      <c r="I1561">
        <v>4</v>
      </c>
      <c r="J1561">
        <v>2.7</v>
      </c>
      <c r="K1561" t="s">
        <v>1268</v>
      </c>
    </row>
    <row r="1562" spans="1:11" x14ac:dyDescent="0.35">
      <c r="A1562" t="s">
        <v>1573</v>
      </c>
      <c r="B1562">
        <v>5</v>
      </c>
      <c r="C1562">
        <v>69268325.560000002</v>
      </c>
      <c r="D1562">
        <v>0.8</v>
      </c>
      <c r="E1562">
        <v>70755600.620000005</v>
      </c>
      <c r="F1562">
        <v>-60236365.799999997</v>
      </c>
      <c r="G1562">
        <v>2</v>
      </c>
      <c r="H1562">
        <v>3</v>
      </c>
      <c r="I1562">
        <v>4</v>
      </c>
      <c r="J1562">
        <v>2.7</v>
      </c>
      <c r="K1562" t="s">
        <v>1268</v>
      </c>
    </row>
    <row r="1563" spans="1:11" x14ac:dyDescent="0.35">
      <c r="A1563" t="s">
        <v>1574</v>
      </c>
      <c r="B1563">
        <v>5</v>
      </c>
      <c r="C1563">
        <v>104636466.59999999</v>
      </c>
      <c r="D1563">
        <v>1</v>
      </c>
      <c r="E1563">
        <v>65204806.920000002</v>
      </c>
      <c r="F1563">
        <v>-71075124.400000006</v>
      </c>
      <c r="G1563">
        <v>2</v>
      </c>
      <c r="H1563">
        <v>3</v>
      </c>
      <c r="I1563">
        <v>4</v>
      </c>
      <c r="J1563">
        <v>2.7</v>
      </c>
      <c r="K1563" t="s">
        <v>1268</v>
      </c>
    </row>
    <row r="1564" spans="1:11" x14ac:dyDescent="0.35">
      <c r="A1564" t="s">
        <v>1575</v>
      </c>
      <c r="B1564">
        <v>5</v>
      </c>
      <c r="C1564">
        <v>89962669.480000004</v>
      </c>
      <c r="D1564">
        <v>1</v>
      </c>
      <c r="E1564">
        <v>51815793.170000002</v>
      </c>
      <c r="F1564">
        <v>-67871179.700000003</v>
      </c>
      <c r="G1564">
        <v>2</v>
      </c>
      <c r="H1564">
        <v>3</v>
      </c>
      <c r="I1564">
        <v>4</v>
      </c>
      <c r="J1564">
        <v>2.7</v>
      </c>
      <c r="K1564" t="s">
        <v>1268</v>
      </c>
    </row>
    <row r="1565" spans="1:11" x14ac:dyDescent="0.35">
      <c r="A1565" t="s">
        <v>1576</v>
      </c>
      <c r="B1565">
        <v>5</v>
      </c>
      <c r="C1565">
        <v>192676630.80000001</v>
      </c>
      <c r="D1565">
        <v>1</v>
      </c>
      <c r="E1565">
        <v>65244798.869999997</v>
      </c>
      <c r="F1565">
        <v>-62982528.5</v>
      </c>
      <c r="G1565">
        <v>2</v>
      </c>
      <c r="H1565">
        <v>3</v>
      </c>
      <c r="I1565">
        <v>4</v>
      </c>
      <c r="J1565">
        <v>2.7</v>
      </c>
      <c r="K1565" t="s">
        <v>1268</v>
      </c>
    </row>
    <row r="1566" spans="1:11" x14ac:dyDescent="0.35">
      <c r="A1566" t="s">
        <v>1577</v>
      </c>
      <c r="B1566">
        <v>5</v>
      </c>
      <c r="C1566">
        <v>3327058421</v>
      </c>
      <c r="D1566">
        <v>1</v>
      </c>
      <c r="E1566">
        <v>130324435.5</v>
      </c>
      <c r="F1566">
        <v>-86966061</v>
      </c>
      <c r="G1566">
        <v>1</v>
      </c>
      <c r="H1566">
        <v>4</v>
      </c>
      <c r="I1566">
        <v>5</v>
      </c>
      <c r="J1566">
        <v>2.7</v>
      </c>
      <c r="K1566" t="s">
        <v>1268</v>
      </c>
    </row>
    <row r="1567" spans="1:11" x14ac:dyDescent="0.35">
      <c r="A1567" t="s">
        <v>1578</v>
      </c>
      <c r="B1567">
        <v>5</v>
      </c>
      <c r="C1567">
        <v>352913560.30000001</v>
      </c>
      <c r="D1567">
        <v>1</v>
      </c>
      <c r="E1567">
        <v>140191317.90000001</v>
      </c>
      <c r="F1567">
        <v>-82869921.200000003</v>
      </c>
      <c r="G1567">
        <v>1</v>
      </c>
      <c r="H1567">
        <v>4</v>
      </c>
      <c r="I1567">
        <v>5</v>
      </c>
      <c r="J1567">
        <v>2.7</v>
      </c>
      <c r="K1567" t="s">
        <v>1268</v>
      </c>
    </row>
    <row r="1568" spans="1:11" x14ac:dyDescent="0.35">
      <c r="A1568" t="s">
        <v>1579</v>
      </c>
      <c r="B1568">
        <v>5</v>
      </c>
      <c r="C1568">
        <v>768649796.39999998</v>
      </c>
      <c r="D1568">
        <v>1</v>
      </c>
      <c r="E1568">
        <v>169536555.30000001</v>
      </c>
      <c r="F1568">
        <v>-92614089</v>
      </c>
      <c r="G1568">
        <v>1</v>
      </c>
      <c r="H1568">
        <v>4</v>
      </c>
      <c r="I1568">
        <v>5</v>
      </c>
      <c r="J1568">
        <v>2.7</v>
      </c>
      <c r="K1568" t="s">
        <v>1268</v>
      </c>
    </row>
    <row r="1569" spans="1:11" x14ac:dyDescent="0.35">
      <c r="A1569" t="s">
        <v>1580</v>
      </c>
      <c r="B1569">
        <v>5</v>
      </c>
      <c r="C1569">
        <v>669613260.79999995</v>
      </c>
      <c r="D1569">
        <v>1</v>
      </c>
      <c r="E1569">
        <v>201590094.80000001</v>
      </c>
      <c r="F1569">
        <v>-98834668.799999997</v>
      </c>
      <c r="G1569">
        <v>1</v>
      </c>
      <c r="H1569">
        <v>4</v>
      </c>
      <c r="I1569">
        <v>5</v>
      </c>
      <c r="J1569">
        <v>2.7</v>
      </c>
      <c r="K1569" t="s">
        <v>1268</v>
      </c>
    </row>
    <row r="1570" spans="1:11" x14ac:dyDescent="0.35">
      <c r="A1570" t="s">
        <v>1581</v>
      </c>
      <c r="B1570">
        <v>5</v>
      </c>
      <c r="C1570">
        <v>483726140.30000001</v>
      </c>
      <c r="D1570">
        <v>1</v>
      </c>
      <c r="E1570">
        <v>251338180.90000001</v>
      </c>
      <c r="F1570">
        <v>-102029532.5</v>
      </c>
      <c r="G1570">
        <v>1</v>
      </c>
      <c r="H1570">
        <v>4</v>
      </c>
      <c r="I1570">
        <v>5</v>
      </c>
      <c r="J1570">
        <v>2.7</v>
      </c>
      <c r="K1570" t="s">
        <v>1268</v>
      </c>
    </row>
    <row r="1571" spans="1:11" x14ac:dyDescent="0.35">
      <c r="A1571" t="s">
        <v>1582</v>
      </c>
      <c r="B1571">
        <v>5</v>
      </c>
      <c r="C1571">
        <v>245697640</v>
      </c>
      <c r="D1571">
        <v>1</v>
      </c>
      <c r="E1571">
        <v>113029487.09999999</v>
      </c>
      <c r="F1571">
        <v>-113143134</v>
      </c>
      <c r="G1571">
        <v>1</v>
      </c>
      <c r="H1571">
        <v>4</v>
      </c>
      <c r="I1571">
        <v>5</v>
      </c>
      <c r="J1571">
        <v>2.7</v>
      </c>
      <c r="K1571" t="s">
        <v>1268</v>
      </c>
    </row>
    <row r="1572" spans="1:11" x14ac:dyDescent="0.35">
      <c r="A1572" t="s">
        <v>1583</v>
      </c>
      <c r="B1572">
        <v>5</v>
      </c>
      <c r="C1572">
        <v>965802125.20000005</v>
      </c>
      <c r="D1572">
        <v>1</v>
      </c>
      <c r="E1572">
        <v>248128193.30000001</v>
      </c>
      <c r="F1572">
        <v>-158261102.30000001</v>
      </c>
      <c r="G1572">
        <v>1</v>
      </c>
      <c r="H1572">
        <v>4</v>
      </c>
      <c r="I1572">
        <v>5</v>
      </c>
      <c r="J1572">
        <v>2.7</v>
      </c>
      <c r="K1572" t="s">
        <v>1268</v>
      </c>
    </row>
    <row r="1573" spans="1:11" x14ac:dyDescent="0.35">
      <c r="A1573" t="s">
        <v>1584</v>
      </c>
      <c r="B1573">
        <v>5</v>
      </c>
      <c r="C1573">
        <v>213059245.40000001</v>
      </c>
      <c r="D1573">
        <v>1</v>
      </c>
      <c r="E1573">
        <v>129346403.59999999</v>
      </c>
      <c r="F1573">
        <v>-156379595.90000001</v>
      </c>
      <c r="G1573">
        <v>1</v>
      </c>
      <c r="H1573">
        <v>4</v>
      </c>
      <c r="I1573">
        <v>5</v>
      </c>
      <c r="J1573">
        <v>2.7</v>
      </c>
      <c r="K1573" t="s">
        <v>1268</v>
      </c>
    </row>
    <row r="1574" spans="1:11" x14ac:dyDescent="0.35">
      <c r="A1574" t="s">
        <v>1585</v>
      </c>
      <c r="B1574">
        <v>5</v>
      </c>
      <c r="C1574">
        <v>191729744.30000001</v>
      </c>
      <c r="D1574">
        <v>1</v>
      </c>
      <c r="E1574">
        <v>179587393.09999999</v>
      </c>
      <c r="F1574">
        <v>-181867242.90000001</v>
      </c>
      <c r="G1574">
        <v>1</v>
      </c>
      <c r="H1574">
        <v>4</v>
      </c>
      <c r="I1574">
        <v>5</v>
      </c>
      <c r="J1574">
        <v>2.7</v>
      </c>
      <c r="K1574" t="s">
        <v>1268</v>
      </c>
    </row>
    <row r="1575" spans="1:11" x14ac:dyDescent="0.35">
      <c r="A1575" t="s">
        <v>1586</v>
      </c>
      <c r="B1575">
        <v>5</v>
      </c>
      <c r="C1575">
        <v>436078219.80000001</v>
      </c>
      <c r="D1575">
        <v>1</v>
      </c>
      <c r="E1575">
        <v>217962878.59999999</v>
      </c>
      <c r="F1575">
        <v>-169456974.5</v>
      </c>
      <c r="G1575">
        <v>1</v>
      </c>
      <c r="H1575">
        <v>4</v>
      </c>
      <c r="I1575">
        <v>5</v>
      </c>
      <c r="J1575">
        <v>2.7</v>
      </c>
      <c r="K1575" t="s">
        <v>1268</v>
      </c>
    </row>
    <row r="1576" spans="1:11" x14ac:dyDescent="0.35">
      <c r="A1576" t="s">
        <v>1587</v>
      </c>
      <c r="B1576">
        <v>5</v>
      </c>
      <c r="C1576">
        <v>325535805.60000002</v>
      </c>
      <c r="D1576">
        <v>1</v>
      </c>
      <c r="E1576">
        <v>112205997.7</v>
      </c>
      <c r="F1576">
        <v>-182716778.59999999</v>
      </c>
      <c r="G1576">
        <v>1</v>
      </c>
      <c r="H1576">
        <v>4</v>
      </c>
      <c r="I1576">
        <v>5</v>
      </c>
      <c r="J1576">
        <v>2.7</v>
      </c>
      <c r="K1576" t="s">
        <v>1268</v>
      </c>
    </row>
    <row r="1577" spans="1:11" x14ac:dyDescent="0.35">
      <c r="A1577" t="s">
        <v>1588</v>
      </c>
      <c r="B1577">
        <v>5</v>
      </c>
      <c r="C1577">
        <v>117533369.40000001</v>
      </c>
      <c r="D1577">
        <v>1</v>
      </c>
      <c r="E1577">
        <v>116367606.09999999</v>
      </c>
      <c r="F1577">
        <v>-202249135.30000001</v>
      </c>
      <c r="G1577">
        <v>1</v>
      </c>
      <c r="H1577">
        <v>4</v>
      </c>
      <c r="I1577">
        <v>5</v>
      </c>
      <c r="J1577">
        <v>2.7</v>
      </c>
      <c r="K1577" t="s">
        <v>1268</v>
      </c>
    </row>
    <row r="1578" spans="1:11" x14ac:dyDescent="0.35">
      <c r="A1578" t="s">
        <v>1589</v>
      </c>
      <c r="B1578">
        <v>5</v>
      </c>
      <c r="C1578">
        <v>194897579.69999999</v>
      </c>
      <c r="D1578">
        <v>1</v>
      </c>
      <c r="E1578">
        <v>135181465.90000001</v>
      </c>
      <c r="F1578">
        <v>-254000664.40000001</v>
      </c>
      <c r="G1578">
        <v>1</v>
      </c>
      <c r="H1578">
        <v>4</v>
      </c>
      <c r="I1578">
        <v>5</v>
      </c>
      <c r="J1578">
        <v>2.7</v>
      </c>
      <c r="K1578" t="s">
        <v>1268</v>
      </c>
    </row>
    <row r="1579" spans="1:11" x14ac:dyDescent="0.35">
      <c r="A1579" t="s">
        <v>1590</v>
      </c>
      <c r="B1579">
        <v>5</v>
      </c>
      <c r="C1579">
        <v>624285190.20000005</v>
      </c>
      <c r="D1579">
        <v>1</v>
      </c>
      <c r="E1579">
        <v>155872441</v>
      </c>
      <c r="F1579">
        <v>-216201822.30000001</v>
      </c>
      <c r="G1579">
        <v>1</v>
      </c>
      <c r="H1579">
        <v>4</v>
      </c>
      <c r="I1579">
        <v>5</v>
      </c>
      <c r="J1579">
        <v>2.7</v>
      </c>
      <c r="K1579" t="s">
        <v>1268</v>
      </c>
    </row>
    <row r="1580" spans="1:11" x14ac:dyDescent="0.35">
      <c r="A1580" t="s">
        <v>1591</v>
      </c>
      <c r="B1580">
        <v>5</v>
      </c>
      <c r="C1580">
        <v>554806462.89999998</v>
      </c>
      <c r="D1580">
        <v>1</v>
      </c>
      <c r="E1580">
        <v>276785190.19999999</v>
      </c>
      <c r="F1580">
        <v>-316190805.69999999</v>
      </c>
      <c r="G1580">
        <v>1</v>
      </c>
      <c r="H1580">
        <v>4</v>
      </c>
      <c r="I1580">
        <v>5</v>
      </c>
      <c r="J1580">
        <v>2.7</v>
      </c>
      <c r="K1580" t="s">
        <v>1268</v>
      </c>
    </row>
    <row r="1581" spans="1:11" x14ac:dyDescent="0.35">
      <c r="A1581" t="s">
        <v>1592</v>
      </c>
      <c r="B1581">
        <v>5</v>
      </c>
      <c r="C1581">
        <v>469423616.69999999</v>
      </c>
      <c r="D1581">
        <v>1</v>
      </c>
      <c r="E1581">
        <v>257172839.90000001</v>
      </c>
      <c r="F1581">
        <v>-261705039.80000001</v>
      </c>
      <c r="G1581">
        <v>1</v>
      </c>
      <c r="H1581">
        <v>4</v>
      </c>
      <c r="I1581">
        <v>5</v>
      </c>
      <c r="J1581">
        <v>2.7</v>
      </c>
      <c r="K1581" t="s">
        <v>1268</v>
      </c>
    </row>
    <row r="1582" spans="1:11" x14ac:dyDescent="0.35">
      <c r="A1582" t="s">
        <v>1593</v>
      </c>
      <c r="B1582">
        <v>5</v>
      </c>
      <c r="C1582">
        <v>660157133.70000005</v>
      </c>
      <c r="D1582">
        <v>1</v>
      </c>
      <c r="E1582">
        <v>263926905.09999999</v>
      </c>
      <c r="F1582">
        <v>-268761876.80000001</v>
      </c>
      <c r="G1582">
        <v>1</v>
      </c>
      <c r="H1582">
        <v>4</v>
      </c>
      <c r="I1582">
        <v>5</v>
      </c>
      <c r="J1582">
        <v>2.7</v>
      </c>
      <c r="K1582" t="s">
        <v>1268</v>
      </c>
    </row>
    <row r="1583" spans="1:11" x14ac:dyDescent="0.35">
      <c r="A1583" t="s">
        <v>1594</v>
      </c>
      <c r="B1583">
        <v>5</v>
      </c>
      <c r="C1583">
        <v>537247671.89999998</v>
      </c>
      <c r="D1583">
        <v>1</v>
      </c>
      <c r="E1583">
        <v>120637134.09999999</v>
      </c>
      <c r="F1583">
        <v>-269219685.69999999</v>
      </c>
      <c r="G1583">
        <v>1</v>
      </c>
      <c r="H1583">
        <v>4</v>
      </c>
      <c r="I1583">
        <v>5</v>
      </c>
      <c r="J1583">
        <v>2.7</v>
      </c>
      <c r="K1583" t="s">
        <v>1268</v>
      </c>
    </row>
    <row r="1584" spans="1:11" x14ac:dyDescent="0.35">
      <c r="A1584" t="s">
        <v>1595</v>
      </c>
      <c r="B1584">
        <v>5</v>
      </c>
      <c r="C1584">
        <v>741556251.10000002</v>
      </c>
      <c r="D1584">
        <v>1</v>
      </c>
      <c r="E1584">
        <v>281451619.39999998</v>
      </c>
      <c r="F1584">
        <v>-391881574.30000001</v>
      </c>
      <c r="G1584">
        <v>1</v>
      </c>
      <c r="H1584">
        <v>4</v>
      </c>
      <c r="I1584">
        <v>5</v>
      </c>
      <c r="J1584">
        <v>2.7</v>
      </c>
      <c r="K1584" t="s">
        <v>1268</v>
      </c>
    </row>
    <row r="1585" spans="1:11" x14ac:dyDescent="0.35">
      <c r="A1585" t="s">
        <v>1596</v>
      </c>
      <c r="B1585">
        <v>5</v>
      </c>
      <c r="C1585">
        <v>574768440.29999995</v>
      </c>
      <c r="D1585">
        <v>1</v>
      </c>
      <c r="E1585">
        <v>267628258.40000001</v>
      </c>
      <c r="F1585">
        <v>-339642175.10000002</v>
      </c>
      <c r="G1585">
        <v>1</v>
      </c>
      <c r="H1585">
        <v>4</v>
      </c>
      <c r="I1585">
        <v>5</v>
      </c>
      <c r="J1585">
        <v>2.7</v>
      </c>
      <c r="K1585" t="s">
        <v>1268</v>
      </c>
    </row>
    <row r="1586" spans="1:11" x14ac:dyDescent="0.35">
      <c r="A1586" t="s">
        <v>1597</v>
      </c>
      <c r="B1586">
        <v>5</v>
      </c>
      <c r="C1586">
        <v>585629189.5</v>
      </c>
      <c r="D1586">
        <v>1</v>
      </c>
      <c r="E1586">
        <v>267882051.40000001</v>
      </c>
      <c r="F1586">
        <v>-347046935.69999999</v>
      </c>
      <c r="G1586">
        <v>1</v>
      </c>
      <c r="H1586">
        <v>4</v>
      </c>
      <c r="I1586">
        <v>5</v>
      </c>
      <c r="J1586">
        <v>2.7</v>
      </c>
      <c r="K1586" t="s">
        <v>1268</v>
      </c>
    </row>
    <row r="1587" spans="1:11" x14ac:dyDescent="0.35">
      <c r="A1587" t="s">
        <v>1598</v>
      </c>
      <c r="B1587">
        <v>5</v>
      </c>
      <c r="C1587">
        <v>622203020</v>
      </c>
      <c r="D1587">
        <v>1</v>
      </c>
      <c r="E1587">
        <v>323015453.30000001</v>
      </c>
      <c r="F1587">
        <v>-697877678.60000002</v>
      </c>
      <c r="G1587">
        <v>1</v>
      </c>
      <c r="H1587">
        <v>4</v>
      </c>
      <c r="I1587">
        <v>5</v>
      </c>
      <c r="J1587">
        <v>2.7</v>
      </c>
      <c r="K1587" t="s">
        <v>1268</v>
      </c>
    </row>
    <row r="1588" spans="1:11" x14ac:dyDescent="0.35">
      <c r="A1588" t="s">
        <v>1599</v>
      </c>
      <c r="B1588">
        <v>5</v>
      </c>
      <c r="C1588">
        <v>298334798</v>
      </c>
      <c r="D1588">
        <v>1</v>
      </c>
      <c r="E1588">
        <v>226547586.80000001</v>
      </c>
      <c r="F1588">
        <v>-451899880</v>
      </c>
      <c r="G1588">
        <v>1</v>
      </c>
      <c r="H1588">
        <v>4</v>
      </c>
      <c r="I1588">
        <v>5</v>
      </c>
      <c r="J1588">
        <v>2.7</v>
      </c>
      <c r="K1588" t="s">
        <v>1268</v>
      </c>
    </row>
    <row r="1589" spans="1:11" x14ac:dyDescent="0.35">
      <c r="A1589" t="s">
        <v>1600</v>
      </c>
      <c r="B1589">
        <v>5</v>
      </c>
      <c r="C1589">
        <v>2028478078</v>
      </c>
      <c r="D1589">
        <v>1</v>
      </c>
      <c r="E1589">
        <v>321215275.80000001</v>
      </c>
      <c r="F1589">
        <v>-576262028</v>
      </c>
      <c r="G1589">
        <v>1</v>
      </c>
      <c r="H1589">
        <v>4</v>
      </c>
      <c r="I1589">
        <v>5</v>
      </c>
      <c r="J1589">
        <v>2.7</v>
      </c>
      <c r="K1589" t="s">
        <v>1268</v>
      </c>
    </row>
    <row r="1590" spans="1:11" x14ac:dyDescent="0.35">
      <c r="A1590" t="s">
        <v>1601</v>
      </c>
      <c r="B1590">
        <v>5</v>
      </c>
      <c r="C1590">
        <v>343325531.39999998</v>
      </c>
      <c r="D1590">
        <v>1</v>
      </c>
      <c r="E1590">
        <v>274042714.80000001</v>
      </c>
      <c r="F1590">
        <v>-501645577.39999998</v>
      </c>
      <c r="G1590">
        <v>1</v>
      </c>
      <c r="H1590">
        <v>4</v>
      </c>
      <c r="I1590">
        <v>5</v>
      </c>
      <c r="J1590">
        <v>2.7</v>
      </c>
      <c r="K1590" t="s">
        <v>1268</v>
      </c>
    </row>
    <row r="1591" spans="1:11" x14ac:dyDescent="0.35">
      <c r="A1591" t="s">
        <v>1602</v>
      </c>
      <c r="B1591">
        <v>5</v>
      </c>
      <c r="C1591">
        <v>36079001.020000003</v>
      </c>
      <c r="D1591">
        <v>1</v>
      </c>
      <c r="E1591">
        <v>45253861.799999997</v>
      </c>
      <c r="F1591">
        <v>-111114706</v>
      </c>
      <c r="G1591">
        <v>2</v>
      </c>
      <c r="H1591">
        <v>2</v>
      </c>
      <c r="I1591">
        <v>5</v>
      </c>
      <c r="J1591">
        <v>2.6</v>
      </c>
      <c r="K1591" t="s">
        <v>1268</v>
      </c>
    </row>
    <row r="1592" spans="1:11" x14ac:dyDescent="0.35">
      <c r="A1592" t="s">
        <v>1603</v>
      </c>
      <c r="B1592">
        <v>5</v>
      </c>
      <c r="C1592">
        <v>41525705.219999999</v>
      </c>
      <c r="D1592">
        <v>0.8</v>
      </c>
      <c r="E1592">
        <v>35908220.490000002</v>
      </c>
      <c r="F1592">
        <v>-84195832.900000006</v>
      </c>
      <c r="G1592">
        <v>2</v>
      </c>
      <c r="H1592">
        <v>2</v>
      </c>
      <c r="I1592">
        <v>5</v>
      </c>
      <c r="J1592">
        <v>2.6</v>
      </c>
      <c r="K1592" t="s">
        <v>1268</v>
      </c>
    </row>
    <row r="1593" spans="1:11" x14ac:dyDescent="0.35">
      <c r="A1593" t="s">
        <v>1604</v>
      </c>
      <c r="B1593">
        <v>5</v>
      </c>
      <c r="C1593">
        <v>31717977.34</v>
      </c>
      <c r="D1593">
        <v>0.8</v>
      </c>
      <c r="E1593">
        <v>40502059.380000003</v>
      </c>
      <c r="F1593">
        <v>-81059420.900000006</v>
      </c>
      <c r="G1593">
        <v>2</v>
      </c>
      <c r="H1593">
        <v>2</v>
      </c>
      <c r="I1593">
        <v>5</v>
      </c>
      <c r="J1593">
        <v>2.6</v>
      </c>
      <c r="K1593" t="s">
        <v>1268</v>
      </c>
    </row>
    <row r="1594" spans="1:11" x14ac:dyDescent="0.35">
      <c r="A1594" t="s">
        <v>1605</v>
      </c>
      <c r="B1594">
        <v>5</v>
      </c>
      <c r="C1594">
        <v>133611888.7</v>
      </c>
      <c r="D1594">
        <v>1</v>
      </c>
      <c r="E1594">
        <v>35172821.560000002</v>
      </c>
      <c r="F1594">
        <v>-81345445.299999997</v>
      </c>
      <c r="G1594">
        <v>2</v>
      </c>
      <c r="H1594">
        <v>2</v>
      </c>
      <c r="I1594">
        <v>5</v>
      </c>
      <c r="J1594">
        <v>2.6</v>
      </c>
      <c r="K1594" t="s">
        <v>1268</v>
      </c>
    </row>
    <row r="1595" spans="1:11" x14ac:dyDescent="0.35">
      <c r="A1595" t="s">
        <v>1606</v>
      </c>
      <c r="B1595">
        <v>5</v>
      </c>
      <c r="C1595">
        <v>3956504.88</v>
      </c>
      <c r="D1595">
        <v>0.8</v>
      </c>
      <c r="E1595">
        <v>7052002.227</v>
      </c>
      <c r="F1595">
        <v>-6627646.2999999998</v>
      </c>
      <c r="G1595">
        <v>3</v>
      </c>
      <c r="H1595">
        <v>1</v>
      </c>
      <c r="I1595">
        <v>4</v>
      </c>
      <c r="J1595">
        <v>2.6</v>
      </c>
      <c r="K1595" t="s">
        <v>1268</v>
      </c>
    </row>
    <row r="1596" spans="1:11" x14ac:dyDescent="0.35">
      <c r="A1596" t="s">
        <v>1607</v>
      </c>
      <c r="B1596">
        <v>5</v>
      </c>
      <c r="C1596">
        <v>-1263179.54</v>
      </c>
      <c r="D1596">
        <v>0.6</v>
      </c>
      <c r="E1596">
        <v>2446373.8679999998</v>
      </c>
      <c r="F1596">
        <v>-5289039.2</v>
      </c>
      <c r="G1596">
        <v>3</v>
      </c>
      <c r="H1596">
        <v>1</v>
      </c>
      <c r="I1596">
        <v>4</v>
      </c>
      <c r="J1596">
        <v>2.6</v>
      </c>
      <c r="K1596" t="s">
        <v>1268</v>
      </c>
    </row>
    <row r="1597" spans="1:11" x14ac:dyDescent="0.35">
      <c r="A1597" t="s">
        <v>1608</v>
      </c>
      <c r="B1597">
        <v>5</v>
      </c>
      <c r="C1597">
        <v>3108125.08</v>
      </c>
      <c r="D1597">
        <v>0.6</v>
      </c>
      <c r="E1597">
        <v>10044175.76</v>
      </c>
      <c r="F1597">
        <v>-15965000.199999999</v>
      </c>
      <c r="G1597">
        <v>3</v>
      </c>
      <c r="H1597">
        <v>1</v>
      </c>
      <c r="I1597">
        <v>4</v>
      </c>
      <c r="J1597">
        <v>2.6</v>
      </c>
      <c r="K1597" t="s">
        <v>1268</v>
      </c>
    </row>
    <row r="1598" spans="1:11" x14ac:dyDescent="0.35">
      <c r="A1598" t="s">
        <v>1609</v>
      </c>
      <c r="B1598">
        <v>5</v>
      </c>
      <c r="C1598">
        <v>2456191.7000000002</v>
      </c>
      <c r="D1598">
        <v>0.6</v>
      </c>
      <c r="E1598">
        <v>13765747.52</v>
      </c>
      <c r="F1598">
        <v>-15366156.4</v>
      </c>
      <c r="G1598">
        <v>3</v>
      </c>
      <c r="H1598">
        <v>1</v>
      </c>
      <c r="I1598">
        <v>4</v>
      </c>
      <c r="J1598">
        <v>2.6</v>
      </c>
      <c r="K1598" t="s">
        <v>1268</v>
      </c>
    </row>
    <row r="1599" spans="1:11" x14ac:dyDescent="0.35">
      <c r="A1599" t="s">
        <v>1610</v>
      </c>
      <c r="B1599">
        <v>5</v>
      </c>
      <c r="C1599">
        <v>-3018316.04</v>
      </c>
      <c r="D1599">
        <v>0.6</v>
      </c>
      <c r="E1599">
        <v>13563533.470000001</v>
      </c>
      <c r="F1599">
        <v>-9111750.5999999996</v>
      </c>
      <c r="G1599">
        <v>3</v>
      </c>
      <c r="H1599">
        <v>1</v>
      </c>
      <c r="I1599">
        <v>4</v>
      </c>
      <c r="J1599">
        <v>2.6</v>
      </c>
      <c r="K1599" t="s">
        <v>1268</v>
      </c>
    </row>
    <row r="1600" spans="1:11" x14ac:dyDescent="0.35">
      <c r="A1600" t="s">
        <v>1611</v>
      </c>
      <c r="B1600">
        <v>5</v>
      </c>
      <c r="C1600">
        <v>5953712.4800000004</v>
      </c>
      <c r="D1600">
        <v>0.8</v>
      </c>
      <c r="E1600">
        <v>8230143.3569999998</v>
      </c>
      <c r="F1600">
        <v>-12391202.1</v>
      </c>
      <c r="G1600">
        <v>3</v>
      </c>
      <c r="H1600">
        <v>1</v>
      </c>
      <c r="I1600">
        <v>4</v>
      </c>
      <c r="J1600">
        <v>2.6</v>
      </c>
      <c r="K1600" t="s">
        <v>1268</v>
      </c>
    </row>
    <row r="1601" spans="1:11" x14ac:dyDescent="0.35">
      <c r="A1601" t="s">
        <v>1612</v>
      </c>
      <c r="B1601">
        <v>5</v>
      </c>
      <c r="C1601">
        <v>1099180.44</v>
      </c>
      <c r="D1601">
        <v>0.4</v>
      </c>
      <c r="E1601">
        <v>3198169.7990000001</v>
      </c>
      <c r="F1601">
        <v>-7788705.7000000002</v>
      </c>
      <c r="G1601">
        <v>3</v>
      </c>
      <c r="H1601">
        <v>1</v>
      </c>
      <c r="I1601">
        <v>4</v>
      </c>
      <c r="J1601">
        <v>2.6</v>
      </c>
      <c r="K1601" t="s">
        <v>1268</v>
      </c>
    </row>
    <row r="1602" spans="1:11" x14ac:dyDescent="0.35">
      <c r="A1602" t="s">
        <v>1613</v>
      </c>
      <c r="B1602">
        <v>5</v>
      </c>
      <c r="C1602">
        <v>2897303.1</v>
      </c>
      <c r="D1602">
        <v>0.6</v>
      </c>
      <c r="E1602">
        <v>8402395.9059999995</v>
      </c>
      <c r="F1602">
        <v>-8536891.6999999993</v>
      </c>
      <c r="G1602">
        <v>3</v>
      </c>
      <c r="H1602">
        <v>1</v>
      </c>
      <c r="I1602">
        <v>4</v>
      </c>
      <c r="J1602">
        <v>2.6</v>
      </c>
      <c r="K1602" t="s">
        <v>1268</v>
      </c>
    </row>
    <row r="1603" spans="1:11" x14ac:dyDescent="0.35">
      <c r="A1603" t="s">
        <v>1614</v>
      </c>
      <c r="B1603">
        <v>5</v>
      </c>
      <c r="C1603">
        <v>4952220.0199999996</v>
      </c>
      <c r="D1603">
        <v>0.6</v>
      </c>
      <c r="E1603">
        <v>11825296.029999999</v>
      </c>
      <c r="F1603">
        <v>-7104160.2999999998</v>
      </c>
      <c r="G1603">
        <v>3</v>
      </c>
      <c r="H1603">
        <v>1</v>
      </c>
      <c r="I1603">
        <v>4</v>
      </c>
      <c r="J1603">
        <v>2.6</v>
      </c>
      <c r="K1603" t="s">
        <v>1268</v>
      </c>
    </row>
    <row r="1604" spans="1:11" x14ac:dyDescent="0.35">
      <c r="A1604" t="s">
        <v>1615</v>
      </c>
      <c r="B1604">
        <v>5</v>
      </c>
      <c r="C1604">
        <v>7892173.6399999997</v>
      </c>
      <c r="D1604">
        <v>0.6</v>
      </c>
      <c r="E1604">
        <v>13811003.18</v>
      </c>
      <c r="F1604">
        <v>-23525529.800000001</v>
      </c>
      <c r="G1604">
        <v>3</v>
      </c>
      <c r="H1604">
        <v>1</v>
      </c>
      <c r="I1604">
        <v>4</v>
      </c>
      <c r="J1604">
        <v>2.6</v>
      </c>
      <c r="K1604" t="s">
        <v>1268</v>
      </c>
    </row>
    <row r="1605" spans="1:11" x14ac:dyDescent="0.35">
      <c r="A1605" t="s">
        <v>1616</v>
      </c>
      <c r="B1605">
        <v>5</v>
      </c>
      <c r="C1605">
        <v>7221016.5800000001</v>
      </c>
      <c r="D1605">
        <v>0.8</v>
      </c>
      <c r="E1605">
        <v>8051033.1900000004</v>
      </c>
      <c r="F1605">
        <v>-18544622.899999999</v>
      </c>
      <c r="G1605">
        <v>3</v>
      </c>
      <c r="H1605">
        <v>1</v>
      </c>
      <c r="I1605">
        <v>4</v>
      </c>
      <c r="J1605">
        <v>2.6</v>
      </c>
      <c r="K1605" t="s">
        <v>1268</v>
      </c>
    </row>
    <row r="1606" spans="1:11" x14ac:dyDescent="0.35">
      <c r="A1606" t="s">
        <v>1617</v>
      </c>
      <c r="B1606">
        <v>5</v>
      </c>
      <c r="C1606">
        <v>-2559156.2200000002</v>
      </c>
      <c r="D1606">
        <v>0.8</v>
      </c>
      <c r="E1606">
        <v>9528720.0859999992</v>
      </c>
      <c r="F1606">
        <v>-20398251.899999999</v>
      </c>
      <c r="G1606">
        <v>3</v>
      </c>
      <c r="H1606">
        <v>1</v>
      </c>
      <c r="I1606">
        <v>4</v>
      </c>
      <c r="J1606">
        <v>2.6</v>
      </c>
      <c r="K1606" t="s">
        <v>1268</v>
      </c>
    </row>
    <row r="1607" spans="1:11" x14ac:dyDescent="0.35">
      <c r="A1607" t="s">
        <v>1618</v>
      </c>
      <c r="B1607">
        <v>5</v>
      </c>
      <c r="C1607">
        <v>-894853.66</v>
      </c>
      <c r="D1607">
        <v>0.6</v>
      </c>
      <c r="E1607">
        <v>10332521.130000001</v>
      </c>
      <c r="F1607">
        <v>-22221473.800000001</v>
      </c>
      <c r="G1607">
        <v>3</v>
      </c>
      <c r="H1607">
        <v>1</v>
      </c>
      <c r="I1607">
        <v>4</v>
      </c>
      <c r="J1607">
        <v>2.6</v>
      </c>
      <c r="K1607" t="s">
        <v>1268</v>
      </c>
    </row>
    <row r="1608" spans="1:11" x14ac:dyDescent="0.35">
      <c r="A1608" t="s">
        <v>1619</v>
      </c>
      <c r="B1608">
        <v>5</v>
      </c>
      <c r="C1608">
        <v>564041292.10000002</v>
      </c>
      <c r="D1608">
        <v>1</v>
      </c>
      <c r="E1608">
        <v>167140142.59999999</v>
      </c>
      <c r="F1608">
        <v>180234475.40000001</v>
      </c>
      <c r="G1608">
        <v>2</v>
      </c>
      <c r="H1608">
        <v>4</v>
      </c>
      <c r="I1608">
        <v>2</v>
      </c>
      <c r="J1608">
        <v>2.6</v>
      </c>
      <c r="K1608" t="s">
        <v>1268</v>
      </c>
    </row>
    <row r="1609" spans="1:11" x14ac:dyDescent="0.35">
      <c r="A1609" t="s">
        <v>1620</v>
      </c>
      <c r="B1609">
        <v>5</v>
      </c>
      <c r="C1609">
        <v>159133668.69999999</v>
      </c>
      <c r="D1609">
        <v>1</v>
      </c>
      <c r="E1609">
        <v>113992221.59999999</v>
      </c>
      <c r="F1609">
        <v>177850532.90000001</v>
      </c>
      <c r="G1609">
        <v>2</v>
      </c>
      <c r="H1609">
        <v>4</v>
      </c>
      <c r="I1609">
        <v>2</v>
      </c>
      <c r="J1609">
        <v>2.6</v>
      </c>
      <c r="K1609" t="s">
        <v>1268</v>
      </c>
    </row>
    <row r="1610" spans="1:11" x14ac:dyDescent="0.35">
      <c r="A1610" t="s">
        <v>1621</v>
      </c>
      <c r="B1610">
        <v>5</v>
      </c>
      <c r="C1610">
        <v>105830012.7</v>
      </c>
      <c r="D1610">
        <v>0.8</v>
      </c>
      <c r="E1610">
        <v>256538874</v>
      </c>
      <c r="F1610">
        <v>177369930</v>
      </c>
      <c r="G1610">
        <v>2</v>
      </c>
      <c r="H1610">
        <v>4</v>
      </c>
      <c r="I1610">
        <v>2</v>
      </c>
      <c r="J1610">
        <v>2.6</v>
      </c>
      <c r="K1610" t="s">
        <v>1268</v>
      </c>
    </row>
    <row r="1611" spans="1:11" x14ac:dyDescent="0.35">
      <c r="A1611" t="s">
        <v>1622</v>
      </c>
      <c r="B1611">
        <v>5</v>
      </c>
      <c r="C1611">
        <v>736374330.70000005</v>
      </c>
      <c r="D1611">
        <v>1</v>
      </c>
      <c r="E1611">
        <v>131196771.7</v>
      </c>
      <c r="F1611">
        <v>182951379.40000001</v>
      </c>
      <c r="G1611">
        <v>2</v>
      </c>
      <c r="H1611">
        <v>4</v>
      </c>
      <c r="I1611">
        <v>2</v>
      </c>
      <c r="J1611">
        <v>2.6</v>
      </c>
      <c r="K1611" t="s">
        <v>1268</v>
      </c>
    </row>
    <row r="1612" spans="1:11" x14ac:dyDescent="0.35">
      <c r="A1612" t="s">
        <v>1623</v>
      </c>
      <c r="B1612">
        <v>5</v>
      </c>
      <c r="C1612">
        <v>595815331.20000005</v>
      </c>
      <c r="D1612">
        <v>1</v>
      </c>
      <c r="E1612">
        <v>248775476.59999999</v>
      </c>
      <c r="F1612">
        <v>189075287.69999999</v>
      </c>
      <c r="G1612">
        <v>2</v>
      </c>
      <c r="H1612">
        <v>4</v>
      </c>
      <c r="I1612">
        <v>2</v>
      </c>
      <c r="J1612">
        <v>2.6</v>
      </c>
      <c r="K1612" t="s">
        <v>1268</v>
      </c>
    </row>
    <row r="1613" spans="1:11" x14ac:dyDescent="0.35">
      <c r="A1613" t="s">
        <v>1624</v>
      </c>
      <c r="B1613">
        <v>5</v>
      </c>
      <c r="C1613">
        <v>400539286.69999999</v>
      </c>
      <c r="D1613">
        <v>1</v>
      </c>
      <c r="E1613">
        <v>167471060.59999999</v>
      </c>
      <c r="F1613">
        <v>183892442.80000001</v>
      </c>
      <c r="G1613">
        <v>2</v>
      </c>
      <c r="H1613">
        <v>4</v>
      </c>
      <c r="I1613">
        <v>2</v>
      </c>
      <c r="J1613">
        <v>2.6</v>
      </c>
      <c r="K1613" t="s">
        <v>1268</v>
      </c>
    </row>
    <row r="1614" spans="1:11" x14ac:dyDescent="0.35">
      <c r="A1614" t="s">
        <v>1625</v>
      </c>
      <c r="B1614">
        <v>5</v>
      </c>
      <c r="C1614">
        <v>271212065.39999998</v>
      </c>
      <c r="D1614">
        <v>0.8</v>
      </c>
      <c r="E1614">
        <v>233125687.19999999</v>
      </c>
      <c r="F1614">
        <v>198280149.40000001</v>
      </c>
      <c r="G1614">
        <v>2</v>
      </c>
      <c r="H1614">
        <v>4</v>
      </c>
      <c r="I1614">
        <v>2</v>
      </c>
      <c r="J1614">
        <v>2.6</v>
      </c>
      <c r="K1614" t="s">
        <v>1268</v>
      </c>
    </row>
    <row r="1615" spans="1:11" x14ac:dyDescent="0.35">
      <c r="A1615" t="s">
        <v>1626</v>
      </c>
      <c r="B1615">
        <v>5</v>
      </c>
      <c r="C1615">
        <v>1245320033</v>
      </c>
      <c r="D1615">
        <v>1</v>
      </c>
      <c r="E1615">
        <v>112334661.59999999</v>
      </c>
      <c r="F1615">
        <v>192100348</v>
      </c>
      <c r="G1615">
        <v>2</v>
      </c>
      <c r="H1615">
        <v>4</v>
      </c>
      <c r="I1615">
        <v>2</v>
      </c>
      <c r="J1615">
        <v>2.6</v>
      </c>
      <c r="K1615" t="s">
        <v>1268</v>
      </c>
    </row>
    <row r="1616" spans="1:11" x14ac:dyDescent="0.35">
      <c r="A1616" t="s">
        <v>1627</v>
      </c>
      <c r="B1616">
        <v>5</v>
      </c>
      <c r="C1616">
        <v>66546290.439999998</v>
      </c>
      <c r="D1616">
        <v>0.8</v>
      </c>
      <c r="E1616">
        <v>121858190.90000001</v>
      </c>
      <c r="F1616">
        <v>131036158.5</v>
      </c>
      <c r="G1616">
        <v>2</v>
      </c>
      <c r="H1616">
        <v>4</v>
      </c>
      <c r="I1616">
        <v>2</v>
      </c>
      <c r="J1616">
        <v>2.6</v>
      </c>
      <c r="K1616" t="s">
        <v>1268</v>
      </c>
    </row>
    <row r="1617" spans="1:11" x14ac:dyDescent="0.35">
      <c r="A1617" t="s">
        <v>1628</v>
      </c>
      <c r="B1617">
        <v>5</v>
      </c>
      <c r="C1617">
        <v>110687465.7</v>
      </c>
      <c r="D1617">
        <v>0.8</v>
      </c>
      <c r="E1617">
        <v>252776759.80000001</v>
      </c>
      <c r="F1617">
        <v>150915313.09999999</v>
      </c>
      <c r="G1617">
        <v>2</v>
      </c>
      <c r="H1617">
        <v>4</v>
      </c>
      <c r="I1617">
        <v>2</v>
      </c>
      <c r="J1617">
        <v>2.6</v>
      </c>
      <c r="K1617" t="s">
        <v>1268</v>
      </c>
    </row>
    <row r="1618" spans="1:11" x14ac:dyDescent="0.35">
      <c r="A1618" t="s">
        <v>1629</v>
      </c>
      <c r="B1618">
        <v>5</v>
      </c>
      <c r="C1618">
        <v>54671070.740000002</v>
      </c>
      <c r="D1618">
        <v>0.8</v>
      </c>
      <c r="E1618">
        <v>151804589.69999999</v>
      </c>
      <c r="F1618">
        <v>156340304.30000001</v>
      </c>
      <c r="G1618">
        <v>2</v>
      </c>
      <c r="H1618">
        <v>4</v>
      </c>
      <c r="I1618">
        <v>2</v>
      </c>
      <c r="J1618">
        <v>2.6</v>
      </c>
      <c r="K1618" t="s">
        <v>1268</v>
      </c>
    </row>
    <row r="1619" spans="1:11" x14ac:dyDescent="0.35">
      <c r="A1619" t="s">
        <v>1630</v>
      </c>
      <c r="B1619">
        <v>5</v>
      </c>
      <c r="C1619">
        <v>637929895.10000002</v>
      </c>
      <c r="D1619">
        <v>1</v>
      </c>
      <c r="E1619">
        <v>134918707.19999999</v>
      </c>
      <c r="F1619">
        <v>176207752.69999999</v>
      </c>
      <c r="G1619">
        <v>2</v>
      </c>
      <c r="H1619">
        <v>4</v>
      </c>
      <c r="I1619">
        <v>2</v>
      </c>
      <c r="J1619">
        <v>2.6</v>
      </c>
      <c r="K1619" t="s">
        <v>1268</v>
      </c>
    </row>
    <row r="1620" spans="1:11" x14ac:dyDescent="0.35">
      <c r="A1620" t="s">
        <v>1631</v>
      </c>
      <c r="B1620">
        <v>5</v>
      </c>
      <c r="C1620">
        <v>684991923.39999998</v>
      </c>
      <c r="D1620">
        <v>1</v>
      </c>
      <c r="E1620">
        <v>187068069.40000001</v>
      </c>
      <c r="F1620">
        <v>172585903.5</v>
      </c>
      <c r="G1620">
        <v>2</v>
      </c>
      <c r="H1620">
        <v>4</v>
      </c>
      <c r="I1620">
        <v>2</v>
      </c>
      <c r="J1620">
        <v>2.6</v>
      </c>
      <c r="K1620" t="s">
        <v>1268</v>
      </c>
    </row>
    <row r="1621" spans="1:11" x14ac:dyDescent="0.35">
      <c r="A1621" t="s">
        <v>1632</v>
      </c>
      <c r="B1621">
        <v>5</v>
      </c>
      <c r="C1621">
        <v>471280721.39999998</v>
      </c>
      <c r="D1621">
        <v>1</v>
      </c>
      <c r="E1621">
        <v>127866788</v>
      </c>
      <c r="F1621">
        <v>170978909.69999999</v>
      </c>
      <c r="G1621">
        <v>2</v>
      </c>
      <c r="H1621">
        <v>4</v>
      </c>
      <c r="I1621">
        <v>2</v>
      </c>
      <c r="J1621">
        <v>2.6</v>
      </c>
      <c r="K1621" t="s">
        <v>1268</v>
      </c>
    </row>
    <row r="1622" spans="1:11" x14ac:dyDescent="0.35">
      <c r="A1622" t="s">
        <v>1633</v>
      </c>
      <c r="B1622">
        <v>5</v>
      </c>
      <c r="C1622">
        <v>378657421.89999998</v>
      </c>
      <c r="D1622">
        <v>1</v>
      </c>
      <c r="E1622">
        <v>155788884.40000001</v>
      </c>
      <c r="F1622">
        <v>163813458.69999999</v>
      </c>
      <c r="G1622">
        <v>2</v>
      </c>
      <c r="H1622">
        <v>4</v>
      </c>
      <c r="I1622">
        <v>2</v>
      </c>
      <c r="J1622">
        <v>2.6</v>
      </c>
      <c r="K1622" t="s">
        <v>1268</v>
      </c>
    </row>
    <row r="1623" spans="1:11" x14ac:dyDescent="0.35">
      <c r="A1623" t="s">
        <v>1634</v>
      </c>
      <c r="B1623">
        <v>5</v>
      </c>
      <c r="C1623">
        <v>426468895.69999999</v>
      </c>
      <c r="D1623">
        <v>1</v>
      </c>
      <c r="E1623">
        <v>247350001.69999999</v>
      </c>
      <c r="F1623">
        <v>165574633</v>
      </c>
      <c r="G1623">
        <v>2</v>
      </c>
      <c r="H1623">
        <v>4</v>
      </c>
      <c r="I1623">
        <v>2</v>
      </c>
      <c r="J1623">
        <v>2.6</v>
      </c>
      <c r="K1623" t="s">
        <v>1268</v>
      </c>
    </row>
    <row r="1624" spans="1:11" x14ac:dyDescent="0.35">
      <c r="A1624" t="s">
        <v>1635</v>
      </c>
      <c r="B1624">
        <v>5</v>
      </c>
      <c r="C1624">
        <v>422795737.60000002</v>
      </c>
      <c r="D1624">
        <v>1</v>
      </c>
      <c r="E1624">
        <v>129959867.7</v>
      </c>
      <c r="F1624">
        <v>166185701.80000001</v>
      </c>
      <c r="G1624">
        <v>2</v>
      </c>
      <c r="H1624">
        <v>4</v>
      </c>
      <c r="I1624">
        <v>2</v>
      </c>
      <c r="J1624">
        <v>2.6</v>
      </c>
      <c r="K1624" t="s">
        <v>1268</v>
      </c>
    </row>
    <row r="1625" spans="1:11" x14ac:dyDescent="0.35">
      <c r="A1625" t="s">
        <v>1636</v>
      </c>
      <c r="B1625">
        <v>5</v>
      </c>
      <c r="C1625">
        <v>-85274091.760000005</v>
      </c>
      <c r="D1625">
        <v>0.8</v>
      </c>
      <c r="E1625">
        <v>275401630.30000001</v>
      </c>
      <c r="F1625">
        <v>27756107.300000001</v>
      </c>
      <c r="G1625">
        <v>2</v>
      </c>
      <c r="H1625">
        <v>4</v>
      </c>
      <c r="I1625">
        <v>2</v>
      </c>
      <c r="J1625">
        <v>2.6</v>
      </c>
      <c r="K1625" t="s">
        <v>1268</v>
      </c>
    </row>
    <row r="1626" spans="1:11" x14ac:dyDescent="0.35">
      <c r="A1626" t="s">
        <v>1637</v>
      </c>
      <c r="B1626">
        <v>5</v>
      </c>
      <c r="C1626">
        <v>226382322</v>
      </c>
      <c r="D1626">
        <v>0.8</v>
      </c>
      <c r="E1626">
        <v>269659910.89999998</v>
      </c>
      <c r="F1626">
        <v>31292777.800000001</v>
      </c>
      <c r="G1626">
        <v>2</v>
      </c>
      <c r="H1626">
        <v>4</v>
      </c>
      <c r="I1626">
        <v>2</v>
      </c>
      <c r="J1626">
        <v>2.6</v>
      </c>
      <c r="K1626" t="s">
        <v>1268</v>
      </c>
    </row>
    <row r="1627" spans="1:11" x14ac:dyDescent="0.35">
      <c r="A1627" t="s">
        <v>1638</v>
      </c>
      <c r="B1627">
        <v>5</v>
      </c>
      <c r="C1627">
        <v>14152196.859999999</v>
      </c>
      <c r="D1627">
        <v>0.8</v>
      </c>
      <c r="E1627">
        <v>117012096.2</v>
      </c>
      <c r="F1627">
        <v>34554249</v>
      </c>
      <c r="G1627">
        <v>2</v>
      </c>
      <c r="H1627">
        <v>4</v>
      </c>
      <c r="I1627">
        <v>2</v>
      </c>
      <c r="J1627">
        <v>2.6</v>
      </c>
      <c r="K1627" t="s">
        <v>1268</v>
      </c>
    </row>
    <row r="1628" spans="1:11" x14ac:dyDescent="0.35">
      <c r="A1628" t="s">
        <v>1639</v>
      </c>
      <c r="B1628">
        <v>5</v>
      </c>
      <c r="C1628">
        <v>169800275.40000001</v>
      </c>
      <c r="D1628">
        <v>0.8</v>
      </c>
      <c r="E1628">
        <v>176938377.69999999</v>
      </c>
      <c r="F1628">
        <v>69935144.099999994</v>
      </c>
      <c r="G1628">
        <v>2</v>
      </c>
      <c r="H1628">
        <v>4</v>
      </c>
      <c r="I1628">
        <v>2</v>
      </c>
      <c r="J1628">
        <v>2.6</v>
      </c>
      <c r="K1628" t="s">
        <v>1268</v>
      </c>
    </row>
    <row r="1629" spans="1:11" x14ac:dyDescent="0.35">
      <c r="A1629" t="s">
        <v>1640</v>
      </c>
      <c r="B1629">
        <v>5</v>
      </c>
      <c r="C1629">
        <v>2332455.6</v>
      </c>
      <c r="D1629">
        <v>0.8</v>
      </c>
      <c r="E1629">
        <v>158187235.30000001</v>
      </c>
      <c r="F1629">
        <v>70201261.400000006</v>
      </c>
      <c r="G1629">
        <v>2</v>
      </c>
      <c r="H1629">
        <v>4</v>
      </c>
      <c r="I1629">
        <v>2</v>
      </c>
      <c r="J1629">
        <v>2.6</v>
      </c>
      <c r="K1629" t="s">
        <v>1268</v>
      </c>
    </row>
    <row r="1630" spans="1:11" x14ac:dyDescent="0.35">
      <c r="A1630" t="s">
        <v>1641</v>
      </c>
      <c r="B1630">
        <v>5</v>
      </c>
      <c r="C1630">
        <v>9935130.8399999999</v>
      </c>
      <c r="D1630">
        <v>0.8</v>
      </c>
      <c r="E1630">
        <v>239547341.80000001</v>
      </c>
      <c r="F1630">
        <v>72449753.099999994</v>
      </c>
      <c r="G1630">
        <v>2</v>
      </c>
      <c r="H1630">
        <v>4</v>
      </c>
      <c r="I1630">
        <v>2</v>
      </c>
      <c r="J1630">
        <v>2.6</v>
      </c>
      <c r="K1630" t="s">
        <v>1268</v>
      </c>
    </row>
    <row r="1631" spans="1:11" x14ac:dyDescent="0.35">
      <c r="A1631" t="s">
        <v>1642</v>
      </c>
      <c r="B1631">
        <v>5</v>
      </c>
      <c r="C1631">
        <v>376393224.89999998</v>
      </c>
      <c r="D1631">
        <v>1</v>
      </c>
      <c r="E1631">
        <v>119942311.40000001</v>
      </c>
      <c r="F1631">
        <v>66271338.200000003</v>
      </c>
      <c r="G1631">
        <v>2</v>
      </c>
      <c r="H1631">
        <v>4</v>
      </c>
      <c r="I1631">
        <v>2</v>
      </c>
      <c r="J1631">
        <v>2.6</v>
      </c>
      <c r="K1631" t="s">
        <v>1268</v>
      </c>
    </row>
    <row r="1632" spans="1:11" x14ac:dyDescent="0.35">
      <c r="A1632" t="s">
        <v>1643</v>
      </c>
      <c r="B1632">
        <v>5</v>
      </c>
      <c r="C1632">
        <v>985668089.70000005</v>
      </c>
      <c r="D1632">
        <v>1</v>
      </c>
      <c r="E1632">
        <v>208347440.30000001</v>
      </c>
      <c r="F1632">
        <v>48635071</v>
      </c>
      <c r="G1632">
        <v>2</v>
      </c>
      <c r="H1632">
        <v>4</v>
      </c>
      <c r="I1632">
        <v>2</v>
      </c>
      <c r="J1632">
        <v>2.6</v>
      </c>
      <c r="K1632" t="s">
        <v>1268</v>
      </c>
    </row>
    <row r="1633" spans="1:11" x14ac:dyDescent="0.35">
      <c r="A1633" t="s">
        <v>1644</v>
      </c>
      <c r="B1633">
        <v>5</v>
      </c>
      <c r="C1633">
        <v>293210151.69999999</v>
      </c>
      <c r="D1633">
        <v>1</v>
      </c>
      <c r="E1633">
        <v>138297789</v>
      </c>
      <c r="F1633">
        <v>89580980.200000003</v>
      </c>
      <c r="G1633">
        <v>2</v>
      </c>
      <c r="H1633">
        <v>4</v>
      </c>
      <c r="I1633">
        <v>2</v>
      </c>
      <c r="J1633">
        <v>2.6</v>
      </c>
      <c r="K1633" t="s">
        <v>1268</v>
      </c>
    </row>
    <row r="1634" spans="1:11" x14ac:dyDescent="0.35">
      <c r="A1634" t="s">
        <v>1645</v>
      </c>
      <c r="B1634">
        <v>5</v>
      </c>
      <c r="C1634">
        <v>222548307.19999999</v>
      </c>
      <c r="D1634">
        <v>0.8</v>
      </c>
      <c r="E1634">
        <v>268398151.40000001</v>
      </c>
      <c r="F1634">
        <v>84398517.200000003</v>
      </c>
      <c r="G1634">
        <v>2</v>
      </c>
      <c r="H1634">
        <v>4</v>
      </c>
      <c r="I1634">
        <v>2</v>
      </c>
      <c r="J1634">
        <v>2.6</v>
      </c>
      <c r="K1634" t="s">
        <v>1268</v>
      </c>
    </row>
    <row r="1635" spans="1:11" x14ac:dyDescent="0.35">
      <c r="A1635" t="s">
        <v>1646</v>
      </c>
      <c r="B1635">
        <v>5</v>
      </c>
      <c r="C1635">
        <v>1081236830</v>
      </c>
      <c r="D1635">
        <v>1</v>
      </c>
      <c r="E1635">
        <v>297204308.30000001</v>
      </c>
      <c r="F1635">
        <v>83611920</v>
      </c>
      <c r="G1635">
        <v>2</v>
      </c>
      <c r="H1635">
        <v>4</v>
      </c>
      <c r="I1635">
        <v>2</v>
      </c>
      <c r="J1635">
        <v>2.6</v>
      </c>
      <c r="K1635" t="s">
        <v>1268</v>
      </c>
    </row>
    <row r="1636" spans="1:11" x14ac:dyDescent="0.35">
      <c r="A1636" t="s">
        <v>1647</v>
      </c>
      <c r="B1636">
        <v>5</v>
      </c>
      <c r="C1636">
        <v>1311228421</v>
      </c>
      <c r="D1636">
        <v>1</v>
      </c>
      <c r="E1636">
        <v>182436224.40000001</v>
      </c>
      <c r="F1636">
        <v>88088164</v>
      </c>
      <c r="G1636">
        <v>2</v>
      </c>
      <c r="H1636">
        <v>4</v>
      </c>
      <c r="I1636">
        <v>2</v>
      </c>
      <c r="J1636">
        <v>2.6</v>
      </c>
      <c r="K1636" t="s">
        <v>1268</v>
      </c>
    </row>
    <row r="1637" spans="1:11" x14ac:dyDescent="0.35">
      <c r="A1637" t="s">
        <v>1648</v>
      </c>
      <c r="B1637">
        <v>5</v>
      </c>
      <c r="C1637">
        <v>744371763.60000002</v>
      </c>
      <c r="D1637">
        <v>1</v>
      </c>
      <c r="E1637">
        <v>204605854.59999999</v>
      </c>
      <c r="F1637">
        <v>75145071</v>
      </c>
      <c r="G1637">
        <v>2</v>
      </c>
      <c r="H1637">
        <v>4</v>
      </c>
      <c r="I1637">
        <v>2</v>
      </c>
      <c r="J1637">
        <v>2.6</v>
      </c>
      <c r="K1637" t="s">
        <v>1268</v>
      </c>
    </row>
    <row r="1638" spans="1:11" x14ac:dyDescent="0.35">
      <c r="A1638" t="s">
        <v>1649</v>
      </c>
      <c r="B1638">
        <v>5</v>
      </c>
      <c r="C1638">
        <v>731611711.79999995</v>
      </c>
      <c r="D1638">
        <v>1</v>
      </c>
      <c r="E1638">
        <v>237179888.90000001</v>
      </c>
      <c r="F1638">
        <v>99622892.700000003</v>
      </c>
      <c r="G1638">
        <v>2</v>
      </c>
      <c r="H1638">
        <v>4</v>
      </c>
      <c r="I1638">
        <v>2</v>
      </c>
      <c r="J1638">
        <v>2.6</v>
      </c>
      <c r="K1638" t="s">
        <v>1268</v>
      </c>
    </row>
    <row r="1639" spans="1:11" x14ac:dyDescent="0.35">
      <c r="A1639" t="s">
        <v>1650</v>
      </c>
      <c r="B1639">
        <v>5</v>
      </c>
      <c r="C1639">
        <v>1677220380</v>
      </c>
      <c r="D1639">
        <v>1</v>
      </c>
      <c r="E1639">
        <v>296729727</v>
      </c>
      <c r="F1639">
        <v>101001003</v>
      </c>
      <c r="G1639">
        <v>2</v>
      </c>
      <c r="H1639">
        <v>4</v>
      </c>
      <c r="I1639">
        <v>2</v>
      </c>
      <c r="J1639">
        <v>2.6</v>
      </c>
      <c r="K1639" t="s">
        <v>1268</v>
      </c>
    </row>
    <row r="1640" spans="1:11" x14ac:dyDescent="0.35">
      <c r="A1640" t="s">
        <v>1651</v>
      </c>
      <c r="B1640">
        <v>5</v>
      </c>
      <c r="C1640">
        <v>319806451.69999999</v>
      </c>
      <c r="D1640">
        <v>1</v>
      </c>
      <c r="E1640">
        <v>250779522.69999999</v>
      </c>
      <c r="F1640">
        <v>97019715.299999997</v>
      </c>
      <c r="G1640">
        <v>2</v>
      </c>
      <c r="H1640">
        <v>4</v>
      </c>
      <c r="I1640">
        <v>2</v>
      </c>
      <c r="J1640">
        <v>2.6</v>
      </c>
      <c r="K1640" t="s">
        <v>1268</v>
      </c>
    </row>
    <row r="1641" spans="1:11" x14ac:dyDescent="0.35">
      <c r="A1641" t="s">
        <v>1652</v>
      </c>
      <c r="B1641">
        <v>5</v>
      </c>
      <c r="C1641">
        <v>211330675.19999999</v>
      </c>
      <c r="D1641">
        <v>1</v>
      </c>
      <c r="E1641">
        <v>130323407.8</v>
      </c>
      <c r="F1641">
        <v>105362610.7</v>
      </c>
      <c r="G1641">
        <v>2</v>
      </c>
      <c r="H1641">
        <v>4</v>
      </c>
      <c r="I1641">
        <v>2</v>
      </c>
      <c r="J1641">
        <v>2.6</v>
      </c>
      <c r="K1641" t="s">
        <v>1268</v>
      </c>
    </row>
    <row r="1642" spans="1:11" x14ac:dyDescent="0.35">
      <c r="A1642" t="s">
        <v>1653</v>
      </c>
      <c r="B1642">
        <v>5</v>
      </c>
      <c r="C1642">
        <v>494986104.10000002</v>
      </c>
      <c r="D1642">
        <v>1</v>
      </c>
      <c r="E1642">
        <v>182841730.59999999</v>
      </c>
      <c r="F1642">
        <v>120895991.09999999</v>
      </c>
      <c r="G1642">
        <v>2</v>
      </c>
      <c r="H1642">
        <v>4</v>
      </c>
      <c r="I1642">
        <v>2</v>
      </c>
      <c r="J1642">
        <v>2.6</v>
      </c>
      <c r="K1642" t="s">
        <v>1268</v>
      </c>
    </row>
    <row r="1643" spans="1:11" x14ac:dyDescent="0.35">
      <c r="A1643" t="s">
        <v>1654</v>
      </c>
      <c r="B1643">
        <v>5</v>
      </c>
      <c r="C1643">
        <v>185037864.40000001</v>
      </c>
      <c r="D1643">
        <v>1</v>
      </c>
      <c r="E1643">
        <v>121363114.7</v>
      </c>
      <c r="F1643">
        <v>112881664.2</v>
      </c>
      <c r="G1643">
        <v>2</v>
      </c>
      <c r="H1643">
        <v>4</v>
      </c>
      <c r="I1643">
        <v>2</v>
      </c>
      <c r="J1643">
        <v>2.6</v>
      </c>
      <c r="K1643" t="s">
        <v>1268</v>
      </c>
    </row>
    <row r="1644" spans="1:11" x14ac:dyDescent="0.35">
      <c r="A1644" t="s">
        <v>1655</v>
      </c>
      <c r="B1644">
        <v>5</v>
      </c>
      <c r="C1644">
        <v>747685696.89999998</v>
      </c>
      <c r="D1644">
        <v>1</v>
      </c>
      <c r="E1644">
        <v>185233241.30000001</v>
      </c>
      <c r="F1644">
        <v>112415331.5</v>
      </c>
      <c r="G1644">
        <v>2</v>
      </c>
      <c r="H1644">
        <v>4</v>
      </c>
      <c r="I1644">
        <v>2</v>
      </c>
      <c r="J1644">
        <v>2.6</v>
      </c>
      <c r="K1644" t="s">
        <v>1268</v>
      </c>
    </row>
    <row r="1645" spans="1:11" x14ac:dyDescent="0.35">
      <c r="A1645" t="s">
        <v>1656</v>
      </c>
      <c r="B1645">
        <v>5</v>
      </c>
      <c r="C1645">
        <v>91231702.480000004</v>
      </c>
      <c r="D1645">
        <v>0.8</v>
      </c>
      <c r="E1645">
        <v>113858156.59999999</v>
      </c>
      <c r="F1645">
        <v>111919431</v>
      </c>
      <c r="G1645">
        <v>2</v>
      </c>
      <c r="H1645">
        <v>4</v>
      </c>
      <c r="I1645">
        <v>2</v>
      </c>
      <c r="J1645">
        <v>2.6</v>
      </c>
      <c r="K1645" t="s">
        <v>1268</v>
      </c>
    </row>
    <row r="1646" spans="1:11" x14ac:dyDescent="0.35">
      <c r="A1646" t="s">
        <v>1657</v>
      </c>
      <c r="B1646">
        <v>5</v>
      </c>
      <c r="C1646">
        <v>372375396.30000001</v>
      </c>
      <c r="D1646">
        <v>1</v>
      </c>
      <c r="E1646">
        <v>143073129.59999999</v>
      </c>
      <c r="F1646">
        <v>127134272.40000001</v>
      </c>
      <c r="G1646">
        <v>2</v>
      </c>
      <c r="H1646">
        <v>4</v>
      </c>
      <c r="I1646">
        <v>2</v>
      </c>
      <c r="J1646">
        <v>2.6</v>
      </c>
      <c r="K1646" t="s">
        <v>1268</v>
      </c>
    </row>
    <row r="1647" spans="1:11" x14ac:dyDescent="0.35">
      <c r="A1647" t="s">
        <v>1658</v>
      </c>
      <c r="B1647">
        <v>5</v>
      </c>
      <c r="C1647">
        <v>15917774.539999999</v>
      </c>
      <c r="D1647">
        <v>0.8</v>
      </c>
      <c r="E1647">
        <v>327069040.39999998</v>
      </c>
      <c r="F1647">
        <v>126438067.59999999</v>
      </c>
      <c r="G1647">
        <v>2</v>
      </c>
      <c r="H1647">
        <v>4</v>
      </c>
      <c r="I1647">
        <v>2</v>
      </c>
      <c r="J1647">
        <v>2.6</v>
      </c>
      <c r="K1647" t="s">
        <v>1268</v>
      </c>
    </row>
    <row r="1648" spans="1:11" x14ac:dyDescent="0.35">
      <c r="A1648" t="s">
        <v>1659</v>
      </c>
      <c r="B1648">
        <v>5</v>
      </c>
      <c r="C1648">
        <v>17510886.699999999</v>
      </c>
      <c r="D1648">
        <v>0.8</v>
      </c>
      <c r="E1648">
        <v>34571985.560000002</v>
      </c>
      <c r="F1648">
        <v>76261486.900000006</v>
      </c>
      <c r="G1648">
        <v>3</v>
      </c>
      <c r="H1648">
        <v>2</v>
      </c>
      <c r="I1648">
        <v>2</v>
      </c>
      <c r="J1648">
        <v>2.5</v>
      </c>
      <c r="K1648" t="s">
        <v>1268</v>
      </c>
    </row>
    <row r="1649" spans="1:11" x14ac:dyDescent="0.35">
      <c r="A1649" t="s">
        <v>1660</v>
      </c>
      <c r="B1649">
        <v>5</v>
      </c>
      <c r="C1649">
        <v>26783213.140000001</v>
      </c>
      <c r="D1649">
        <v>0.8</v>
      </c>
      <c r="E1649">
        <v>44154236.460000001</v>
      </c>
      <c r="F1649">
        <v>77974532.400000006</v>
      </c>
      <c r="G1649">
        <v>3</v>
      </c>
      <c r="H1649">
        <v>2</v>
      </c>
      <c r="I1649">
        <v>2</v>
      </c>
      <c r="J1649">
        <v>2.5</v>
      </c>
      <c r="K1649" t="s">
        <v>1268</v>
      </c>
    </row>
    <row r="1650" spans="1:11" x14ac:dyDescent="0.35">
      <c r="A1650" t="s">
        <v>1661</v>
      </c>
      <c r="B1650">
        <v>5</v>
      </c>
      <c r="C1650">
        <v>31311317.879999999</v>
      </c>
      <c r="D1650">
        <v>0.8</v>
      </c>
      <c r="E1650">
        <v>32819673.34</v>
      </c>
      <c r="F1650">
        <v>82279294.700000003</v>
      </c>
      <c r="G1650">
        <v>3</v>
      </c>
      <c r="H1650">
        <v>2</v>
      </c>
      <c r="I1650">
        <v>2</v>
      </c>
      <c r="J1650">
        <v>2.5</v>
      </c>
      <c r="K1650" t="s">
        <v>1268</v>
      </c>
    </row>
    <row r="1651" spans="1:11" x14ac:dyDescent="0.35">
      <c r="A1651" t="s">
        <v>1662</v>
      </c>
      <c r="B1651">
        <v>5</v>
      </c>
      <c r="C1651">
        <v>26318132.699999999</v>
      </c>
      <c r="D1651">
        <v>0.8</v>
      </c>
      <c r="E1651">
        <v>37327583.68</v>
      </c>
      <c r="F1651">
        <v>94009736</v>
      </c>
      <c r="G1651">
        <v>3</v>
      </c>
      <c r="H1651">
        <v>2</v>
      </c>
      <c r="I1651">
        <v>2</v>
      </c>
      <c r="J1651">
        <v>2.5</v>
      </c>
      <c r="K1651" t="s">
        <v>1268</v>
      </c>
    </row>
    <row r="1652" spans="1:11" x14ac:dyDescent="0.35">
      <c r="A1652" t="s">
        <v>1663</v>
      </c>
      <c r="B1652">
        <v>5</v>
      </c>
      <c r="C1652">
        <v>18331415.719999999</v>
      </c>
      <c r="D1652">
        <v>0.6</v>
      </c>
      <c r="E1652">
        <v>43316817.509999998</v>
      </c>
      <c r="F1652">
        <v>92153437.700000003</v>
      </c>
      <c r="G1652">
        <v>3</v>
      </c>
      <c r="H1652">
        <v>2</v>
      </c>
      <c r="I1652">
        <v>2</v>
      </c>
      <c r="J1652">
        <v>2.5</v>
      </c>
      <c r="K1652" t="s">
        <v>1268</v>
      </c>
    </row>
    <row r="1653" spans="1:11" x14ac:dyDescent="0.35">
      <c r="A1653" t="s">
        <v>1664</v>
      </c>
      <c r="B1653">
        <v>5</v>
      </c>
      <c r="C1653">
        <v>25768366.739999998</v>
      </c>
      <c r="D1653">
        <v>0.6</v>
      </c>
      <c r="E1653">
        <v>35306407.960000001</v>
      </c>
      <c r="F1653">
        <v>49707645.700000003</v>
      </c>
      <c r="G1653">
        <v>3</v>
      </c>
      <c r="H1653">
        <v>2</v>
      </c>
      <c r="I1653">
        <v>2</v>
      </c>
      <c r="J1653">
        <v>2.5</v>
      </c>
      <c r="K1653" t="s">
        <v>1268</v>
      </c>
    </row>
    <row r="1654" spans="1:11" x14ac:dyDescent="0.35">
      <c r="A1654" t="s">
        <v>1665</v>
      </c>
      <c r="B1654">
        <v>5</v>
      </c>
      <c r="C1654">
        <v>-3764746.06</v>
      </c>
      <c r="D1654">
        <v>0.6</v>
      </c>
      <c r="E1654">
        <v>24969321.710000001</v>
      </c>
      <c r="F1654">
        <v>46900730.100000001</v>
      </c>
      <c r="G1654">
        <v>3</v>
      </c>
      <c r="H1654">
        <v>2</v>
      </c>
      <c r="I1654">
        <v>2</v>
      </c>
      <c r="J1654">
        <v>2.5</v>
      </c>
      <c r="K1654" t="s">
        <v>1268</v>
      </c>
    </row>
    <row r="1655" spans="1:11" x14ac:dyDescent="0.35">
      <c r="A1655" t="s">
        <v>1666</v>
      </c>
      <c r="B1655">
        <v>5</v>
      </c>
      <c r="C1655">
        <v>36218784.539999999</v>
      </c>
      <c r="D1655">
        <v>0.8</v>
      </c>
      <c r="E1655">
        <v>38328276.57</v>
      </c>
      <c r="F1655">
        <v>46118449.299999997</v>
      </c>
      <c r="G1655">
        <v>3</v>
      </c>
      <c r="H1655">
        <v>2</v>
      </c>
      <c r="I1655">
        <v>2</v>
      </c>
      <c r="J1655">
        <v>2.5</v>
      </c>
      <c r="K1655" t="s">
        <v>1268</v>
      </c>
    </row>
    <row r="1656" spans="1:11" x14ac:dyDescent="0.35">
      <c r="A1656" t="s">
        <v>1667</v>
      </c>
      <c r="B1656">
        <v>5</v>
      </c>
      <c r="C1656">
        <v>25506559.059999999</v>
      </c>
      <c r="D1656">
        <v>0.6</v>
      </c>
      <c r="E1656">
        <v>43906438.200000003</v>
      </c>
      <c r="F1656">
        <v>45585611.5</v>
      </c>
      <c r="G1656">
        <v>3</v>
      </c>
      <c r="H1656">
        <v>2</v>
      </c>
      <c r="I1656">
        <v>2</v>
      </c>
      <c r="J1656">
        <v>2.5</v>
      </c>
      <c r="K1656" t="s">
        <v>1268</v>
      </c>
    </row>
    <row r="1657" spans="1:11" x14ac:dyDescent="0.35">
      <c r="A1657" t="s">
        <v>1668</v>
      </c>
      <c r="B1657">
        <v>5</v>
      </c>
      <c r="C1657">
        <v>10975252.48</v>
      </c>
      <c r="D1657">
        <v>0.6</v>
      </c>
      <c r="E1657">
        <v>26340586.559999999</v>
      </c>
      <c r="F1657">
        <v>45336395.100000001</v>
      </c>
      <c r="G1657">
        <v>3</v>
      </c>
      <c r="H1657">
        <v>2</v>
      </c>
      <c r="I1657">
        <v>2</v>
      </c>
      <c r="J1657">
        <v>2.5</v>
      </c>
      <c r="K1657" t="s">
        <v>1268</v>
      </c>
    </row>
    <row r="1658" spans="1:11" x14ac:dyDescent="0.35">
      <c r="A1658" t="s">
        <v>1669</v>
      </c>
      <c r="B1658">
        <v>5</v>
      </c>
      <c r="C1658">
        <v>20851477.440000001</v>
      </c>
      <c r="D1658">
        <v>0.8</v>
      </c>
      <c r="E1658">
        <v>21898961.710000001</v>
      </c>
      <c r="F1658">
        <v>39588431.299999997</v>
      </c>
      <c r="G1658">
        <v>3</v>
      </c>
      <c r="H1658">
        <v>2</v>
      </c>
      <c r="I1658">
        <v>2</v>
      </c>
      <c r="J1658">
        <v>2.5</v>
      </c>
      <c r="K1658" t="s">
        <v>1268</v>
      </c>
    </row>
    <row r="1659" spans="1:11" x14ac:dyDescent="0.35">
      <c r="A1659" t="s">
        <v>1670</v>
      </c>
      <c r="B1659">
        <v>5</v>
      </c>
      <c r="C1659">
        <v>19675737.239999998</v>
      </c>
      <c r="D1659">
        <v>0.8</v>
      </c>
      <c r="E1659">
        <v>23561689.579999998</v>
      </c>
      <c r="F1659">
        <v>38500884.899999999</v>
      </c>
      <c r="G1659">
        <v>3</v>
      </c>
      <c r="H1659">
        <v>2</v>
      </c>
      <c r="I1659">
        <v>2</v>
      </c>
      <c r="J1659">
        <v>2.5</v>
      </c>
      <c r="K1659" t="s">
        <v>1268</v>
      </c>
    </row>
    <row r="1660" spans="1:11" x14ac:dyDescent="0.35">
      <c r="A1660" t="s">
        <v>1671</v>
      </c>
      <c r="B1660">
        <v>5</v>
      </c>
      <c r="C1660">
        <v>18088225.780000001</v>
      </c>
      <c r="D1660">
        <v>0.6</v>
      </c>
      <c r="E1660">
        <v>29037719.350000001</v>
      </c>
      <c r="F1660">
        <v>40698176.200000003</v>
      </c>
      <c r="G1660">
        <v>3</v>
      </c>
      <c r="H1660">
        <v>2</v>
      </c>
      <c r="I1660">
        <v>2</v>
      </c>
      <c r="J1660">
        <v>2.5</v>
      </c>
      <c r="K1660" t="s">
        <v>1268</v>
      </c>
    </row>
    <row r="1661" spans="1:11" x14ac:dyDescent="0.35">
      <c r="A1661" t="s">
        <v>1672</v>
      </c>
      <c r="B1661">
        <v>5</v>
      </c>
      <c r="C1661">
        <v>-14633696.5</v>
      </c>
      <c r="D1661">
        <v>0.6</v>
      </c>
      <c r="E1661">
        <v>37771581.829999998</v>
      </c>
      <c r="F1661">
        <v>62436057.399999999</v>
      </c>
      <c r="G1661">
        <v>3</v>
      </c>
      <c r="H1661">
        <v>2</v>
      </c>
      <c r="I1661">
        <v>2</v>
      </c>
      <c r="J1661">
        <v>2.5</v>
      </c>
      <c r="K1661" t="s">
        <v>1268</v>
      </c>
    </row>
    <row r="1662" spans="1:11" x14ac:dyDescent="0.35">
      <c r="A1662" t="s">
        <v>1673</v>
      </c>
      <c r="B1662">
        <v>5</v>
      </c>
      <c r="C1662">
        <v>37920594.960000001</v>
      </c>
      <c r="D1662">
        <v>0.8</v>
      </c>
      <c r="E1662">
        <v>42402977.990000002</v>
      </c>
      <c r="F1662">
        <v>59033055.5</v>
      </c>
      <c r="G1662">
        <v>3</v>
      </c>
      <c r="H1662">
        <v>2</v>
      </c>
      <c r="I1662">
        <v>2</v>
      </c>
      <c r="J1662">
        <v>2.5</v>
      </c>
      <c r="K1662" t="s">
        <v>1268</v>
      </c>
    </row>
    <row r="1663" spans="1:11" x14ac:dyDescent="0.35">
      <c r="A1663" t="s">
        <v>1674</v>
      </c>
      <c r="B1663">
        <v>5</v>
      </c>
      <c r="C1663">
        <v>16451348.1</v>
      </c>
      <c r="D1663">
        <v>0.6</v>
      </c>
      <c r="E1663">
        <v>25941666.640000001</v>
      </c>
      <c r="F1663">
        <v>32205444.699999999</v>
      </c>
      <c r="G1663">
        <v>3</v>
      </c>
      <c r="H1663">
        <v>2</v>
      </c>
      <c r="I1663">
        <v>2</v>
      </c>
      <c r="J1663">
        <v>2.5</v>
      </c>
      <c r="K1663" t="s">
        <v>1268</v>
      </c>
    </row>
    <row r="1664" spans="1:11" x14ac:dyDescent="0.35">
      <c r="A1664" t="s">
        <v>1675</v>
      </c>
      <c r="B1664">
        <v>5</v>
      </c>
      <c r="C1664">
        <v>27623920.859999999</v>
      </c>
      <c r="D1664">
        <v>0.8</v>
      </c>
      <c r="E1664">
        <v>36858005.700000003</v>
      </c>
      <c r="F1664">
        <v>32122973.399999999</v>
      </c>
      <c r="G1664">
        <v>3</v>
      </c>
      <c r="H1664">
        <v>2</v>
      </c>
      <c r="I1664">
        <v>2</v>
      </c>
      <c r="J1664">
        <v>2.5</v>
      </c>
      <c r="K1664" t="s">
        <v>1268</v>
      </c>
    </row>
    <row r="1665" spans="1:11" x14ac:dyDescent="0.35">
      <c r="A1665" t="s">
        <v>1676</v>
      </c>
      <c r="B1665">
        <v>5</v>
      </c>
      <c r="C1665">
        <v>6122320.54</v>
      </c>
      <c r="D1665">
        <v>0.6</v>
      </c>
      <c r="E1665">
        <v>36042010.719999999</v>
      </c>
      <c r="F1665">
        <v>35578745</v>
      </c>
      <c r="G1665">
        <v>3</v>
      </c>
      <c r="H1665">
        <v>2</v>
      </c>
      <c r="I1665">
        <v>2</v>
      </c>
      <c r="J1665">
        <v>2.5</v>
      </c>
      <c r="K1665" t="s">
        <v>1268</v>
      </c>
    </row>
    <row r="1666" spans="1:11" x14ac:dyDescent="0.35">
      <c r="A1666" t="s">
        <v>1677</v>
      </c>
      <c r="B1666">
        <v>5</v>
      </c>
      <c r="C1666">
        <v>75850993.859999999</v>
      </c>
      <c r="D1666">
        <v>0.8</v>
      </c>
      <c r="E1666">
        <v>61898905.479999997</v>
      </c>
      <c r="F1666">
        <v>21392025.699999999</v>
      </c>
      <c r="G1666">
        <v>2</v>
      </c>
      <c r="H1666">
        <v>3</v>
      </c>
      <c r="I1666">
        <v>3</v>
      </c>
      <c r="J1666">
        <v>2.5</v>
      </c>
      <c r="K1666" t="s">
        <v>1268</v>
      </c>
    </row>
    <row r="1667" spans="1:11" x14ac:dyDescent="0.35">
      <c r="A1667" t="s">
        <v>1678</v>
      </c>
      <c r="B1667">
        <v>5</v>
      </c>
      <c r="C1667">
        <v>87551546.219999999</v>
      </c>
      <c r="D1667">
        <v>1</v>
      </c>
      <c r="E1667">
        <v>68459535.319999993</v>
      </c>
      <c r="F1667">
        <v>22123680.100000001</v>
      </c>
      <c r="G1667">
        <v>2</v>
      </c>
      <c r="H1667">
        <v>3</v>
      </c>
      <c r="I1667">
        <v>3</v>
      </c>
      <c r="J1667">
        <v>2.5</v>
      </c>
      <c r="K1667" t="s">
        <v>1268</v>
      </c>
    </row>
    <row r="1668" spans="1:11" x14ac:dyDescent="0.35">
      <c r="A1668" t="s">
        <v>1679</v>
      </c>
      <c r="B1668">
        <v>5</v>
      </c>
      <c r="C1668">
        <v>197873859.59999999</v>
      </c>
      <c r="D1668">
        <v>1</v>
      </c>
      <c r="E1668">
        <v>71306927.239999995</v>
      </c>
      <c r="F1668">
        <v>24285584</v>
      </c>
      <c r="G1668">
        <v>2</v>
      </c>
      <c r="H1668">
        <v>3</v>
      </c>
      <c r="I1668">
        <v>3</v>
      </c>
      <c r="J1668">
        <v>2.5</v>
      </c>
      <c r="K1668" t="s">
        <v>1268</v>
      </c>
    </row>
    <row r="1669" spans="1:11" x14ac:dyDescent="0.35">
      <c r="A1669" t="s">
        <v>1680</v>
      </c>
      <c r="B1669">
        <v>5</v>
      </c>
      <c r="C1669">
        <v>82890874.540000007</v>
      </c>
      <c r="D1669">
        <v>1</v>
      </c>
      <c r="E1669">
        <v>47221113.649999999</v>
      </c>
      <c r="F1669">
        <v>14184867.6</v>
      </c>
      <c r="G1669">
        <v>2</v>
      </c>
      <c r="H1669">
        <v>3</v>
      </c>
      <c r="I1669">
        <v>3</v>
      </c>
      <c r="J1669">
        <v>2.5</v>
      </c>
      <c r="K1669" t="s">
        <v>1268</v>
      </c>
    </row>
    <row r="1670" spans="1:11" x14ac:dyDescent="0.35">
      <c r="A1670" t="s">
        <v>1681</v>
      </c>
      <c r="B1670">
        <v>5</v>
      </c>
      <c r="C1670">
        <v>76583457.180000007</v>
      </c>
      <c r="D1670">
        <v>1</v>
      </c>
      <c r="E1670">
        <v>99699750.459999993</v>
      </c>
      <c r="F1670">
        <v>15987135.9</v>
      </c>
      <c r="G1670">
        <v>2</v>
      </c>
      <c r="H1670">
        <v>3</v>
      </c>
      <c r="I1670">
        <v>3</v>
      </c>
      <c r="J1670">
        <v>2.5</v>
      </c>
      <c r="K1670" t="s">
        <v>1268</v>
      </c>
    </row>
    <row r="1671" spans="1:11" x14ac:dyDescent="0.35">
      <c r="A1671" t="s">
        <v>1682</v>
      </c>
      <c r="B1671">
        <v>5</v>
      </c>
      <c r="C1671">
        <v>48578825.140000001</v>
      </c>
      <c r="D1671">
        <v>0.8</v>
      </c>
      <c r="E1671">
        <v>58440954.280000001</v>
      </c>
      <c r="F1671">
        <v>11436040.300000001</v>
      </c>
      <c r="G1671">
        <v>2</v>
      </c>
      <c r="H1671">
        <v>3</v>
      </c>
      <c r="I1671">
        <v>3</v>
      </c>
      <c r="J1671">
        <v>2.5</v>
      </c>
      <c r="K1671" t="s">
        <v>1268</v>
      </c>
    </row>
    <row r="1672" spans="1:11" x14ac:dyDescent="0.35">
      <c r="A1672" t="s">
        <v>1683</v>
      </c>
      <c r="B1672">
        <v>5</v>
      </c>
      <c r="C1672">
        <v>363001873.5</v>
      </c>
      <c r="D1672">
        <v>1</v>
      </c>
      <c r="E1672">
        <v>49386924.439999998</v>
      </c>
      <c r="F1672">
        <v>11151342.4</v>
      </c>
      <c r="G1672">
        <v>2</v>
      </c>
      <c r="H1672">
        <v>3</v>
      </c>
      <c r="I1672">
        <v>3</v>
      </c>
      <c r="J1672">
        <v>2.5</v>
      </c>
      <c r="K1672" t="s">
        <v>1268</v>
      </c>
    </row>
    <row r="1673" spans="1:11" x14ac:dyDescent="0.35">
      <c r="A1673" t="s">
        <v>1684</v>
      </c>
      <c r="B1673">
        <v>5</v>
      </c>
      <c r="C1673">
        <v>180284349.40000001</v>
      </c>
      <c r="D1673">
        <v>1</v>
      </c>
      <c r="E1673">
        <v>46842293.729999997</v>
      </c>
      <c r="F1673">
        <v>8341237.4000000004</v>
      </c>
      <c r="G1673">
        <v>2</v>
      </c>
      <c r="H1673">
        <v>3</v>
      </c>
      <c r="I1673">
        <v>3</v>
      </c>
      <c r="J1673">
        <v>2.5</v>
      </c>
      <c r="K1673" t="s">
        <v>1268</v>
      </c>
    </row>
    <row r="1674" spans="1:11" x14ac:dyDescent="0.35">
      <c r="A1674" t="s">
        <v>1685</v>
      </c>
      <c r="B1674">
        <v>5</v>
      </c>
      <c r="C1674">
        <v>501733893.19999999</v>
      </c>
      <c r="D1674">
        <v>1</v>
      </c>
      <c r="E1674">
        <v>136974624.90000001</v>
      </c>
      <c r="F1674">
        <v>-27892497.600000001</v>
      </c>
      <c r="G1674">
        <v>1</v>
      </c>
      <c r="H1674">
        <v>4</v>
      </c>
      <c r="I1674">
        <v>4</v>
      </c>
      <c r="J1674">
        <v>2.5</v>
      </c>
      <c r="K1674" t="s">
        <v>1268</v>
      </c>
    </row>
    <row r="1675" spans="1:11" x14ac:dyDescent="0.35">
      <c r="A1675" t="s">
        <v>1686</v>
      </c>
      <c r="B1675">
        <v>5</v>
      </c>
      <c r="C1675">
        <v>306219053</v>
      </c>
      <c r="D1675">
        <v>1</v>
      </c>
      <c r="E1675">
        <v>135864063.80000001</v>
      </c>
      <c r="F1675">
        <v>-13662443.800000001</v>
      </c>
      <c r="G1675">
        <v>1</v>
      </c>
      <c r="H1675">
        <v>4</v>
      </c>
      <c r="I1675">
        <v>4</v>
      </c>
      <c r="J1675">
        <v>2.5</v>
      </c>
      <c r="K1675" t="s">
        <v>1268</v>
      </c>
    </row>
    <row r="1676" spans="1:11" x14ac:dyDescent="0.35">
      <c r="A1676" t="s">
        <v>1687</v>
      </c>
      <c r="B1676">
        <v>5</v>
      </c>
      <c r="C1676">
        <v>134939536.80000001</v>
      </c>
      <c r="D1676">
        <v>1</v>
      </c>
      <c r="E1676">
        <v>70569132.780000001</v>
      </c>
      <c r="F1676">
        <v>1804094.8</v>
      </c>
      <c r="G1676">
        <v>2</v>
      </c>
      <c r="H1676">
        <v>3</v>
      </c>
      <c r="I1676">
        <v>3</v>
      </c>
      <c r="J1676">
        <v>2.5</v>
      </c>
      <c r="K1676" t="s">
        <v>1268</v>
      </c>
    </row>
    <row r="1677" spans="1:11" x14ac:dyDescent="0.35">
      <c r="A1677" t="s">
        <v>1688</v>
      </c>
      <c r="B1677">
        <v>5</v>
      </c>
      <c r="C1677">
        <v>208374221.09999999</v>
      </c>
      <c r="D1677">
        <v>1</v>
      </c>
      <c r="E1677">
        <v>133570939.2</v>
      </c>
      <c r="F1677">
        <v>-77697414.700000003</v>
      </c>
      <c r="G1677">
        <v>1</v>
      </c>
      <c r="H1677">
        <v>4</v>
      </c>
      <c r="I1677">
        <v>4</v>
      </c>
      <c r="J1677">
        <v>2.5</v>
      </c>
      <c r="K1677" t="s">
        <v>1268</v>
      </c>
    </row>
    <row r="1678" spans="1:11" x14ac:dyDescent="0.35">
      <c r="A1678" t="s">
        <v>1689</v>
      </c>
      <c r="B1678">
        <v>5</v>
      </c>
      <c r="C1678">
        <v>349939056.10000002</v>
      </c>
      <c r="D1678">
        <v>1</v>
      </c>
      <c r="E1678">
        <v>128257334</v>
      </c>
      <c r="F1678">
        <v>-57254732.200000003</v>
      </c>
      <c r="G1678">
        <v>1</v>
      </c>
      <c r="H1678">
        <v>4</v>
      </c>
      <c r="I1678">
        <v>4</v>
      </c>
      <c r="J1678">
        <v>2.5</v>
      </c>
      <c r="K1678" t="s">
        <v>1268</v>
      </c>
    </row>
    <row r="1679" spans="1:11" x14ac:dyDescent="0.35">
      <c r="A1679" t="s">
        <v>1690</v>
      </c>
      <c r="B1679">
        <v>5</v>
      </c>
      <c r="C1679">
        <v>140315236.80000001</v>
      </c>
      <c r="D1679">
        <v>1</v>
      </c>
      <c r="E1679">
        <v>121507368</v>
      </c>
      <c r="F1679">
        <v>-55578293.299999997</v>
      </c>
      <c r="G1679">
        <v>1</v>
      </c>
      <c r="H1679">
        <v>4</v>
      </c>
      <c r="I1679">
        <v>4</v>
      </c>
      <c r="J1679">
        <v>2.5</v>
      </c>
      <c r="K1679" t="s">
        <v>1268</v>
      </c>
    </row>
    <row r="1680" spans="1:11" x14ac:dyDescent="0.35">
      <c r="A1680" t="s">
        <v>1691</v>
      </c>
      <c r="B1680">
        <v>5</v>
      </c>
      <c r="C1680">
        <v>425822718.10000002</v>
      </c>
      <c r="D1680">
        <v>1</v>
      </c>
      <c r="E1680">
        <v>203310317.90000001</v>
      </c>
      <c r="F1680">
        <v>-50594271.200000003</v>
      </c>
      <c r="G1680">
        <v>1</v>
      </c>
      <c r="H1680">
        <v>4</v>
      </c>
      <c r="I1680">
        <v>4</v>
      </c>
      <c r="J1680">
        <v>2.5</v>
      </c>
      <c r="K1680" t="s">
        <v>1268</v>
      </c>
    </row>
    <row r="1681" spans="1:11" x14ac:dyDescent="0.35">
      <c r="A1681" t="s">
        <v>1692</v>
      </c>
      <c r="B1681">
        <v>5</v>
      </c>
      <c r="C1681">
        <v>310613876.80000001</v>
      </c>
      <c r="D1681">
        <v>1</v>
      </c>
      <c r="E1681">
        <v>159962125.59999999</v>
      </c>
      <c r="F1681">
        <v>-51905467.5</v>
      </c>
      <c r="G1681">
        <v>1</v>
      </c>
      <c r="H1681">
        <v>4</v>
      </c>
      <c r="I1681">
        <v>4</v>
      </c>
      <c r="J1681">
        <v>2.5</v>
      </c>
      <c r="K1681" t="s">
        <v>1268</v>
      </c>
    </row>
    <row r="1682" spans="1:11" x14ac:dyDescent="0.35">
      <c r="A1682" t="s">
        <v>1693</v>
      </c>
      <c r="B1682">
        <v>5</v>
      </c>
      <c r="C1682">
        <v>397928017.80000001</v>
      </c>
      <c r="D1682">
        <v>1</v>
      </c>
      <c r="E1682">
        <v>177936998</v>
      </c>
      <c r="F1682">
        <v>-39961755.100000001</v>
      </c>
      <c r="G1682">
        <v>1</v>
      </c>
      <c r="H1682">
        <v>4</v>
      </c>
      <c r="I1682">
        <v>4</v>
      </c>
      <c r="J1682">
        <v>2.5</v>
      </c>
      <c r="K1682" t="s">
        <v>1268</v>
      </c>
    </row>
    <row r="1683" spans="1:11" x14ac:dyDescent="0.35">
      <c r="A1683" t="s">
        <v>1694</v>
      </c>
      <c r="B1683">
        <v>5</v>
      </c>
      <c r="C1683">
        <v>96775662.439999998</v>
      </c>
      <c r="D1683">
        <v>1</v>
      </c>
      <c r="E1683">
        <v>28945508.25</v>
      </c>
      <c r="F1683">
        <v>-41190976.200000003</v>
      </c>
      <c r="G1683">
        <v>2</v>
      </c>
      <c r="H1683">
        <v>2</v>
      </c>
      <c r="I1683">
        <v>4</v>
      </c>
      <c r="J1683">
        <v>2.4</v>
      </c>
      <c r="K1683" t="s">
        <v>1268</v>
      </c>
    </row>
    <row r="1684" spans="1:11" x14ac:dyDescent="0.35">
      <c r="A1684" t="s">
        <v>1695</v>
      </c>
      <c r="B1684">
        <v>5</v>
      </c>
      <c r="C1684">
        <v>83012508.260000005</v>
      </c>
      <c r="D1684">
        <v>1</v>
      </c>
      <c r="E1684">
        <v>18733736.030000001</v>
      </c>
      <c r="F1684">
        <v>-43211804.399999999</v>
      </c>
      <c r="G1684">
        <v>2</v>
      </c>
      <c r="H1684">
        <v>2</v>
      </c>
      <c r="I1684">
        <v>4</v>
      </c>
      <c r="J1684">
        <v>2.4</v>
      </c>
      <c r="K1684" t="s">
        <v>1268</v>
      </c>
    </row>
    <row r="1685" spans="1:11" x14ac:dyDescent="0.35">
      <c r="A1685" t="s">
        <v>1696</v>
      </c>
      <c r="B1685">
        <v>5</v>
      </c>
      <c r="C1685">
        <v>121131629.8</v>
      </c>
      <c r="D1685">
        <v>1</v>
      </c>
      <c r="E1685">
        <v>28261523.41</v>
      </c>
      <c r="F1685">
        <v>-51038804.5</v>
      </c>
      <c r="G1685">
        <v>2</v>
      </c>
      <c r="H1685">
        <v>2</v>
      </c>
      <c r="I1685">
        <v>4</v>
      </c>
      <c r="J1685">
        <v>2.4</v>
      </c>
      <c r="K1685" t="s">
        <v>1268</v>
      </c>
    </row>
    <row r="1686" spans="1:11" x14ac:dyDescent="0.35">
      <c r="A1686" t="s">
        <v>1697</v>
      </c>
      <c r="B1686">
        <v>5</v>
      </c>
      <c r="C1686">
        <v>540115291.10000002</v>
      </c>
      <c r="D1686">
        <v>1</v>
      </c>
      <c r="E1686">
        <v>45092793.039999999</v>
      </c>
      <c r="F1686">
        <v>-54714317</v>
      </c>
      <c r="G1686">
        <v>2</v>
      </c>
      <c r="H1686">
        <v>2</v>
      </c>
      <c r="I1686">
        <v>4</v>
      </c>
      <c r="J1686">
        <v>2.4</v>
      </c>
      <c r="K1686" t="s">
        <v>1268</v>
      </c>
    </row>
    <row r="1687" spans="1:11" x14ac:dyDescent="0.35">
      <c r="A1687" t="s">
        <v>1698</v>
      </c>
      <c r="B1687">
        <v>5</v>
      </c>
      <c r="C1687">
        <v>109429240</v>
      </c>
      <c r="D1687">
        <v>1</v>
      </c>
      <c r="E1687">
        <v>41739788.289999999</v>
      </c>
      <c r="F1687">
        <v>-67173387.5</v>
      </c>
      <c r="G1687">
        <v>2</v>
      </c>
      <c r="H1687">
        <v>2</v>
      </c>
      <c r="I1687">
        <v>4</v>
      </c>
      <c r="J1687">
        <v>2.4</v>
      </c>
      <c r="K1687" t="s">
        <v>1268</v>
      </c>
    </row>
    <row r="1688" spans="1:11" x14ac:dyDescent="0.35">
      <c r="A1688" t="s">
        <v>1699</v>
      </c>
      <c r="B1688">
        <v>5</v>
      </c>
      <c r="C1688">
        <v>399321342</v>
      </c>
      <c r="D1688">
        <v>1</v>
      </c>
      <c r="E1688">
        <v>37864095.689999998</v>
      </c>
      <c r="F1688">
        <v>-71004037.400000006</v>
      </c>
      <c r="G1688">
        <v>2</v>
      </c>
      <c r="H1688">
        <v>2</v>
      </c>
      <c r="I1688">
        <v>4</v>
      </c>
      <c r="J1688">
        <v>2.4</v>
      </c>
      <c r="K1688" t="s">
        <v>1268</v>
      </c>
    </row>
    <row r="1689" spans="1:11" x14ac:dyDescent="0.35">
      <c r="A1689" t="s">
        <v>1700</v>
      </c>
      <c r="B1689">
        <v>5</v>
      </c>
      <c r="C1689">
        <v>201587642.19999999</v>
      </c>
      <c r="D1689">
        <v>1</v>
      </c>
      <c r="E1689">
        <v>64110860.609999999</v>
      </c>
      <c r="F1689">
        <v>-88485279.799999997</v>
      </c>
      <c r="G1689">
        <v>1</v>
      </c>
      <c r="H1689">
        <v>3</v>
      </c>
      <c r="I1689">
        <v>5</v>
      </c>
      <c r="J1689">
        <v>2.4</v>
      </c>
      <c r="K1689" t="s">
        <v>1268</v>
      </c>
    </row>
    <row r="1690" spans="1:11" x14ac:dyDescent="0.35">
      <c r="A1690" t="s">
        <v>1701</v>
      </c>
      <c r="B1690">
        <v>5</v>
      </c>
      <c r="C1690">
        <v>916291485.20000005</v>
      </c>
      <c r="D1690">
        <v>1</v>
      </c>
      <c r="E1690">
        <v>50815643.210000001</v>
      </c>
      <c r="F1690">
        <v>-109511691.3</v>
      </c>
      <c r="G1690">
        <v>1</v>
      </c>
      <c r="H1690">
        <v>3</v>
      </c>
      <c r="I1690">
        <v>5</v>
      </c>
      <c r="J1690">
        <v>2.4</v>
      </c>
      <c r="K1690" t="s">
        <v>1268</v>
      </c>
    </row>
    <row r="1691" spans="1:11" x14ac:dyDescent="0.35">
      <c r="A1691" t="s">
        <v>1702</v>
      </c>
      <c r="B1691">
        <v>5</v>
      </c>
      <c r="C1691">
        <v>208629446.40000001</v>
      </c>
      <c r="D1691">
        <v>1</v>
      </c>
      <c r="E1691">
        <v>76178665.480000004</v>
      </c>
      <c r="F1691">
        <v>-118924414.40000001</v>
      </c>
      <c r="G1691">
        <v>1</v>
      </c>
      <c r="H1691">
        <v>3</v>
      </c>
      <c r="I1691">
        <v>5</v>
      </c>
      <c r="J1691">
        <v>2.4</v>
      </c>
      <c r="K1691" t="s">
        <v>1268</v>
      </c>
    </row>
    <row r="1692" spans="1:11" x14ac:dyDescent="0.35">
      <c r="A1692" t="s">
        <v>1703</v>
      </c>
      <c r="B1692">
        <v>5</v>
      </c>
      <c r="C1692">
        <v>88327021.140000001</v>
      </c>
      <c r="D1692">
        <v>1</v>
      </c>
      <c r="E1692">
        <v>57262872.759999998</v>
      </c>
      <c r="F1692">
        <v>-107419413.7</v>
      </c>
      <c r="G1692">
        <v>1</v>
      </c>
      <c r="H1692">
        <v>3</v>
      </c>
      <c r="I1692">
        <v>5</v>
      </c>
      <c r="J1692">
        <v>2.4</v>
      </c>
      <c r="K1692" t="s">
        <v>1268</v>
      </c>
    </row>
    <row r="1693" spans="1:11" x14ac:dyDescent="0.35">
      <c r="A1693" t="s">
        <v>1704</v>
      </c>
      <c r="B1693">
        <v>5</v>
      </c>
      <c r="C1693">
        <v>71205213.620000005</v>
      </c>
      <c r="D1693">
        <v>1</v>
      </c>
      <c r="E1693">
        <v>62006876.399999999</v>
      </c>
      <c r="F1693">
        <v>-146625972.80000001</v>
      </c>
      <c r="G1693">
        <v>1</v>
      </c>
      <c r="H1693">
        <v>3</v>
      </c>
      <c r="I1693">
        <v>5</v>
      </c>
      <c r="J1693">
        <v>2.4</v>
      </c>
      <c r="K1693" t="s">
        <v>1268</v>
      </c>
    </row>
    <row r="1694" spans="1:11" x14ac:dyDescent="0.35">
      <c r="A1694" t="s">
        <v>1705</v>
      </c>
      <c r="B1694">
        <v>5</v>
      </c>
      <c r="C1694">
        <v>109242686.59999999</v>
      </c>
      <c r="D1694">
        <v>1</v>
      </c>
      <c r="E1694">
        <v>50564141.880000003</v>
      </c>
      <c r="F1694">
        <v>-132170739.90000001</v>
      </c>
      <c r="G1694">
        <v>1</v>
      </c>
      <c r="H1694">
        <v>3</v>
      </c>
      <c r="I1694">
        <v>5</v>
      </c>
      <c r="J1694">
        <v>2.4</v>
      </c>
      <c r="K1694" t="s">
        <v>1268</v>
      </c>
    </row>
    <row r="1695" spans="1:11" x14ac:dyDescent="0.35">
      <c r="A1695" t="s">
        <v>1706</v>
      </c>
      <c r="B1695">
        <v>5</v>
      </c>
      <c r="C1695">
        <v>271852421.60000002</v>
      </c>
      <c r="D1695">
        <v>1</v>
      </c>
      <c r="E1695">
        <v>102082802</v>
      </c>
      <c r="F1695">
        <v>-137071013.69999999</v>
      </c>
      <c r="G1695">
        <v>1</v>
      </c>
      <c r="H1695">
        <v>3</v>
      </c>
      <c r="I1695">
        <v>5</v>
      </c>
      <c r="J1695">
        <v>2.4</v>
      </c>
      <c r="K1695" t="s">
        <v>1268</v>
      </c>
    </row>
    <row r="1696" spans="1:11" x14ac:dyDescent="0.35">
      <c r="A1696" t="s">
        <v>1707</v>
      </c>
      <c r="B1696">
        <v>5</v>
      </c>
      <c r="C1696">
        <v>1329709.44</v>
      </c>
      <c r="D1696">
        <v>0.8</v>
      </c>
      <c r="E1696">
        <v>1377792.15</v>
      </c>
      <c r="F1696">
        <v>1504256.2</v>
      </c>
      <c r="G1696">
        <v>3</v>
      </c>
      <c r="H1696">
        <v>1</v>
      </c>
      <c r="I1696">
        <v>3</v>
      </c>
      <c r="J1696">
        <v>2.4</v>
      </c>
      <c r="K1696" t="s">
        <v>1268</v>
      </c>
    </row>
    <row r="1697" spans="1:11" x14ac:dyDescent="0.35">
      <c r="A1697" t="s">
        <v>1708</v>
      </c>
      <c r="B1697">
        <v>5</v>
      </c>
      <c r="C1697">
        <v>-475795.24</v>
      </c>
      <c r="D1697">
        <v>0.6</v>
      </c>
      <c r="E1697">
        <v>1113058.2109999999</v>
      </c>
      <c r="F1697">
        <v>1946381.9</v>
      </c>
      <c r="G1697">
        <v>3</v>
      </c>
      <c r="H1697">
        <v>1</v>
      </c>
      <c r="I1697">
        <v>3</v>
      </c>
      <c r="J1697">
        <v>2.4</v>
      </c>
      <c r="K1697" t="s">
        <v>1268</v>
      </c>
    </row>
    <row r="1698" spans="1:11" x14ac:dyDescent="0.35">
      <c r="A1698" t="s">
        <v>1709</v>
      </c>
      <c r="B1698">
        <v>5</v>
      </c>
      <c r="C1698">
        <v>3433704.56</v>
      </c>
      <c r="D1698">
        <v>0.6</v>
      </c>
      <c r="E1698">
        <v>3352314.142</v>
      </c>
      <c r="F1698">
        <v>1407448.1</v>
      </c>
      <c r="G1698">
        <v>3</v>
      </c>
      <c r="H1698">
        <v>1</v>
      </c>
      <c r="I1698">
        <v>3</v>
      </c>
      <c r="J1698">
        <v>2.4</v>
      </c>
      <c r="K1698" t="s">
        <v>1268</v>
      </c>
    </row>
    <row r="1699" spans="1:11" x14ac:dyDescent="0.35">
      <c r="A1699" t="s">
        <v>1710</v>
      </c>
      <c r="B1699">
        <v>5</v>
      </c>
      <c r="C1699">
        <v>1663410.32</v>
      </c>
      <c r="D1699">
        <v>0.8</v>
      </c>
      <c r="E1699">
        <v>1437822.693</v>
      </c>
      <c r="F1699">
        <v>1365570.1</v>
      </c>
      <c r="G1699">
        <v>3</v>
      </c>
      <c r="H1699">
        <v>1</v>
      </c>
      <c r="I1699">
        <v>3</v>
      </c>
      <c r="J1699">
        <v>2.4</v>
      </c>
      <c r="K1699" t="s">
        <v>1268</v>
      </c>
    </row>
    <row r="1700" spans="1:11" x14ac:dyDescent="0.35">
      <c r="A1700" t="s">
        <v>1711</v>
      </c>
      <c r="B1700">
        <v>5</v>
      </c>
      <c r="C1700">
        <v>-3694847.36</v>
      </c>
      <c r="D1700">
        <v>0.4</v>
      </c>
      <c r="E1700">
        <v>9957521.3210000005</v>
      </c>
      <c r="F1700">
        <v>890306.3</v>
      </c>
      <c r="G1700">
        <v>3</v>
      </c>
      <c r="H1700">
        <v>1</v>
      </c>
      <c r="I1700">
        <v>3</v>
      </c>
      <c r="J1700">
        <v>2.4</v>
      </c>
      <c r="K1700" t="s">
        <v>1268</v>
      </c>
    </row>
    <row r="1701" spans="1:11" x14ac:dyDescent="0.35">
      <c r="A1701" t="s">
        <v>1712</v>
      </c>
      <c r="B1701">
        <v>5</v>
      </c>
      <c r="C1701">
        <v>4305590.0199999996</v>
      </c>
      <c r="D1701">
        <v>0.6</v>
      </c>
      <c r="E1701">
        <v>12232455.939999999</v>
      </c>
      <c r="F1701">
        <v>2208902.5</v>
      </c>
      <c r="G1701">
        <v>3</v>
      </c>
      <c r="H1701">
        <v>1</v>
      </c>
      <c r="I1701">
        <v>3</v>
      </c>
      <c r="J1701">
        <v>2.4</v>
      </c>
      <c r="K1701" t="s">
        <v>1268</v>
      </c>
    </row>
    <row r="1702" spans="1:11" x14ac:dyDescent="0.35">
      <c r="A1702" t="s">
        <v>1713</v>
      </c>
      <c r="B1702">
        <v>5</v>
      </c>
      <c r="C1702">
        <v>1297315.5</v>
      </c>
      <c r="D1702">
        <v>0.6</v>
      </c>
      <c r="E1702">
        <v>4613498.1500000004</v>
      </c>
      <c r="F1702">
        <v>2401463.7000000002</v>
      </c>
      <c r="G1702">
        <v>3</v>
      </c>
      <c r="H1702">
        <v>1</v>
      </c>
      <c r="I1702">
        <v>3</v>
      </c>
      <c r="J1702">
        <v>2.4</v>
      </c>
      <c r="K1702" t="s">
        <v>1268</v>
      </c>
    </row>
    <row r="1703" spans="1:11" x14ac:dyDescent="0.35">
      <c r="A1703" t="s">
        <v>1714</v>
      </c>
      <c r="B1703">
        <v>5</v>
      </c>
      <c r="C1703">
        <v>12603852.82</v>
      </c>
      <c r="D1703">
        <v>0.6</v>
      </c>
      <c r="E1703">
        <v>15125207.449999999</v>
      </c>
      <c r="F1703">
        <v>3876710.7</v>
      </c>
      <c r="G1703">
        <v>3</v>
      </c>
      <c r="H1703">
        <v>1</v>
      </c>
      <c r="I1703">
        <v>3</v>
      </c>
      <c r="J1703">
        <v>2.4</v>
      </c>
      <c r="K1703" t="s">
        <v>1268</v>
      </c>
    </row>
    <row r="1704" spans="1:11" x14ac:dyDescent="0.35">
      <c r="A1704" t="s">
        <v>1715</v>
      </c>
      <c r="B1704">
        <v>5</v>
      </c>
      <c r="C1704">
        <v>2073026</v>
      </c>
      <c r="D1704">
        <v>0.6</v>
      </c>
      <c r="E1704">
        <v>3436140.7710000002</v>
      </c>
      <c r="F1704">
        <v>3082887.3</v>
      </c>
      <c r="G1704">
        <v>3</v>
      </c>
      <c r="H1704">
        <v>1</v>
      </c>
      <c r="I1704">
        <v>3</v>
      </c>
      <c r="J1704">
        <v>2.4</v>
      </c>
      <c r="K1704" t="s">
        <v>1268</v>
      </c>
    </row>
    <row r="1705" spans="1:11" x14ac:dyDescent="0.35">
      <c r="A1705" t="s">
        <v>1716</v>
      </c>
      <c r="B1705">
        <v>5</v>
      </c>
      <c r="C1705">
        <v>1092204.1200000001</v>
      </c>
      <c r="D1705">
        <v>0.4</v>
      </c>
      <c r="E1705">
        <v>3369112.6979999999</v>
      </c>
      <c r="F1705">
        <v>3045848.9</v>
      </c>
      <c r="G1705">
        <v>3</v>
      </c>
      <c r="H1705">
        <v>1</v>
      </c>
      <c r="I1705">
        <v>3</v>
      </c>
      <c r="J1705">
        <v>2.4</v>
      </c>
      <c r="K1705" t="s">
        <v>1268</v>
      </c>
    </row>
    <row r="1706" spans="1:11" x14ac:dyDescent="0.35">
      <c r="A1706" t="s">
        <v>1717</v>
      </c>
      <c r="B1706">
        <v>5</v>
      </c>
      <c r="C1706">
        <v>-56914.400000000001</v>
      </c>
      <c r="D1706">
        <v>0.6</v>
      </c>
      <c r="E1706">
        <v>3525693.9950000001</v>
      </c>
      <c r="F1706">
        <v>7431848.0999999996</v>
      </c>
      <c r="G1706">
        <v>3</v>
      </c>
      <c r="H1706">
        <v>1</v>
      </c>
      <c r="I1706">
        <v>3</v>
      </c>
      <c r="J1706">
        <v>2.4</v>
      </c>
      <c r="K1706" t="s">
        <v>1268</v>
      </c>
    </row>
    <row r="1707" spans="1:11" x14ac:dyDescent="0.35">
      <c r="A1707" t="s">
        <v>1718</v>
      </c>
      <c r="B1707">
        <v>5</v>
      </c>
      <c r="C1707">
        <v>5316011.04</v>
      </c>
      <c r="D1707">
        <v>0.8</v>
      </c>
      <c r="E1707">
        <v>4448865.8720000004</v>
      </c>
      <c r="F1707">
        <v>7183466.5</v>
      </c>
      <c r="G1707">
        <v>3</v>
      </c>
      <c r="H1707">
        <v>1</v>
      </c>
      <c r="I1707">
        <v>3</v>
      </c>
      <c r="J1707">
        <v>2.4</v>
      </c>
      <c r="K1707" t="s">
        <v>1268</v>
      </c>
    </row>
    <row r="1708" spans="1:11" x14ac:dyDescent="0.35">
      <c r="A1708" t="s">
        <v>1719</v>
      </c>
      <c r="B1708">
        <v>5</v>
      </c>
      <c r="C1708">
        <v>7264785.5800000001</v>
      </c>
      <c r="D1708">
        <v>0.8</v>
      </c>
      <c r="E1708">
        <v>5389469.1919999998</v>
      </c>
      <c r="F1708">
        <v>6500242</v>
      </c>
      <c r="G1708">
        <v>3</v>
      </c>
      <c r="H1708">
        <v>1</v>
      </c>
      <c r="I1708">
        <v>3</v>
      </c>
      <c r="J1708">
        <v>2.4</v>
      </c>
      <c r="K1708" t="s">
        <v>1268</v>
      </c>
    </row>
    <row r="1709" spans="1:11" x14ac:dyDescent="0.35">
      <c r="A1709" t="s">
        <v>1720</v>
      </c>
      <c r="B1709">
        <v>5</v>
      </c>
      <c r="C1709">
        <v>3647478.26</v>
      </c>
      <c r="D1709">
        <v>0.8</v>
      </c>
      <c r="E1709">
        <v>4722876.2300000004</v>
      </c>
      <c r="F1709">
        <v>6598283.2000000002</v>
      </c>
      <c r="G1709">
        <v>3</v>
      </c>
      <c r="H1709">
        <v>1</v>
      </c>
      <c r="I1709">
        <v>3</v>
      </c>
      <c r="J1709">
        <v>2.4</v>
      </c>
      <c r="K1709" t="s">
        <v>1268</v>
      </c>
    </row>
    <row r="1710" spans="1:11" x14ac:dyDescent="0.35">
      <c r="A1710" t="s">
        <v>1721</v>
      </c>
      <c r="B1710">
        <v>5</v>
      </c>
      <c r="C1710">
        <v>-33541.24</v>
      </c>
      <c r="D1710">
        <v>0.6</v>
      </c>
      <c r="E1710">
        <v>3262556.3420000002</v>
      </c>
      <c r="F1710">
        <v>5553963.5</v>
      </c>
      <c r="G1710">
        <v>3</v>
      </c>
      <c r="H1710">
        <v>1</v>
      </c>
      <c r="I1710">
        <v>3</v>
      </c>
      <c r="J1710">
        <v>2.4</v>
      </c>
      <c r="K1710" t="s">
        <v>1268</v>
      </c>
    </row>
    <row r="1711" spans="1:11" x14ac:dyDescent="0.35">
      <c r="A1711" t="s">
        <v>1722</v>
      </c>
      <c r="B1711">
        <v>5</v>
      </c>
      <c r="C1711">
        <v>-3079387.98</v>
      </c>
      <c r="D1711">
        <v>0.4</v>
      </c>
      <c r="E1711">
        <v>10299294.289999999</v>
      </c>
      <c r="F1711">
        <v>5420949.7000000002</v>
      </c>
      <c r="G1711">
        <v>3</v>
      </c>
      <c r="H1711">
        <v>1</v>
      </c>
      <c r="I1711">
        <v>3</v>
      </c>
      <c r="J1711">
        <v>2.4</v>
      </c>
      <c r="K1711" t="s">
        <v>1268</v>
      </c>
    </row>
    <row r="1712" spans="1:11" x14ac:dyDescent="0.35">
      <c r="A1712" t="s">
        <v>1723</v>
      </c>
      <c r="B1712">
        <v>5</v>
      </c>
      <c r="C1712">
        <v>1555826</v>
      </c>
      <c r="D1712">
        <v>0.6</v>
      </c>
      <c r="E1712">
        <v>2397928.449</v>
      </c>
      <c r="F1712">
        <v>5340063.3</v>
      </c>
      <c r="G1712">
        <v>3</v>
      </c>
      <c r="H1712">
        <v>1</v>
      </c>
      <c r="I1712">
        <v>3</v>
      </c>
      <c r="J1712">
        <v>2.4</v>
      </c>
      <c r="K1712" t="s">
        <v>1268</v>
      </c>
    </row>
    <row r="1713" spans="1:11" x14ac:dyDescent="0.35">
      <c r="A1713" t="s">
        <v>1724</v>
      </c>
      <c r="B1713">
        <v>5</v>
      </c>
      <c r="C1713">
        <v>-2085127.22</v>
      </c>
      <c r="D1713">
        <v>0.4</v>
      </c>
      <c r="E1713">
        <v>4566767.4720000001</v>
      </c>
      <c r="F1713">
        <v>4115866.4</v>
      </c>
      <c r="G1713">
        <v>3</v>
      </c>
      <c r="H1713">
        <v>1</v>
      </c>
      <c r="I1713">
        <v>3</v>
      </c>
      <c r="J1713">
        <v>2.4</v>
      </c>
      <c r="K1713" t="s">
        <v>1268</v>
      </c>
    </row>
    <row r="1714" spans="1:11" x14ac:dyDescent="0.35">
      <c r="A1714" t="s">
        <v>1725</v>
      </c>
      <c r="B1714">
        <v>5</v>
      </c>
      <c r="C1714">
        <v>2513030.44</v>
      </c>
      <c r="D1714">
        <v>0.6</v>
      </c>
      <c r="E1714">
        <v>8806655.1319999993</v>
      </c>
      <c r="F1714">
        <v>4266571.3</v>
      </c>
      <c r="G1714">
        <v>3</v>
      </c>
      <c r="H1714">
        <v>1</v>
      </c>
      <c r="I1714">
        <v>3</v>
      </c>
      <c r="J1714">
        <v>2.4</v>
      </c>
      <c r="K1714" t="s">
        <v>1268</v>
      </c>
    </row>
    <row r="1715" spans="1:11" x14ac:dyDescent="0.35">
      <c r="A1715" t="s">
        <v>1726</v>
      </c>
      <c r="B1715">
        <v>5</v>
      </c>
      <c r="C1715">
        <v>2805915.78</v>
      </c>
      <c r="D1715">
        <v>0.8</v>
      </c>
      <c r="E1715">
        <v>2478795.4559999998</v>
      </c>
      <c r="F1715">
        <v>4671842.5999999996</v>
      </c>
      <c r="G1715">
        <v>3</v>
      </c>
      <c r="H1715">
        <v>1</v>
      </c>
      <c r="I1715">
        <v>3</v>
      </c>
      <c r="J1715">
        <v>2.4</v>
      </c>
      <c r="K1715" t="s">
        <v>1268</v>
      </c>
    </row>
    <row r="1716" spans="1:11" x14ac:dyDescent="0.35">
      <c r="A1716" t="s">
        <v>1727</v>
      </c>
      <c r="B1716">
        <v>5</v>
      </c>
      <c r="C1716">
        <v>7282013.3799999999</v>
      </c>
      <c r="D1716">
        <v>0.8</v>
      </c>
      <c r="E1716">
        <v>5775287.9230000004</v>
      </c>
      <c r="F1716">
        <v>4664033.5999999996</v>
      </c>
      <c r="G1716">
        <v>3</v>
      </c>
      <c r="H1716">
        <v>1</v>
      </c>
      <c r="I1716">
        <v>3</v>
      </c>
      <c r="J1716">
        <v>2.4</v>
      </c>
      <c r="K1716" t="s">
        <v>1268</v>
      </c>
    </row>
    <row r="1717" spans="1:11" x14ac:dyDescent="0.35">
      <c r="A1717" t="s">
        <v>1728</v>
      </c>
      <c r="B1717">
        <v>5</v>
      </c>
      <c r="C1717">
        <v>426054.5</v>
      </c>
      <c r="D1717">
        <v>0.6</v>
      </c>
      <c r="E1717">
        <v>4205629.4390000002</v>
      </c>
      <c r="F1717">
        <v>-4611736.7</v>
      </c>
      <c r="G1717">
        <v>3</v>
      </c>
      <c r="H1717">
        <v>1</v>
      </c>
      <c r="I1717">
        <v>3</v>
      </c>
      <c r="J1717">
        <v>2.4</v>
      </c>
      <c r="K1717" t="s">
        <v>1268</v>
      </c>
    </row>
    <row r="1718" spans="1:11" x14ac:dyDescent="0.35">
      <c r="A1718" t="s">
        <v>1729</v>
      </c>
      <c r="B1718">
        <v>5</v>
      </c>
      <c r="C1718">
        <v>2502748.2599999998</v>
      </c>
      <c r="D1718">
        <v>0.6</v>
      </c>
      <c r="E1718">
        <v>6488685.3219999997</v>
      </c>
      <c r="F1718">
        <v>-4618709.3</v>
      </c>
      <c r="G1718">
        <v>3</v>
      </c>
      <c r="H1718">
        <v>1</v>
      </c>
      <c r="I1718">
        <v>3</v>
      </c>
      <c r="J1718">
        <v>2.4</v>
      </c>
      <c r="K1718" t="s">
        <v>1268</v>
      </c>
    </row>
    <row r="1719" spans="1:11" x14ac:dyDescent="0.35">
      <c r="A1719" t="s">
        <v>1730</v>
      </c>
      <c r="B1719">
        <v>5</v>
      </c>
      <c r="C1719">
        <v>656186.6</v>
      </c>
      <c r="D1719">
        <v>0.6</v>
      </c>
      <c r="E1719">
        <v>6753807.4210000001</v>
      </c>
      <c r="F1719">
        <v>-1542346.5</v>
      </c>
      <c r="G1719">
        <v>3</v>
      </c>
      <c r="H1719">
        <v>1</v>
      </c>
      <c r="I1719">
        <v>3</v>
      </c>
      <c r="J1719">
        <v>2.4</v>
      </c>
      <c r="K1719" t="s">
        <v>1268</v>
      </c>
    </row>
    <row r="1720" spans="1:11" x14ac:dyDescent="0.35">
      <c r="A1720" t="s">
        <v>1731</v>
      </c>
      <c r="B1720">
        <v>5</v>
      </c>
      <c r="C1720">
        <v>1518889</v>
      </c>
      <c r="D1720">
        <v>0.4</v>
      </c>
      <c r="E1720">
        <v>7038375.2680000002</v>
      </c>
      <c r="F1720">
        <v>-2799399.7</v>
      </c>
      <c r="G1720">
        <v>3</v>
      </c>
      <c r="H1720">
        <v>1</v>
      </c>
      <c r="I1720">
        <v>3</v>
      </c>
      <c r="J1720">
        <v>2.4</v>
      </c>
      <c r="K1720" t="s">
        <v>1268</v>
      </c>
    </row>
    <row r="1721" spans="1:11" x14ac:dyDescent="0.35">
      <c r="A1721" t="s">
        <v>1732</v>
      </c>
      <c r="B1721">
        <v>5</v>
      </c>
      <c r="C1721">
        <v>3557852.16</v>
      </c>
      <c r="D1721">
        <v>0.8</v>
      </c>
      <c r="E1721">
        <v>3938333.8849999998</v>
      </c>
      <c r="F1721">
        <v>-1939895.4</v>
      </c>
      <c r="G1721">
        <v>3</v>
      </c>
      <c r="H1721">
        <v>1</v>
      </c>
      <c r="I1721">
        <v>3</v>
      </c>
      <c r="J1721">
        <v>2.4</v>
      </c>
      <c r="K1721" t="s">
        <v>1268</v>
      </c>
    </row>
    <row r="1722" spans="1:11" x14ac:dyDescent="0.35">
      <c r="A1722" t="s">
        <v>1733</v>
      </c>
      <c r="B1722">
        <v>5</v>
      </c>
      <c r="C1722">
        <v>-18931.34</v>
      </c>
      <c r="D1722">
        <v>0.6</v>
      </c>
      <c r="E1722">
        <v>2938475.7179999999</v>
      </c>
      <c r="F1722">
        <v>-2188858.1</v>
      </c>
      <c r="G1722">
        <v>3</v>
      </c>
      <c r="H1722">
        <v>1</v>
      </c>
      <c r="I1722">
        <v>3</v>
      </c>
      <c r="J1722">
        <v>2.4</v>
      </c>
      <c r="K1722" t="s">
        <v>1268</v>
      </c>
    </row>
    <row r="1723" spans="1:11" x14ac:dyDescent="0.35">
      <c r="A1723" t="s">
        <v>1734</v>
      </c>
      <c r="B1723">
        <v>5</v>
      </c>
      <c r="C1723">
        <v>-3224.42</v>
      </c>
      <c r="D1723">
        <v>0.4</v>
      </c>
      <c r="E1723">
        <v>46862.900300000001</v>
      </c>
      <c r="F1723">
        <v>113949.6</v>
      </c>
      <c r="G1723">
        <v>3</v>
      </c>
      <c r="H1723">
        <v>1</v>
      </c>
      <c r="I1723">
        <v>3</v>
      </c>
      <c r="J1723">
        <v>2.4</v>
      </c>
      <c r="K1723" t="s">
        <v>1268</v>
      </c>
    </row>
    <row r="1724" spans="1:11" x14ac:dyDescent="0.35">
      <c r="A1724" t="s">
        <v>1735</v>
      </c>
      <c r="B1724">
        <v>5</v>
      </c>
      <c r="C1724">
        <v>170429</v>
      </c>
      <c r="D1724">
        <v>0.8</v>
      </c>
      <c r="E1724">
        <v>206946.42360000001</v>
      </c>
      <c r="F1724">
        <v>78420.7</v>
      </c>
      <c r="G1724">
        <v>3</v>
      </c>
      <c r="H1724">
        <v>1</v>
      </c>
      <c r="I1724">
        <v>3</v>
      </c>
      <c r="J1724">
        <v>2.4</v>
      </c>
      <c r="K1724" t="s">
        <v>1268</v>
      </c>
    </row>
    <row r="1725" spans="1:11" x14ac:dyDescent="0.35">
      <c r="A1725" t="s">
        <v>1736</v>
      </c>
      <c r="B1725">
        <v>5</v>
      </c>
      <c r="C1725">
        <v>-204924.08</v>
      </c>
      <c r="D1725">
        <v>0.6</v>
      </c>
      <c r="E1725">
        <v>579288.80920000002</v>
      </c>
      <c r="F1725">
        <v>-49690.5</v>
      </c>
      <c r="G1725">
        <v>3</v>
      </c>
      <c r="H1725">
        <v>1</v>
      </c>
      <c r="I1725">
        <v>3</v>
      </c>
      <c r="J1725">
        <v>2.4</v>
      </c>
      <c r="K1725" t="s">
        <v>1268</v>
      </c>
    </row>
    <row r="1726" spans="1:11" x14ac:dyDescent="0.35">
      <c r="A1726" t="s">
        <v>1737</v>
      </c>
      <c r="B1726">
        <v>5</v>
      </c>
      <c r="C1726">
        <v>101957015.09999999</v>
      </c>
      <c r="D1726">
        <v>1</v>
      </c>
      <c r="E1726">
        <v>21707618.91</v>
      </c>
      <c r="F1726">
        <v>-14592642.4</v>
      </c>
      <c r="G1726">
        <v>2</v>
      </c>
      <c r="H1726">
        <v>2</v>
      </c>
      <c r="I1726">
        <v>4</v>
      </c>
      <c r="J1726">
        <v>2.4</v>
      </c>
      <c r="K1726" t="s">
        <v>1268</v>
      </c>
    </row>
    <row r="1727" spans="1:11" x14ac:dyDescent="0.35">
      <c r="A1727" t="s">
        <v>1738</v>
      </c>
      <c r="B1727">
        <v>5</v>
      </c>
      <c r="C1727">
        <v>11981752.82</v>
      </c>
      <c r="D1727">
        <v>0.8</v>
      </c>
      <c r="E1727">
        <v>17071762.949999999</v>
      </c>
      <c r="F1727">
        <v>-17084958.899999999</v>
      </c>
      <c r="G1727">
        <v>2</v>
      </c>
      <c r="H1727">
        <v>2</v>
      </c>
      <c r="I1727">
        <v>4</v>
      </c>
      <c r="J1727">
        <v>2.4</v>
      </c>
      <c r="K1727" t="s">
        <v>1268</v>
      </c>
    </row>
    <row r="1728" spans="1:11" x14ac:dyDescent="0.35">
      <c r="A1728" t="s">
        <v>1739</v>
      </c>
      <c r="B1728">
        <v>5</v>
      </c>
      <c r="C1728">
        <v>52458259.520000003</v>
      </c>
      <c r="D1728">
        <v>1</v>
      </c>
      <c r="E1728">
        <v>24737567.27</v>
      </c>
      <c r="F1728">
        <v>-7080699.2999999998</v>
      </c>
      <c r="G1728">
        <v>2</v>
      </c>
      <c r="H1728">
        <v>2</v>
      </c>
      <c r="I1728">
        <v>4</v>
      </c>
      <c r="J1728">
        <v>2.4</v>
      </c>
      <c r="K1728" t="s">
        <v>1268</v>
      </c>
    </row>
    <row r="1729" spans="1:11" x14ac:dyDescent="0.35">
      <c r="A1729" t="s">
        <v>1740</v>
      </c>
      <c r="B1729">
        <v>5</v>
      </c>
      <c r="C1729">
        <v>69016556.079999998</v>
      </c>
      <c r="D1729">
        <v>1</v>
      </c>
      <c r="E1729">
        <v>17557633.82</v>
      </c>
      <c r="F1729">
        <v>-7278999.7000000002</v>
      </c>
      <c r="G1729">
        <v>2</v>
      </c>
      <c r="H1729">
        <v>2</v>
      </c>
      <c r="I1729">
        <v>4</v>
      </c>
      <c r="J1729">
        <v>2.4</v>
      </c>
      <c r="K1729" t="s">
        <v>1268</v>
      </c>
    </row>
    <row r="1730" spans="1:11" x14ac:dyDescent="0.35">
      <c r="A1730" t="s">
        <v>1741</v>
      </c>
      <c r="B1730">
        <v>5</v>
      </c>
      <c r="C1730">
        <v>-2578660.42</v>
      </c>
      <c r="D1730">
        <v>0.8</v>
      </c>
      <c r="E1730">
        <v>33233261.149999999</v>
      </c>
      <c r="F1730">
        <v>-7666687</v>
      </c>
      <c r="G1730">
        <v>2</v>
      </c>
      <c r="H1730">
        <v>2</v>
      </c>
      <c r="I1730">
        <v>4</v>
      </c>
      <c r="J1730">
        <v>2.4</v>
      </c>
      <c r="K1730" t="s">
        <v>1268</v>
      </c>
    </row>
    <row r="1731" spans="1:11" x14ac:dyDescent="0.35">
      <c r="A1731" t="s">
        <v>1742</v>
      </c>
      <c r="B1731">
        <v>5</v>
      </c>
      <c r="C1731">
        <v>55944532.159999996</v>
      </c>
      <c r="D1731">
        <v>1</v>
      </c>
      <c r="E1731">
        <v>28437484.02</v>
      </c>
      <c r="F1731">
        <v>-8703403.9000000004</v>
      </c>
      <c r="G1731">
        <v>2</v>
      </c>
      <c r="H1731">
        <v>2</v>
      </c>
      <c r="I1731">
        <v>4</v>
      </c>
      <c r="J1731">
        <v>2.4</v>
      </c>
      <c r="K1731" t="s">
        <v>1268</v>
      </c>
    </row>
    <row r="1732" spans="1:11" x14ac:dyDescent="0.35">
      <c r="A1732" t="s">
        <v>1743</v>
      </c>
      <c r="B1732">
        <v>5</v>
      </c>
      <c r="C1732">
        <v>46045820.520000003</v>
      </c>
      <c r="D1732">
        <v>1</v>
      </c>
      <c r="E1732">
        <v>28991154.800000001</v>
      </c>
      <c r="F1732">
        <v>-29461477.300000001</v>
      </c>
      <c r="G1732">
        <v>2</v>
      </c>
      <c r="H1732">
        <v>2</v>
      </c>
      <c r="I1732">
        <v>4</v>
      </c>
      <c r="J1732">
        <v>2.4</v>
      </c>
      <c r="K1732" t="s">
        <v>1268</v>
      </c>
    </row>
    <row r="1733" spans="1:11" x14ac:dyDescent="0.35">
      <c r="A1733" t="s">
        <v>1744</v>
      </c>
      <c r="B1733">
        <v>5</v>
      </c>
      <c r="C1733">
        <v>226358497.19999999</v>
      </c>
      <c r="D1733">
        <v>1</v>
      </c>
      <c r="E1733">
        <v>40358118.950000003</v>
      </c>
      <c r="F1733">
        <v>-32241666.899999999</v>
      </c>
      <c r="G1733">
        <v>2</v>
      </c>
      <c r="H1733">
        <v>2</v>
      </c>
      <c r="I1733">
        <v>4</v>
      </c>
      <c r="J1733">
        <v>2.4</v>
      </c>
      <c r="K1733" t="s">
        <v>1268</v>
      </c>
    </row>
    <row r="1734" spans="1:11" x14ac:dyDescent="0.35">
      <c r="A1734" t="s">
        <v>1745</v>
      </c>
      <c r="B1734">
        <v>5</v>
      </c>
      <c r="C1734">
        <v>724968442.10000002</v>
      </c>
      <c r="D1734">
        <v>1</v>
      </c>
      <c r="E1734">
        <v>30430035.620000001</v>
      </c>
      <c r="F1734">
        <v>-17982555.699999999</v>
      </c>
      <c r="G1734">
        <v>2</v>
      </c>
      <c r="H1734">
        <v>2</v>
      </c>
      <c r="I1734">
        <v>4</v>
      </c>
      <c r="J1734">
        <v>2.4</v>
      </c>
      <c r="K1734" t="s">
        <v>1268</v>
      </c>
    </row>
    <row r="1735" spans="1:11" x14ac:dyDescent="0.35">
      <c r="A1735" t="s">
        <v>1746</v>
      </c>
      <c r="B1735">
        <v>5</v>
      </c>
      <c r="C1735">
        <v>25689770.260000002</v>
      </c>
      <c r="D1735">
        <v>1</v>
      </c>
      <c r="E1735">
        <v>27967438.66</v>
      </c>
      <c r="F1735">
        <v>-23290335</v>
      </c>
      <c r="G1735">
        <v>2</v>
      </c>
      <c r="H1735">
        <v>2</v>
      </c>
      <c r="I1735">
        <v>4</v>
      </c>
      <c r="J1735">
        <v>2.4</v>
      </c>
      <c r="K1735" t="s">
        <v>1268</v>
      </c>
    </row>
    <row r="1736" spans="1:11" x14ac:dyDescent="0.35">
      <c r="A1736" t="s">
        <v>1747</v>
      </c>
      <c r="B1736">
        <v>5</v>
      </c>
      <c r="C1736">
        <v>60833956.520000003</v>
      </c>
      <c r="D1736">
        <v>1</v>
      </c>
      <c r="E1736">
        <v>21443694.120000001</v>
      </c>
      <c r="F1736">
        <v>-23789820.100000001</v>
      </c>
      <c r="G1736">
        <v>2</v>
      </c>
      <c r="H1736">
        <v>2</v>
      </c>
      <c r="I1736">
        <v>4</v>
      </c>
      <c r="J1736">
        <v>2.4</v>
      </c>
      <c r="K1736" t="s">
        <v>1268</v>
      </c>
    </row>
    <row r="1737" spans="1:11" x14ac:dyDescent="0.35">
      <c r="A1737" t="s">
        <v>1748</v>
      </c>
      <c r="B1737">
        <v>5</v>
      </c>
      <c r="C1737">
        <v>14169916.560000001</v>
      </c>
      <c r="D1737">
        <v>0.8</v>
      </c>
      <c r="E1737">
        <v>11525917.65</v>
      </c>
      <c r="F1737">
        <v>7548059.2999999998</v>
      </c>
      <c r="G1737">
        <v>3</v>
      </c>
      <c r="H1737">
        <v>1</v>
      </c>
      <c r="I1737">
        <v>3</v>
      </c>
      <c r="J1737">
        <v>2.4</v>
      </c>
      <c r="K1737" t="s">
        <v>1268</v>
      </c>
    </row>
    <row r="1738" spans="1:11" x14ac:dyDescent="0.35">
      <c r="A1738" t="s">
        <v>1749</v>
      </c>
      <c r="B1738">
        <v>5</v>
      </c>
      <c r="C1738">
        <v>5281512.4800000004</v>
      </c>
      <c r="D1738">
        <v>0.8</v>
      </c>
      <c r="E1738">
        <v>3788267.625</v>
      </c>
      <c r="F1738">
        <v>8469437.0999999996</v>
      </c>
      <c r="G1738">
        <v>3</v>
      </c>
      <c r="H1738">
        <v>1</v>
      </c>
      <c r="I1738">
        <v>3</v>
      </c>
      <c r="J1738">
        <v>2.4</v>
      </c>
      <c r="K1738" t="s">
        <v>1268</v>
      </c>
    </row>
    <row r="1739" spans="1:11" x14ac:dyDescent="0.35">
      <c r="A1739" t="s">
        <v>1750</v>
      </c>
      <c r="B1739">
        <v>5</v>
      </c>
      <c r="C1739">
        <v>-917531.36</v>
      </c>
      <c r="D1739">
        <v>0.6</v>
      </c>
      <c r="E1739">
        <v>4599121.551</v>
      </c>
      <c r="F1739">
        <v>8622045.1999999993</v>
      </c>
      <c r="G1739">
        <v>3</v>
      </c>
      <c r="H1739">
        <v>1</v>
      </c>
      <c r="I1739">
        <v>3</v>
      </c>
      <c r="J1739">
        <v>2.4</v>
      </c>
      <c r="K1739" t="s">
        <v>1268</v>
      </c>
    </row>
    <row r="1740" spans="1:11" x14ac:dyDescent="0.35">
      <c r="A1740" t="s">
        <v>1751</v>
      </c>
      <c r="B1740">
        <v>5</v>
      </c>
      <c r="C1740">
        <v>11072696.24</v>
      </c>
      <c r="D1740">
        <v>0.8</v>
      </c>
      <c r="E1740">
        <v>14677772.77</v>
      </c>
      <c r="F1740">
        <v>9699157.3000000007</v>
      </c>
      <c r="G1740">
        <v>3</v>
      </c>
      <c r="H1740">
        <v>1</v>
      </c>
      <c r="I1740">
        <v>3</v>
      </c>
      <c r="J1740">
        <v>2.4</v>
      </c>
      <c r="K1740" t="s">
        <v>1268</v>
      </c>
    </row>
    <row r="1741" spans="1:11" x14ac:dyDescent="0.35">
      <c r="A1741" t="s">
        <v>1752</v>
      </c>
      <c r="B1741">
        <v>5</v>
      </c>
      <c r="C1741">
        <v>2783745.92</v>
      </c>
      <c r="D1741">
        <v>0.6</v>
      </c>
      <c r="E1741">
        <v>5326876.1519999998</v>
      </c>
      <c r="F1741">
        <v>9330461.1999999993</v>
      </c>
      <c r="G1741">
        <v>3</v>
      </c>
      <c r="H1741">
        <v>1</v>
      </c>
      <c r="I1741">
        <v>3</v>
      </c>
      <c r="J1741">
        <v>2.4</v>
      </c>
      <c r="K1741" t="s">
        <v>1268</v>
      </c>
    </row>
    <row r="1742" spans="1:11" x14ac:dyDescent="0.35">
      <c r="A1742" t="s">
        <v>1753</v>
      </c>
      <c r="B1742">
        <v>5</v>
      </c>
      <c r="C1742">
        <v>13074579.92</v>
      </c>
      <c r="D1742">
        <v>0.8</v>
      </c>
      <c r="E1742">
        <v>9620475.0299999993</v>
      </c>
      <c r="F1742">
        <v>12354862.300000001</v>
      </c>
      <c r="G1742">
        <v>3</v>
      </c>
      <c r="H1742">
        <v>1</v>
      </c>
      <c r="I1742">
        <v>3</v>
      </c>
      <c r="J1742">
        <v>2.4</v>
      </c>
      <c r="K1742" t="s">
        <v>1268</v>
      </c>
    </row>
    <row r="1743" spans="1:11" x14ac:dyDescent="0.35">
      <c r="A1743" t="s">
        <v>1754</v>
      </c>
      <c r="B1743">
        <v>5</v>
      </c>
      <c r="C1743">
        <v>7826119.5</v>
      </c>
      <c r="D1743">
        <v>0.6</v>
      </c>
      <c r="E1743">
        <v>12654932.02</v>
      </c>
      <c r="F1743">
        <v>19161928.600000001</v>
      </c>
      <c r="G1743">
        <v>3</v>
      </c>
      <c r="H1743">
        <v>1</v>
      </c>
      <c r="I1743">
        <v>3</v>
      </c>
      <c r="J1743">
        <v>2.4</v>
      </c>
      <c r="K1743" t="s">
        <v>1268</v>
      </c>
    </row>
    <row r="1744" spans="1:11" x14ac:dyDescent="0.35">
      <c r="A1744" t="s">
        <v>1755</v>
      </c>
      <c r="B1744">
        <v>5</v>
      </c>
      <c r="C1744">
        <v>11622299.32</v>
      </c>
      <c r="D1744">
        <v>0.8</v>
      </c>
      <c r="E1744">
        <v>9398179.8120000008</v>
      </c>
      <c r="F1744">
        <v>13363826.1</v>
      </c>
      <c r="G1744">
        <v>3</v>
      </c>
      <c r="H1744">
        <v>1</v>
      </c>
      <c r="I1744">
        <v>3</v>
      </c>
      <c r="J1744">
        <v>2.4</v>
      </c>
      <c r="K1744" t="s">
        <v>1268</v>
      </c>
    </row>
    <row r="1745" spans="1:11" x14ac:dyDescent="0.35">
      <c r="A1745" t="s">
        <v>1756</v>
      </c>
      <c r="B1745">
        <v>5</v>
      </c>
      <c r="C1745">
        <v>10000193.68</v>
      </c>
      <c r="D1745">
        <v>0.8</v>
      </c>
      <c r="E1745">
        <v>14112548.369999999</v>
      </c>
      <c r="F1745">
        <v>12696753.800000001</v>
      </c>
      <c r="G1745">
        <v>3</v>
      </c>
      <c r="H1745">
        <v>1</v>
      </c>
      <c r="I1745">
        <v>3</v>
      </c>
      <c r="J1745">
        <v>2.4</v>
      </c>
      <c r="K1745" t="s">
        <v>1268</v>
      </c>
    </row>
    <row r="1746" spans="1:11" x14ac:dyDescent="0.35">
      <c r="A1746" t="s">
        <v>1757</v>
      </c>
      <c r="B1746">
        <v>5</v>
      </c>
      <c r="C1746">
        <v>-671968.34</v>
      </c>
      <c r="D1746">
        <v>0.6</v>
      </c>
      <c r="E1746">
        <v>9317737.8609999996</v>
      </c>
      <c r="F1746">
        <v>24574842.399999999</v>
      </c>
      <c r="G1746">
        <v>3</v>
      </c>
      <c r="H1746">
        <v>1</v>
      </c>
      <c r="I1746">
        <v>3</v>
      </c>
      <c r="J1746">
        <v>2.4</v>
      </c>
      <c r="K1746" t="s">
        <v>1268</v>
      </c>
    </row>
    <row r="1747" spans="1:11" x14ac:dyDescent="0.35">
      <c r="A1747" t="s">
        <v>1758</v>
      </c>
      <c r="B1747">
        <v>5</v>
      </c>
      <c r="C1747">
        <v>16911436.899999999</v>
      </c>
      <c r="D1747">
        <v>0.8</v>
      </c>
      <c r="E1747">
        <v>15173384.939999999</v>
      </c>
      <c r="F1747">
        <v>25839623.5</v>
      </c>
      <c r="G1747">
        <v>3</v>
      </c>
      <c r="H1747">
        <v>1</v>
      </c>
      <c r="I1747">
        <v>3</v>
      </c>
      <c r="J1747">
        <v>2.4</v>
      </c>
      <c r="K1747" t="s">
        <v>1268</v>
      </c>
    </row>
    <row r="1748" spans="1:11" x14ac:dyDescent="0.35">
      <c r="A1748" t="s">
        <v>1759</v>
      </c>
      <c r="B1748">
        <v>5</v>
      </c>
      <c r="C1748">
        <v>11260854.24</v>
      </c>
      <c r="D1748">
        <v>0.8</v>
      </c>
      <c r="E1748">
        <v>8511661.8550000004</v>
      </c>
      <c r="F1748">
        <v>19383748.699999999</v>
      </c>
      <c r="G1748">
        <v>3</v>
      </c>
      <c r="H1748">
        <v>1</v>
      </c>
      <c r="I1748">
        <v>3</v>
      </c>
      <c r="J1748">
        <v>2.4</v>
      </c>
      <c r="K1748" t="s">
        <v>1268</v>
      </c>
    </row>
    <row r="1749" spans="1:11" x14ac:dyDescent="0.35">
      <c r="A1749" t="s">
        <v>1760</v>
      </c>
      <c r="B1749">
        <v>5</v>
      </c>
      <c r="C1749">
        <v>1765463886</v>
      </c>
      <c r="D1749">
        <v>1</v>
      </c>
      <c r="E1749">
        <v>962791453.10000002</v>
      </c>
      <c r="F1749">
        <v>31951724</v>
      </c>
      <c r="G1749">
        <v>1</v>
      </c>
      <c r="H1749">
        <v>5</v>
      </c>
      <c r="I1749">
        <v>2</v>
      </c>
      <c r="J1749">
        <v>2.4</v>
      </c>
      <c r="K1749" t="s">
        <v>1268</v>
      </c>
    </row>
    <row r="1750" spans="1:11" x14ac:dyDescent="0.35">
      <c r="A1750" t="s">
        <v>1761</v>
      </c>
      <c r="B1750">
        <v>5</v>
      </c>
      <c r="C1750">
        <v>4514779.74</v>
      </c>
      <c r="D1750">
        <v>0.8</v>
      </c>
      <c r="E1750">
        <v>14047340.449999999</v>
      </c>
      <c r="F1750">
        <v>26606283.399999999</v>
      </c>
      <c r="G1750">
        <v>3</v>
      </c>
      <c r="H1750">
        <v>1</v>
      </c>
      <c r="I1750">
        <v>3</v>
      </c>
      <c r="J1750">
        <v>2.4</v>
      </c>
      <c r="K1750" t="s">
        <v>1268</v>
      </c>
    </row>
    <row r="1751" spans="1:11" x14ac:dyDescent="0.35">
      <c r="A1751" t="s">
        <v>1762</v>
      </c>
      <c r="B1751">
        <v>5</v>
      </c>
      <c r="C1751">
        <v>889413664.20000005</v>
      </c>
      <c r="D1751">
        <v>1</v>
      </c>
      <c r="E1751">
        <v>381608179</v>
      </c>
      <c r="F1751">
        <v>154688704.40000001</v>
      </c>
      <c r="G1751">
        <v>1</v>
      </c>
      <c r="H1751">
        <v>5</v>
      </c>
      <c r="I1751">
        <v>2</v>
      </c>
      <c r="J1751">
        <v>2.4</v>
      </c>
      <c r="K1751" t="s">
        <v>1268</v>
      </c>
    </row>
    <row r="1752" spans="1:11" x14ac:dyDescent="0.35">
      <c r="A1752" t="s">
        <v>1763</v>
      </c>
      <c r="B1752">
        <v>5</v>
      </c>
      <c r="C1752">
        <v>964633137.39999998</v>
      </c>
      <c r="D1752">
        <v>1</v>
      </c>
      <c r="E1752">
        <v>396384571.89999998</v>
      </c>
      <c r="F1752">
        <v>191098319.80000001</v>
      </c>
      <c r="G1752">
        <v>1</v>
      </c>
      <c r="H1752">
        <v>5</v>
      </c>
      <c r="I1752">
        <v>2</v>
      </c>
      <c r="J1752">
        <v>2.4</v>
      </c>
      <c r="K1752" t="s">
        <v>1268</v>
      </c>
    </row>
    <row r="1753" spans="1:11" x14ac:dyDescent="0.35">
      <c r="A1753" t="s">
        <v>1764</v>
      </c>
      <c r="B1753">
        <v>5</v>
      </c>
      <c r="C1753">
        <v>409428925.5</v>
      </c>
      <c r="D1753">
        <v>1</v>
      </c>
      <c r="E1753">
        <v>113982136.7</v>
      </c>
      <c r="F1753">
        <v>199264126.69999999</v>
      </c>
      <c r="G1753">
        <v>2</v>
      </c>
      <c r="H1753">
        <v>4</v>
      </c>
      <c r="I1753">
        <v>1</v>
      </c>
      <c r="J1753">
        <v>2.4</v>
      </c>
      <c r="K1753" t="s">
        <v>1268</v>
      </c>
    </row>
    <row r="1754" spans="1:11" x14ac:dyDescent="0.35">
      <c r="A1754" t="s">
        <v>1765</v>
      </c>
      <c r="B1754">
        <v>5</v>
      </c>
      <c r="C1754">
        <v>182412631.40000001</v>
      </c>
      <c r="D1754">
        <v>1</v>
      </c>
      <c r="E1754">
        <v>138551886.40000001</v>
      </c>
      <c r="F1754">
        <v>204798833.09999999</v>
      </c>
      <c r="G1754">
        <v>2</v>
      </c>
      <c r="H1754">
        <v>4</v>
      </c>
      <c r="I1754">
        <v>1</v>
      </c>
      <c r="J1754">
        <v>2.4</v>
      </c>
      <c r="K1754" t="s">
        <v>1268</v>
      </c>
    </row>
    <row r="1755" spans="1:11" x14ac:dyDescent="0.35">
      <c r="A1755" t="s">
        <v>1766</v>
      </c>
      <c r="B1755">
        <v>5</v>
      </c>
      <c r="C1755">
        <v>420203075.19999999</v>
      </c>
      <c r="D1755">
        <v>1</v>
      </c>
      <c r="E1755">
        <v>132604142.40000001</v>
      </c>
      <c r="F1755">
        <v>215673693</v>
      </c>
      <c r="G1755">
        <v>2</v>
      </c>
      <c r="H1755">
        <v>4</v>
      </c>
      <c r="I1755">
        <v>1</v>
      </c>
      <c r="J1755">
        <v>2.4</v>
      </c>
      <c r="K1755" t="s">
        <v>1268</v>
      </c>
    </row>
    <row r="1756" spans="1:11" x14ac:dyDescent="0.35">
      <c r="A1756" t="s">
        <v>1767</v>
      </c>
      <c r="B1756">
        <v>5</v>
      </c>
      <c r="C1756">
        <v>299393741.69999999</v>
      </c>
      <c r="D1756">
        <v>0.8</v>
      </c>
      <c r="E1756">
        <v>278944101.19999999</v>
      </c>
      <c r="F1756">
        <v>205569353.09999999</v>
      </c>
      <c r="G1756">
        <v>2</v>
      </c>
      <c r="H1756">
        <v>4</v>
      </c>
      <c r="I1756">
        <v>1</v>
      </c>
      <c r="J1756">
        <v>2.4</v>
      </c>
      <c r="K1756" t="s">
        <v>1268</v>
      </c>
    </row>
    <row r="1757" spans="1:11" x14ac:dyDescent="0.35">
      <c r="A1757" t="s">
        <v>1768</v>
      </c>
      <c r="B1757">
        <v>5</v>
      </c>
      <c r="C1757">
        <v>251972597.69999999</v>
      </c>
      <c r="D1757">
        <v>1</v>
      </c>
      <c r="E1757">
        <v>130548308.40000001</v>
      </c>
      <c r="F1757">
        <v>224773951.69999999</v>
      </c>
      <c r="G1757">
        <v>2</v>
      </c>
      <c r="H1757">
        <v>4</v>
      </c>
      <c r="I1757">
        <v>1</v>
      </c>
      <c r="J1757">
        <v>2.4</v>
      </c>
      <c r="K1757" t="s">
        <v>1268</v>
      </c>
    </row>
    <row r="1758" spans="1:11" x14ac:dyDescent="0.35">
      <c r="A1758" t="s">
        <v>1769</v>
      </c>
      <c r="B1758">
        <v>5</v>
      </c>
      <c r="C1758">
        <v>383424419.39999998</v>
      </c>
      <c r="D1758">
        <v>1</v>
      </c>
      <c r="E1758">
        <v>195205485.5</v>
      </c>
      <c r="F1758">
        <v>228487701.5</v>
      </c>
      <c r="G1758">
        <v>2</v>
      </c>
      <c r="H1758">
        <v>4</v>
      </c>
      <c r="I1758">
        <v>1</v>
      </c>
      <c r="J1758">
        <v>2.4</v>
      </c>
      <c r="K1758" t="s">
        <v>1268</v>
      </c>
    </row>
    <row r="1759" spans="1:11" x14ac:dyDescent="0.35">
      <c r="A1759" t="s">
        <v>1770</v>
      </c>
      <c r="B1759">
        <v>5</v>
      </c>
      <c r="C1759">
        <v>1371464372</v>
      </c>
      <c r="D1759">
        <v>1</v>
      </c>
      <c r="E1759">
        <v>294111320.69999999</v>
      </c>
      <c r="F1759">
        <v>327767810</v>
      </c>
      <c r="G1759">
        <v>2</v>
      </c>
      <c r="H1759">
        <v>4</v>
      </c>
      <c r="I1759">
        <v>1</v>
      </c>
      <c r="J1759">
        <v>2.4</v>
      </c>
      <c r="K1759" t="s">
        <v>1268</v>
      </c>
    </row>
    <row r="1760" spans="1:11" x14ac:dyDescent="0.35">
      <c r="A1760" t="s">
        <v>1771</v>
      </c>
      <c r="B1760">
        <v>5</v>
      </c>
      <c r="C1760">
        <v>788863852.60000002</v>
      </c>
      <c r="D1760">
        <v>1</v>
      </c>
      <c r="E1760">
        <v>151600291.40000001</v>
      </c>
      <c r="F1760">
        <v>304182573.10000002</v>
      </c>
      <c r="G1760">
        <v>2</v>
      </c>
      <c r="H1760">
        <v>4</v>
      </c>
      <c r="I1760">
        <v>1</v>
      </c>
      <c r="J1760">
        <v>2.4</v>
      </c>
      <c r="K1760" t="s">
        <v>1268</v>
      </c>
    </row>
    <row r="1761" spans="1:11" x14ac:dyDescent="0.35">
      <c r="A1761" t="s">
        <v>1772</v>
      </c>
      <c r="B1761">
        <v>5</v>
      </c>
      <c r="C1761">
        <v>234479824.80000001</v>
      </c>
      <c r="D1761">
        <v>1</v>
      </c>
      <c r="E1761">
        <v>158134402.90000001</v>
      </c>
      <c r="F1761">
        <v>294803998.69999999</v>
      </c>
      <c r="G1761">
        <v>2</v>
      </c>
      <c r="H1761">
        <v>4</v>
      </c>
      <c r="I1761">
        <v>1</v>
      </c>
      <c r="J1761">
        <v>2.4</v>
      </c>
      <c r="K1761" t="s">
        <v>1268</v>
      </c>
    </row>
    <row r="1762" spans="1:11" x14ac:dyDescent="0.35">
      <c r="A1762" t="s">
        <v>1773</v>
      </c>
      <c r="B1762">
        <v>5</v>
      </c>
      <c r="C1762">
        <v>473992374.5</v>
      </c>
      <c r="D1762">
        <v>1</v>
      </c>
      <c r="E1762">
        <v>116308977</v>
      </c>
      <c r="F1762">
        <v>270978367.69999999</v>
      </c>
      <c r="G1762">
        <v>2</v>
      </c>
      <c r="H1762">
        <v>4</v>
      </c>
      <c r="I1762">
        <v>1</v>
      </c>
      <c r="J1762">
        <v>2.4</v>
      </c>
      <c r="K1762" t="s">
        <v>1268</v>
      </c>
    </row>
    <row r="1763" spans="1:11" x14ac:dyDescent="0.35">
      <c r="A1763" t="s">
        <v>1774</v>
      </c>
      <c r="B1763">
        <v>5</v>
      </c>
      <c r="C1763">
        <v>357705411.80000001</v>
      </c>
      <c r="D1763">
        <v>1</v>
      </c>
      <c r="E1763">
        <v>194455279.40000001</v>
      </c>
      <c r="F1763">
        <v>255913655.40000001</v>
      </c>
      <c r="G1763">
        <v>2</v>
      </c>
      <c r="H1763">
        <v>4</v>
      </c>
      <c r="I1763">
        <v>1</v>
      </c>
      <c r="J1763">
        <v>2.4</v>
      </c>
      <c r="K1763" t="s">
        <v>1268</v>
      </c>
    </row>
    <row r="1764" spans="1:11" x14ac:dyDescent="0.35">
      <c r="A1764" t="s">
        <v>1775</v>
      </c>
      <c r="B1764">
        <v>5</v>
      </c>
      <c r="C1764">
        <v>228037584.69999999</v>
      </c>
      <c r="D1764">
        <v>0.8</v>
      </c>
      <c r="E1764">
        <v>195733158.80000001</v>
      </c>
      <c r="F1764">
        <v>267153498.30000001</v>
      </c>
      <c r="G1764">
        <v>2</v>
      </c>
      <c r="H1764">
        <v>4</v>
      </c>
      <c r="I1764">
        <v>1</v>
      </c>
      <c r="J1764">
        <v>2.4</v>
      </c>
      <c r="K1764" t="s">
        <v>1268</v>
      </c>
    </row>
    <row r="1765" spans="1:11" x14ac:dyDescent="0.35">
      <c r="A1765" t="s">
        <v>1776</v>
      </c>
      <c r="B1765">
        <v>5</v>
      </c>
      <c r="C1765">
        <v>190344312.90000001</v>
      </c>
      <c r="D1765">
        <v>1</v>
      </c>
      <c r="E1765">
        <v>155159962.69999999</v>
      </c>
      <c r="F1765">
        <v>261714649</v>
      </c>
      <c r="G1765">
        <v>2</v>
      </c>
      <c r="H1765">
        <v>4</v>
      </c>
      <c r="I1765">
        <v>1</v>
      </c>
      <c r="J1765">
        <v>2.4</v>
      </c>
      <c r="K1765" t="s">
        <v>1268</v>
      </c>
    </row>
    <row r="1766" spans="1:11" x14ac:dyDescent="0.35">
      <c r="A1766" t="s">
        <v>1777</v>
      </c>
      <c r="B1766">
        <v>5</v>
      </c>
      <c r="C1766">
        <v>247306227.80000001</v>
      </c>
      <c r="D1766">
        <v>1</v>
      </c>
      <c r="E1766">
        <v>114986538.7</v>
      </c>
      <c r="F1766">
        <v>254110661.19999999</v>
      </c>
      <c r="G1766">
        <v>2</v>
      </c>
      <c r="H1766">
        <v>4</v>
      </c>
      <c r="I1766">
        <v>1</v>
      </c>
      <c r="J1766">
        <v>2.4</v>
      </c>
      <c r="K1766" t="s">
        <v>1268</v>
      </c>
    </row>
    <row r="1767" spans="1:11" x14ac:dyDescent="0.35">
      <c r="A1767" t="s">
        <v>1778</v>
      </c>
      <c r="B1767">
        <v>5</v>
      </c>
      <c r="C1767">
        <v>1620763952</v>
      </c>
      <c r="D1767">
        <v>1</v>
      </c>
      <c r="E1767">
        <v>131546193.5</v>
      </c>
      <c r="F1767">
        <v>251415093</v>
      </c>
      <c r="G1767">
        <v>2</v>
      </c>
      <c r="H1767">
        <v>4</v>
      </c>
      <c r="I1767">
        <v>1</v>
      </c>
      <c r="J1767">
        <v>2.4</v>
      </c>
      <c r="K1767" t="s">
        <v>1268</v>
      </c>
    </row>
    <row r="1768" spans="1:11" x14ac:dyDescent="0.35">
      <c r="A1768" t="s">
        <v>1779</v>
      </c>
      <c r="B1768">
        <v>5</v>
      </c>
      <c r="C1768">
        <v>507066812.5</v>
      </c>
      <c r="D1768">
        <v>1</v>
      </c>
      <c r="E1768">
        <v>213847241.80000001</v>
      </c>
      <c r="F1768">
        <v>249423925.5</v>
      </c>
      <c r="G1768">
        <v>2</v>
      </c>
      <c r="H1768">
        <v>4</v>
      </c>
      <c r="I1768">
        <v>1</v>
      </c>
      <c r="J1768">
        <v>2.4</v>
      </c>
      <c r="K1768" t="s">
        <v>1268</v>
      </c>
    </row>
    <row r="1769" spans="1:11" x14ac:dyDescent="0.35">
      <c r="A1769" t="s">
        <v>1780</v>
      </c>
      <c r="B1769">
        <v>5</v>
      </c>
      <c r="C1769">
        <v>125950721.40000001</v>
      </c>
      <c r="D1769">
        <v>0.8</v>
      </c>
      <c r="E1769">
        <v>193201915.69999999</v>
      </c>
      <c r="F1769">
        <v>246210070.5</v>
      </c>
      <c r="G1769">
        <v>2</v>
      </c>
      <c r="H1769">
        <v>4</v>
      </c>
      <c r="I1769">
        <v>1</v>
      </c>
      <c r="J1769">
        <v>2.4</v>
      </c>
      <c r="K1769" t="s">
        <v>1268</v>
      </c>
    </row>
    <row r="1770" spans="1:11" x14ac:dyDescent="0.35">
      <c r="A1770" t="s">
        <v>1781</v>
      </c>
      <c r="B1770">
        <v>5</v>
      </c>
      <c r="C1770">
        <v>1001806712</v>
      </c>
      <c r="D1770">
        <v>1</v>
      </c>
      <c r="E1770">
        <v>144271344.69999999</v>
      </c>
      <c r="F1770">
        <v>235976958.5</v>
      </c>
      <c r="G1770">
        <v>2</v>
      </c>
      <c r="H1770">
        <v>4</v>
      </c>
      <c r="I1770">
        <v>1</v>
      </c>
      <c r="J1770">
        <v>2.4</v>
      </c>
      <c r="K1770" t="s">
        <v>1268</v>
      </c>
    </row>
    <row r="1771" spans="1:11" x14ac:dyDescent="0.35">
      <c r="A1771" t="s">
        <v>1782</v>
      </c>
      <c r="B1771">
        <v>5</v>
      </c>
      <c r="C1771">
        <v>129507635.40000001</v>
      </c>
      <c r="D1771">
        <v>0.8</v>
      </c>
      <c r="E1771">
        <v>200337349.59999999</v>
      </c>
      <c r="F1771">
        <v>399423325.5</v>
      </c>
      <c r="G1771">
        <v>2</v>
      </c>
      <c r="H1771">
        <v>4</v>
      </c>
      <c r="I1771">
        <v>1</v>
      </c>
      <c r="J1771">
        <v>2.4</v>
      </c>
      <c r="K1771" t="s">
        <v>1268</v>
      </c>
    </row>
    <row r="1772" spans="1:11" x14ac:dyDescent="0.35">
      <c r="A1772" t="s">
        <v>1783</v>
      </c>
      <c r="B1772">
        <v>5</v>
      </c>
      <c r="C1772">
        <v>1190917783</v>
      </c>
      <c r="D1772">
        <v>1</v>
      </c>
      <c r="E1772">
        <v>195423563.80000001</v>
      </c>
      <c r="F1772">
        <v>382635036</v>
      </c>
      <c r="G1772">
        <v>2</v>
      </c>
      <c r="H1772">
        <v>4</v>
      </c>
      <c r="I1772">
        <v>1</v>
      </c>
      <c r="J1772">
        <v>2.4</v>
      </c>
      <c r="K1772" t="s">
        <v>1268</v>
      </c>
    </row>
    <row r="1773" spans="1:11" x14ac:dyDescent="0.35">
      <c r="A1773" t="s">
        <v>1784</v>
      </c>
      <c r="B1773">
        <v>5</v>
      </c>
      <c r="C1773">
        <v>271954708.60000002</v>
      </c>
      <c r="D1773">
        <v>1</v>
      </c>
      <c r="E1773">
        <v>203999713.19999999</v>
      </c>
      <c r="F1773">
        <v>372478209.60000002</v>
      </c>
      <c r="G1773">
        <v>2</v>
      </c>
      <c r="H1773">
        <v>4</v>
      </c>
      <c r="I1773">
        <v>1</v>
      </c>
      <c r="J1773">
        <v>2.4</v>
      </c>
      <c r="K1773" t="s">
        <v>1268</v>
      </c>
    </row>
    <row r="1774" spans="1:11" x14ac:dyDescent="0.35">
      <c r="A1774" t="s">
        <v>1785</v>
      </c>
      <c r="B1774">
        <v>5</v>
      </c>
      <c r="C1774">
        <v>679909168.29999995</v>
      </c>
      <c r="D1774">
        <v>1</v>
      </c>
      <c r="E1774">
        <v>160974859.30000001</v>
      </c>
      <c r="F1774">
        <v>371496435</v>
      </c>
      <c r="G1774">
        <v>2</v>
      </c>
      <c r="H1774">
        <v>4</v>
      </c>
      <c r="I1774">
        <v>1</v>
      </c>
      <c r="J1774">
        <v>2.4</v>
      </c>
      <c r="K1774" t="s">
        <v>1268</v>
      </c>
    </row>
    <row r="1775" spans="1:11" x14ac:dyDescent="0.35">
      <c r="A1775" t="s">
        <v>1786</v>
      </c>
      <c r="B1775">
        <v>5</v>
      </c>
      <c r="C1775">
        <v>496052120.39999998</v>
      </c>
      <c r="D1775">
        <v>1</v>
      </c>
      <c r="E1775">
        <v>177289751.30000001</v>
      </c>
      <c r="F1775">
        <v>438104170.69999999</v>
      </c>
      <c r="G1775">
        <v>2</v>
      </c>
      <c r="H1775">
        <v>4</v>
      </c>
      <c r="I1775">
        <v>1</v>
      </c>
      <c r="J1775">
        <v>2.4</v>
      </c>
      <c r="K1775" t="s">
        <v>1268</v>
      </c>
    </row>
    <row r="1776" spans="1:11" x14ac:dyDescent="0.35">
      <c r="A1776" t="s">
        <v>1787</v>
      </c>
      <c r="B1776">
        <v>5</v>
      </c>
      <c r="C1776">
        <v>287534413.60000002</v>
      </c>
      <c r="D1776">
        <v>0.8</v>
      </c>
      <c r="E1776">
        <v>227097991.19999999</v>
      </c>
      <c r="F1776">
        <v>329776116.19999999</v>
      </c>
      <c r="G1776">
        <v>2</v>
      </c>
      <c r="H1776">
        <v>4</v>
      </c>
      <c r="I1776">
        <v>1</v>
      </c>
      <c r="J1776">
        <v>2.4</v>
      </c>
      <c r="K1776" t="s">
        <v>1268</v>
      </c>
    </row>
    <row r="1777" spans="1:11" x14ac:dyDescent="0.35">
      <c r="A1777" t="s">
        <v>1788</v>
      </c>
      <c r="B1777">
        <v>5</v>
      </c>
      <c r="C1777">
        <v>870451732.5</v>
      </c>
      <c r="D1777">
        <v>1</v>
      </c>
      <c r="E1777">
        <v>290153851.60000002</v>
      </c>
      <c r="F1777">
        <v>321617977.60000002</v>
      </c>
      <c r="G1777">
        <v>2</v>
      </c>
      <c r="H1777">
        <v>4</v>
      </c>
      <c r="I1777">
        <v>1</v>
      </c>
      <c r="J1777">
        <v>2.4</v>
      </c>
      <c r="K1777" t="s">
        <v>1268</v>
      </c>
    </row>
    <row r="1778" spans="1:11" x14ac:dyDescent="0.35">
      <c r="A1778" t="s">
        <v>1789</v>
      </c>
      <c r="B1778">
        <v>5</v>
      </c>
      <c r="C1778">
        <v>352321580.5</v>
      </c>
      <c r="D1778">
        <v>1</v>
      </c>
      <c r="E1778">
        <v>282143765.89999998</v>
      </c>
      <c r="F1778">
        <v>319455594.5</v>
      </c>
      <c r="G1778">
        <v>2</v>
      </c>
      <c r="H1778">
        <v>4</v>
      </c>
      <c r="I1778">
        <v>1</v>
      </c>
      <c r="J1778">
        <v>2.4</v>
      </c>
      <c r="K1778" t="s">
        <v>1268</v>
      </c>
    </row>
    <row r="1779" spans="1:11" x14ac:dyDescent="0.35">
      <c r="A1779" t="s">
        <v>1790</v>
      </c>
      <c r="B1779">
        <v>5</v>
      </c>
      <c r="C1779">
        <v>799765402.20000005</v>
      </c>
      <c r="D1779">
        <v>1</v>
      </c>
      <c r="E1779">
        <v>160228809.09999999</v>
      </c>
      <c r="F1779">
        <v>358889822.89999998</v>
      </c>
      <c r="G1779">
        <v>2</v>
      </c>
      <c r="H1779">
        <v>4</v>
      </c>
      <c r="I1779">
        <v>1</v>
      </c>
      <c r="J1779">
        <v>2.4</v>
      </c>
      <c r="K1779" t="s">
        <v>1268</v>
      </c>
    </row>
    <row r="1780" spans="1:11" x14ac:dyDescent="0.35">
      <c r="A1780" t="s">
        <v>1791</v>
      </c>
      <c r="B1780">
        <v>5</v>
      </c>
      <c r="C1780">
        <v>352416808.5</v>
      </c>
      <c r="D1780">
        <v>1</v>
      </c>
      <c r="E1780">
        <v>158564347.90000001</v>
      </c>
      <c r="F1780">
        <v>354801551.89999998</v>
      </c>
      <c r="G1780">
        <v>2</v>
      </c>
      <c r="H1780">
        <v>4</v>
      </c>
      <c r="I1780">
        <v>1</v>
      </c>
      <c r="J1780">
        <v>2.4</v>
      </c>
      <c r="K1780" t="s">
        <v>1268</v>
      </c>
    </row>
    <row r="1781" spans="1:11" x14ac:dyDescent="0.35">
      <c r="A1781" t="s">
        <v>1792</v>
      </c>
      <c r="B1781">
        <v>5</v>
      </c>
      <c r="C1781">
        <v>479809744.30000001</v>
      </c>
      <c r="D1781">
        <v>1</v>
      </c>
      <c r="E1781">
        <v>176611256.90000001</v>
      </c>
      <c r="F1781">
        <v>336352574.89999998</v>
      </c>
      <c r="G1781">
        <v>2</v>
      </c>
      <c r="H1781">
        <v>4</v>
      </c>
      <c r="I1781">
        <v>1</v>
      </c>
      <c r="J1781">
        <v>2.4</v>
      </c>
      <c r="K1781" t="s">
        <v>1268</v>
      </c>
    </row>
    <row r="1782" spans="1:11" x14ac:dyDescent="0.35">
      <c r="A1782" t="s">
        <v>1793</v>
      </c>
      <c r="B1782">
        <v>5</v>
      </c>
      <c r="C1782">
        <v>440738909.60000002</v>
      </c>
      <c r="D1782">
        <v>1</v>
      </c>
      <c r="E1782">
        <v>223368876.59999999</v>
      </c>
      <c r="F1782">
        <v>334612971</v>
      </c>
      <c r="G1782">
        <v>2</v>
      </c>
      <c r="H1782">
        <v>4</v>
      </c>
      <c r="I1782">
        <v>1</v>
      </c>
      <c r="J1782">
        <v>2.4</v>
      </c>
      <c r="K1782" t="s">
        <v>1268</v>
      </c>
    </row>
    <row r="1783" spans="1:11" x14ac:dyDescent="0.35">
      <c r="A1783" t="s">
        <v>1794</v>
      </c>
      <c r="B1783">
        <v>5</v>
      </c>
      <c r="C1783">
        <v>506239634.5</v>
      </c>
      <c r="D1783">
        <v>1</v>
      </c>
      <c r="E1783">
        <v>129778837.59999999</v>
      </c>
      <c r="F1783">
        <v>332563016.69999999</v>
      </c>
      <c r="G1783">
        <v>2</v>
      </c>
      <c r="H1783">
        <v>4</v>
      </c>
      <c r="I1783">
        <v>1</v>
      </c>
      <c r="J1783">
        <v>2.4</v>
      </c>
      <c r="K1783" t="s">
        <v>1268</v>
      </c>
    </row>
    <row r="1784" spans="1:11" x14ac:dyDescent="0.35">
      <c r="A1784" t="s">
        <v>1795</v>
      </c>
      <c r="B1784">
        <v>5</v>
      </c>
      <c r="C1784">
        <v>423899192</v>
      </c>
      <c r="D1784">
        <v>1</v>
      </c>
      <c r="E1784">
        <v>188004594.69999999</v>
      </c>
      <c r="F1784">
        <v>379020616.5</v>
      </c>
      <c r="G1784">
        <v>2</v>
      </c>
      <c r="H1784">
        <v>4</v>
      </c>
      <c r="I1784">
        <v>1</v>
      </c>
      <c r="J1784">
        <v>2.4</v>
      </c>
      <c r="K1784" t="s">
        <v>1268</v>
      </c>
    </row>
    <row r="1785" spans="1:11" x14ac:dyDescent="0.35">
      <c r="A1785" t="s">
        <v>1796</v>
      </c>
      <c r="B1785">
        <v>5</v>
      </c>
      <c r="C1785">
        <v>865549163.20000005</v>
      </c>
      <c r="D1785">
        <v>1</v>
      </c>
      <c r="E1785">
        <v>237438847</v>
      </c>
      <c r="F1785">
        <v>369843657.60000002</v>
      </c>
      <c r="G1785">
        <v>2</v>
      </c>
      <c r="H1785">
        <v>4</v>
      </c>
      <c r="I1785">
        <v>1</v>
      </c>
      <c r="J1785">
        <v>2.4</v>
      </c>
      <c r="K1785" t="s">
        <v>1268</v>
      </c>
    </row>
    <row r="1786" spans="1:11" x14ac:dyDescent="0.35">
      <c r="A1786" t="s">
        <v>1797</v>
      </c>
      <c r="B1786">
        <v>5</v>
      </c>
      <c r="C1786">
        <v>832288974.79999995</v>
      </c>
      <c r="D1786">
        <v>1</v>
      </c>
      <c r="E1786">
        <v>262342803.30000001</v>
      </c>
      <c r="F1786">
        <v>655965959.10000002</v>
      </c>
      <c r="G1786">
        <v>2</v>
      </c>
      <c r="H1786">
        <v>4</v>
      </c>
      <c r="I1786">
        <v>1</v>
      </c>
      <c r="J1786">
        <v>2.4</v>
      </c>
      <c r="K1786" t="s">
        <v>1268</v>
      </c>
    </row>
    <row r="1787" spans="1:11" x14ac:dyDescent="0.35">
      <c r="A1787" t="s">
        <v>1798</v>
      </c>
      <c r="B1787">
        <v>5</v>
      </c>
      <c r="C1787">
        <v>592105488.39999998</v>
      </c>
      <c r="D1787">
        <v>1</v>
      </c>
      <c r="E1787">
        <v>245944236.40000001</v>
      </c>
      <c r="F1787">
        <v>540095834.29999995</v>
      </c>
      <c r="G1787">
        <v>2</v>
      </c>
      <c r="H1787">
        <v>4</v>
      </c>
      <c r="I1787">
        <v>1</v>
      </c>
      <c r="J1787">
        <v>2.4</v>
      </c>
      <c r="K1787" t="s">
        <v>1268</v>
      </c>
    </row>
    <row r="1788" spans="1:11" x14ac:dyDescent="0.35">
      <c r="A1788" t="s">
        <v>1799</v>
      </c>
      <c r="B1788">
        <v>5</v>
      </c>
      <c r="C1788">
        <v>1228632090</v>
      </c>
      <c r="D1788">
        <v>1</v>
      </c>
      <c r="E1788">
        <v>249588262.90000001</v>
      </c>
      <c r="F1788">
        <v>597187830</v>
      </c>
      <c r="G1788">
        <v>2</v>
      </c>
      <c r="H1788">
        <v>4</v>
      </c>
      <c r="I1788">
        <v>1</v>
      </c>
      <c r="J1788">
        <v>2.4</v>
      </c>
      <c r="K1788" t="s">
        <v>1268</v>
      </c>
    </row>
    <row r="1789" spans="1:11" x14ac:dyDescent="0.35">
      <c r="A1789" t="s">
        <v>1800</v>
      </c>
      <c r="B1789">
        <v>5</v>
      </c>
      <c r="C1789">
        <v>245452898.19999999</v>
      </c>
      <c r="D1789">
        <v>1</v>
      </c>
      <c r="E1789">
        <v>250457317.59999999</v>
      </c>
      <c r="F1789">
        <v>594800456</v>
      </c>
      <c r="G1789">
        <v>2</v>
      </c>
      <c r="H1789">
        <v>4</v>
      </c>
      <c r="I1789">
        <v>1</v>
      </c>
      <c r="J1789">
        <v>2.4</v>
      </c>
      <c r="K1789" t="s">
        <v>1268</v>
      </c>
    </row>
    <row r="1790" spans="1:11" x14ac:dyDescent="0.35">
      <c r="A1790" t="s">
        <v>1801</v>
      </c>
      <c r="B1790">
        <v>5</v>
      </c>
      <c r="C1790">
        <v>1079183775</v>
      </c>
      <c r="D1790">
        <v>1</v>
      </c>
      <c r="E1790">
        <v>280091486.19999999</v>
      </c>
      <c r="F1790">
        <v>626732309.10000002</v>
      </c>
      <c r="G1790">
        <v>2</v>
      </c>
      <c r="H1790">
        <v>4</v>
      </c>
      <c r="I1790">
        <v>1</v>
      </c>
      <c r="J1790">
        <v>2.4</v>
      </c>
      <c r="K1790" t="s">
        <v>1268</v>
      </c>
    </row>
    <row r="1791" spans="1:11" x14ac:dyDescent="0.35">
      <c r="A1791" t="s">
        <v>1802</v>
      </c>
      <c r="B1791">
        <v>5</v>
      </c>
      <c r="C1791">
        <v>798658229.79999995</v>
      </c>
      <c r="D1791">
        <v>1</v>
      </c>
      <c r="E1791">
        <v>245207090.69999999</v>
      </c>
      <c r="F1791">
        <v>621680742.60000002</v>
      </c>
      <c r="G1791">
        <v>2</v>
      </c>
      <c r="H1791">
        <v>4</v>
      </c>
      <c r="I1791">
        <v>1</v>
      </c>
      <c r="J1791">
        <v>2.4</v>
      </c>
      <c r="K1791" t="s">
        <v>1268</v>
      </c>
    </row>
    <row r="1792" spans="1:11" x14ac:dyDescent="0.35">
      <c r="A1792" t="s">
        <v>1803</v>
      </c>
      <c r="B1792">
        <v>5</v>
      </c>
      <c r="C1792">
        <v>1291950193</v>
      </c>
      <c r="D1792">
        <v>1</v>
      </c>
      <c r="E1792">
        <v>287844708.5</v>
      </c>
      <c r="F1792">
        <v>616281792</v>
      </c>
      <c r="G1792">
        <v>2</v>
      </c>
      <c r="H1792">
        <v>4</v>
      </c>
      <c r="I1792">
        <v>1</v>
      </c>
      <c r="J1792">
        <v>2.4</v>
      </c>
      <c r="K1792" t="s">
        <v>1268</v>
      </c>
    </row>
    <row r="1793" spans="1:11" x14ac:dyDescent="0.35">
      <c r="A1793" t="s">
        <v>1804</v>
      </c>
      <c r="B1793">
        <v>5</v>
      </c>
      <c r="C1793">
        <v>213817920.40000001</v>
      </c>
      <c r="D1793">
        <v>0.8</v>
      </c>
      <c r="E1793">
        <v>207634953.5</v>
      </c>
      <c r="F1793">
        <v>458153733</v>
      </c>
      <c r="G1793">
        <v>2</v>
      </c>
      <c r="H1793">
        <v>4</v>
      </c>
      <c r="I1793">
        <v>1</v>
      </c>
      <c r="J1793">
        <v>2.4</v>
      </c>
      <c r="K1793" t="s">
        <v>1268</v>
      </c>
    </row>
    <row r="1794" spans="1:11" x14ac:dyDescent="0.35">
      <c r="A1794" t="s">
        <v>1805</v>
      </c>
      <c r="B1794">
        <v>5</v>
      </c>
      <c r="C1794">
        <v>1347429001</v>
      </c>
      <c r="D1794">
        <v>1</v>
      </c>
      <c r="E1794">
        <v>200959310.5</v>
      </c>
      <c r="F1794">
        <v>476255065</v>
      </c>
      <c r="G1794">
        <v>2</v>
      </c>
      <c r="H1794">
        <v>4</v>
      </c>
      <c r="I1794">
        <v>1</v>
      </c>
      <c r="J1794">
        <v>2.4</v>
      </c>
      <c r="K1794" t="s">
        <v>1268</v>
      </c>
    </row>
    <row r="1795" spans="1:11" x14ac:dyDescent="0.35">
      <c r="A1795" t="s">
        <v>1806</v>
      </c>
      <c r="B1795">
        <v>5</v>
      </c>
      <c r="C1795">
        <v>619336303.89999998</v>
      </c>
      <c r="D1795">
        <v>1</v>
      </c>
      <c r="E1795">
        <v>300907314.10000002</v>
      </c>
      <c r="F1795">
        <v>474723551.39999998</v>
      </c>
      <c r="G1795">
        <v>2</v>
      </c>
      <c r="H1795">
        <v>4</v>
      </c>
      <c r="I1795">
        <v>1</v>
      </c>
      <c r="J1795">
        <v>2.4</v>
      </c>
      <c r="K1795" t="s">
        <v>1268</v>
      </c>
    </row>
    <row r="1796" spans="1:11" x14ac:dyDescent="0.35">
      <c r="A1796" t="s">
        <v>1807</v>
      </c>
      <c r="B1796">
        <v>5</v>
      </c>
      <c r="C1796">
        <v>548610671.60000002</v>
      </c>
      <c r="D1796">
        <v>1</v>
      </c>
      <c r="E1796">
        <v>181884178.40000001</v>
      </c>
      <c r="F1796">
        <v>443209810.69999999</v>
      </c>
      <c r="G1796">
        <v>2</v>
      </c>
      <c r="H1796">
        <v>4</v>
      </c>
      <c r="I1796">
        <v>1</v>
      </c>
      <c r="J1796">
        <v>2.4</v>
      </c>
      <c r="K1796" t="s">
        <v>1268</v>
      </c>
    </row>
    <row r="1797" spans="1:11" x14ac:dyDescent="0.35">
      <c r="A1797" t="s">
        <v>1808</v>
      </c>
      <c r="B1797">
        <v>5</v>
      </c>
      <c r="C1797">
        <v>908366136.39999998</v>
      </c>
      <c r="D1797">
        <v>1</v>
      </c>
      <c r="E1797">
        <v>220391922.59999999</v>
      </c>
      <c r="F1797">
        <v>495012628.30000001</v>
      </c>
      <c r="G1797">
        <v>2</v>
      </c>
      <c r="H1797">
        <v>4</v>
      </c>
      <c r="I1797">
        <v>1</v>
      </c>
      <c r="J1797">
        <v>2.4</v>
      </c>
      <c r="K1797" t="s">
        <v>1268</v>
      </c>
    </row>
    <row r="1798" spans="1:11" x14ac:dyDescent="0.35">
      <c r="A1798" t="s">
        <v>1809</v>
      </c>
      <c r="B1798">
        <v>5</v>
      </c>
      <c r="C1798">
        <v>810379719.89999998</v>
      </c>
      <c r="D1798">
        <v>1</v>
      </c>
      <c r="E1798">
        <v>262668107.30000001</v>
      </c>
      <c r="F1798">
        <v>492991559.19999999</v>
      </c>
      <c r="G1798">
        <v>2</v>
      </c>
      <c r="H1798">
        <v>4</v>
      </c>
      <c r="I1798">
        <v>1</v>
      </c>
      <c r="J1798">
        <v>2.4</v>
      </c>
      <c r="K1798" t="s">
        <v>1268</v>
      </c>
    </row>
    <row r="1799" spans="1:11" x14ac:dyDescent="0.35">
      <c r="A1799" t="s">
        <v>1810</v>
      </c>
      <c r="B1799">
        <v>5</v>
      </c>
      <c r="C1799">
        <v>817595782.79999995</v>
      </c>
      <c r="D1799">
        <v>1</v>
      </c>
      <c r="E1799">
        <v>198841241.30000001</v>
      </c>
      <c r="F1799">
        <v>506350548.60000002</v>
      </c>
      <c r="G1799">
        <v>2</v>
      </c>
      <c r="H1799">
        <v>4</v>
      </c>
      <c r="I1799">
        <v>1</v>
      </c>
      <c r="J1799">
        <v>2.4</v>
      </c>
      <c r="K1799" t="s">
        <v>1268</v>
      </c>
    </row>
    <row r="1800" spans="1:11" x14ac:dyDescent="0.35">
      <c r="A1800" t="s">
        <v>1811</v>
      </c>
      <c r="B1800">
        <v>5</v>
      </c>
      <c r="C1800">
        <v>591908716.70000005</v>
      </c>
      <c r="D1800">
        <v>1</v>
      </c>
      <c r="E1800">
        <v>267362867.80000001</v>
      </c>
      <c r="F1800">
        <v>498682693</v>
      </c>
      <c r="G1800">
        <v>2</v>
      </c>
      <c r="H1800">
        <v>4</v>
      </c>
      <c r="I1800">
        <v>1</v>
      </c>
      <c r="J1800">
        <v>2.4</v>
      </c>
      <c r="K1800" t="s">
        <v>1268</v>
      </c>
    </row>
    <row r="1801" spans="1:11" x14ac:dyDescent="0.35">
      <c r="A1801" t="s">
        <v>1812</v>
      </c>
      <c r="B1801">
        <v>5</v>
      </c>
      <c r="C1801">
        <v>627034775.29999995</v>
      </c>
      <c r="D1801">
        <v>1</v>
      </c>
      <c r="E1801">
        <v>199870150.90000001</v>
      </c>
      <c r="F1801">
        <v>498058681.89999998</v>
      </c>
      <c r="G1801">
        <v>2</v>
      </c>
      <c r="H1801">
        <v>4</v>
      </c>
      <c r="I1801">
        <v>1</v>
      </c>
      <c r="J1801">
        <v>2.4</v>
      </c>
      <c r="K1801" t="s">
        <v>1268</v>
      </c>
    </row>
    <row r="1802" spans="1:11" x14ac:dyDescent="0.35">
      <c r="A1802" t="s">
        <v>1813</v>
      </c>
      <c r="B1802">
        <v>5</v>
      </c>
      <c r="C1802">
        <v>50261448.399999999</v>
      </c>
      <c r="D1802">
        <v>1</v>
      </c>
      <c r="E1802">
        <v>89743765.379999995</v>
      </c>
      <c r="F1802">
        <v>198411043.69999999</v>
      </c>
      <c r="G1802">
        <v>2</v>
      </c>
      <c r="H1802">
        <v>3</v>
      </c>
      <c r="I1802">
        <v>2</v>
      </c>
      <c r="J1802">
        <v>2.2999999999999998</v>
      </c>
      <c r="K1802" t="s">
        <v>1268</v>
      </c>
    </row>
    <row r="1803" spans="1:11" x14ac:dyDescent="0.35">
      <c r="A1803" t="s">
        <v>1814</v>
      </c>
      <c r="B1803">
        <v>5</v>
      </c>
      <c r="C1803">
        <v>411329246.10000002</v>
      </c>
      <c r="D1803">
        <v>1</v>
      </c>
      <c r="E1803">
        <v>76489253.680000007</v>
      </c>
      <c r="F1803">
        <v>195139109.19999999</v>
      </c>
      <c r="G1803">
        <v>2</v>
      </c>
      <c r="H1803">
        <v>3</v>
      </c>
      <c r="I1803">
        <v>2</v>
      </c>
      <c r="J1803">
        <v>2.2999999999999998</v>
      </c>
      <c r="K1803" t="s">
        <v>1268</v>
      </c>
    </row>
    <row r="1804" spans="1:11" x14ac:dyDescent="0.35">
      <c r="A1804" t="s">
        <v>1815</v>
      </c>
      <c r="B1804">
        <v>5</v>
      </c>
      <c r="C1804">
        <v>190873247.69999999</v>
      </c>
      <c r="D1804">
        <v>1</v>
      </c>
      <c r="E1804">
        <v>75173621.840000004</v>
      </c>
      <c r="F1804">
        <v>191771766.30000001</v>
      </c>
      <c r="G1804">
        <v>2</v>
      </c>
      <c r="H1804">
        <v>3</v>
      </c>
      <c r="I1804">
        <v>2</v>
      </c>
      <c r="J1804">
        <v>2.2999999999999998</v>
      </c>
      <c r="K1804" t="s">
        <v>1268</v>
      </c>
    </row>
    <row r="1805" spans="1:11" x14ac:dyDescent="0.35">
      <c r="A1805" t="s">
        <v>1816</v>
      </c>
      <c r="B1805">
        <v>5</v>
      </c>
      <c r="C1805">
        <v>217445428.19999999</v>
      </c>
      <c r="D1805">
        <v>1</v>
      </c>
      <c r="E1805">
        <v>79550852.769999996</v>
      </c>
      <c r="F1805">
        <v>176432191.80000001</v>
      </c>
      <c r="G1805">
        <v>2</v>
      </c>
      <c r="H1805">
        <v>3</v>
      </c>
      <c r="I1805">
        <v>2</v>
      </c>
      <c r="J1805">
        <v>2.2999999999999998</v>
      </c>
      <c r="K1805" t="s">
        <v>1268</v>
      </c>
    </row>
    <row r="1806" spans="1:11" x14ac:dyDescent="0.35">
      <c r="A1806" t="s">
        <v>1817</v>
      </c>
      <c r="B1806">
        <v>5</v>
      </c>
      <c r="C1806">
        <v>313561157.60000002</v>
      </c>
      <c r="D1806">
        <v>1</v>
      </c>
      <c r="E1806">
        <v>71341408.260000005</v>
      </c>
      <c r="F1806">
        <v>178125788</v>
      </c>
      <c r="G1806">
        <v>2</v>
      </c>
      <c r="H1806">
        <v>3</v>
      </c>
      <c r="I1806">
        <v>2</v>
      </c>
      <c r="J1806">
        <v>2.2999999999999998</v>
      </c>
      <c r="K1806" t="s">
        <v>1268</v>
      </c>
    </row>
    <row r="1807" spans="1:11" x14ac:dyDescent="0.35">
      <c r="A1807" t="s">
        <v>1818</v>
      </c>
      <c r="B1807">
        <v>5</v>
      </c>
      <c r="C1807">
        <v>201868880.09999999</v>
      </c>
      <c r="D1807">
        <v>1</v>
      </c>
      <c r="E1807">
        <v>81618248.019999996</v>
      </c>
      <c r="F1807">
        <v>178465620.09999999</v>
      </c>
      <c r="G1807">
        <v>2</v>
      </c>
      <c r="H1807">
        <v>3</v>
      </c>
      <c r="I1807">
        <v>2</v>
      </c>
      <c r="J1807">
        <v>2.2999999999999998</v>
      </c>
      <c r="K1807" t="s">
        <v>1268</v>
      </c>
    </row>
    <row r="1808" spans="1:11" x14ac:dyDescent="0.35">
      <c r="A1808" t="s">
        <v>1819</v>
      </c>
      <c r="B1808">
        <v>5</v>
      </c>
      <c r="C1808">
        <v>159968044.69999999</v>
      </c>
      <c r="D1808">
        <v>1</v>
      </c>
      <c r="E1808">
        <v>62157571.700000003</v>
      </c>
      <c r="F1808">
        <v>153824381.09999999</v>
      </c>
      <c r="G1808">
        <v>2</v>
      </c>
      <c r="H1808">
        <v>3</v>
      </c>
      <c r="I1808">
        <v>2</v>
      </c>
      <c r="J1808">
        <v>2.2999999999999998</v>
      </c>
      <c r="K1808" t="s">
        <v>1268</v>
      </c>
    </row>
    <row r="1809" spans="1:11" x14ac:dyDescent="0.35">
      <c r="A1809" t="s">
        <v>1820</v>
      </c>
      <c r="B1809">
        <v>5</v>
      </c>
      <c r="C1809">
        <v>112150917.90000001</v>
      </c>
      <c r="D1809">
        <v>0.8</v>
      </c>
      <c r="E1809">
        <v>76986121.760000005</v>
      </c>
      <c r="F1809">
        <v>155471622.80000001</v>
      </c>
      <c r="G1809">
        <v>2</v>
      </c>
      <c r="H1809">
        <v>3</v>
      </c>
      <c r="I1809">
        <v>2</v>
      </c>
      <c r="J1809">
        <v>2.2999999999999998</v>
      </c>
      <c r="K1809" t="s">
        <v>1268</v>
      </c>
    </row>
    <row r="1810" spans="1:11" x14ac:dyDescent="0.35">
      <c r="A1810" t="s">
        <v>1821</v>
      </c>
      <c r="B1810">
        <v>5</v>
      </c>
      <c r="C1810">
        <v>85851433.819999993</v>
      </c>
      <c r="D1810">
        <v>1</v>
      </c>
      <c r="E1810">
        <v>59682072.899999999</v>
      </c>
      <c r="F1810">
        <v>154971087.5</v>
      </c>
      <c r="G1810">
        <v>2</v>
      </c>
      <c r="H1810">
        <v>3</v>
      </c>
      <c r="I1810">
        <v>2</v>
      </c>
      <c r="J1810">
        <v>2.2999999999999998</v>
      </c>
      <c r="K1810" t="s">
        <v>1268</v>
      </c>
    </row>
    <row r="1811" spans="1:11" x14ac:dyDescent="0.35">
      <c r="A1811" t="s">
        <v>1822</v>
      </c>
      <c r="B1811">
        <v>5</v>
      </c>
      <c r="C1811">
        <v>63420506.299999997</v>
      </c>
      <c r="D1811">
        <v>0.8</v>
      </c>
      <c r="E1811">
        <v>61661796.829999998</v>
      </c>
      <c r="F1811">
        <v>159220420.69999999</v>
      </c>
      <c r="G1811">
        <v>2</v>
      </c>
      <c r="H1811">
        <v>3</v>
      </c>
      <c r="I1811">
        <v>2</v>
      </c>
      <c r="J1811">
        <v>2.2999999999999998</v>
      </c>
      <c r="K1811" t="s">
        <v>1268</v>
      </c>
    </row>
    <row r="1812" spans="1:11" x14ac:dyDescent="0.35">
      <c r="A1812" t="s">
        <v>1823</v>
      </c>
      <c r="B1812">
        <v>5</v>
      </c>
      <c r="C1812">
        <v>227401766.5</v>
      </c>
      <c r="D1812">
        <v>1</v>
      </c>
      <c r="E1812">
        <v>84308217.680000007</v>
      </c>
      <c r="F1812">
        <v>160887112.40000001</v>
      </c>
      <c r="G1812">
        <v>2</v>
      </c>
      <c r="H1812">
        <v>3</v>
      </c>
      <c r="I1812">
        <v>2</v>
      </c>
      <c r="J1812">
        <v>2.2999999999999998</v>
      </c>
      <c r="K1812" t="s">
        <v>1268</v>
      </c>
    </row>
    <row r="1813" spans="1:11" x14ac:dyDescent="0.35">
      <c r="A1813" t="s">
        <v>1824</v>
      </c>
      <c r="B1813">
        <v>5</v>
      </c>
      <c r="C1813">
        <v>91786669.439999998</v>
      </c>
      <c r="D1813">
        <v>1</v>
      </c>
      <c r="E1813">
        <v>74117767.109999999</v>
      </c>
      <c r="F1813">
        <v>160465351.90000001</v>
      </c>
      <c r="G1813">
        <v>2</v>
      </c>
      <c r="H1813">
        <v>3</v>
      </c>
      <c r="I1813">
        <v>2</v>
      </c>
      <c r="J1813">
        <v>2.2999999999999998</v>
      </c>
      <c r="K1813" t="s">
        <v>1268</v>
      </c>
    </row>
    <row r="1814" spans="1:11" x14ac:dyDescent="0.35">
      <c r="A1814" t="s">
        <v>1825</v>
      </c>
      <c r="B1814">
        <v>5</v>
      </c>
      <c r="C1814">
        <v>132732241</v>
      </c>
      <c r="D1814">
        <v>1</v>
      </c>
      <c r="E1814">
        <v>69211574.780000001</v>
      </c>
      <c r="F1814">
        <v>169008709</v>
      </c>
      <c r="G1814">
        <v>2</v>
      </c>
      <c r="H1814">
        <v>3</v>
      </c>
      <c r="I1814">
        <v>2</v>
      </c>
      <c r="J1814">
        <v>2.2999999999999998</v>
      </c>
      <c r="K1814" t="s">
        <v>1268</v>
      </c>
    </row>
    <row r="1815" spans="1:11" x14ac:dyDescent="0.35">
      <c r="A1815" t="s">
        <v>1826</v>
      </c>
      <c r="B1815">
        <v>5</v>
      </c>
      <c r="C1815">
        <v>204101004.80000001</v>
      </c>
      <c r="D1815">
        <v>1</v>
      </c>
      <c r="E1815">
        <v>108697389.3</v>
      </c>
      <c r="F1815">
        <v>141045972.30000001</v>
      </c>
      <c r="G1815">
        <v>2</v>
      </c>
      <c r="H1815">
        <v>3</v>
      </c>
      <c r="I1815">
        <v>2</v>
      </c>
      <c r="J1815">
        <v>2.2999999999999998</v>
      </c>
      <c r="K1815" t="s">
        <v>1268</v>
      </c>
    </row>
    <row r="1816" spans="1:11" x14ac:dyDescent="0.35">
      <c r="A1816" t="s">
        <v>1827</v>
      </c>
      <c r="B1816">
        <v>5</v>
      </c>
      <c r="C1816">
        <v>186080168.59999999</v>
      </c>
      <c r="D1816">
        <v>1</v>
      </c>
      <c r="E1816">
        <v>66638025.689999998</v>
      </c>
      <c r="F1816">
        <v>130089599.90000001</v>
      </c>
      <c r="G1816">
        <v>2</v>
      </c>
      <c r="H1816">
        <v>3</v>
      </c>
      <c r="I1816">
        <v>2</v>
      </c>
      <c r="J1816">
        <v>2.2999999999999998</v>
      </c>
      <c r="K1816" t="s">
        <v>1268</v>
      </c>
    </row>
    <row r="1817" spans="1:11" x14ac:dyDescent="0.35">
      <c r="A1817" t="s">
        <v>1828</v>
      </c>
      <c r="B1817">
        <v>5</v>
      </c>
      <c r="C1817">
        <v>163339385.5</v>
      </c>
      <c r="D1817">
        <v>1</v>
      </c>
      <c r="E1817">
        <v>65335735.740000002</v>
      </c>
      <c r="F1817">
        <v>139963742.69999999</v>
      </c>
      <c r="G1817">
        <v>2</v>
      </c>
      <c r="H1817">
        <v>3</v>
      </c>
      <c r="I1817">
        <v>2</v>
      </c>
      <c r="J1817">
        <v>2.2999999999999998</v>
      </c>
      <c r="K1817" t="s">
        <v>1268</v>
      </c>
    </row>
    <row r="1818" spans="1:11" x14ac:dyDescent="0.35">
      <c r="A1818" t="s">
        <v>1829</v>
      </c>
      <c r="B1818">
        <v>5</v>
      </c>
      <c r="C1818">
        <v>284872735.39999998</v>
      </c>
      <c r="D1818">
        <v>1</v>
      </c>
      <c r="E1818">
        <v>76408552.829999998</v>
      </c>
      <c r="F1818">
        <v>136039069.90000001</v>
      </c>
      <c r="G1818">
        <v>2</v>
      </c>
      <c r="H1818">
        <v>3</v>
      </c>
      <c r="I1818">
        <v>2</v>
      </c>
      <c r="J1818">
        <v>2.2999999999999998</v>
      </c>
      <c r="K1818" t="s">
        <v>1268</v>
      </c>
    </row>
    <row r="1819" spans="1:11" x14ac:dyDescent="0.35">
      <c r="A1819" t="s">
        <v>1830</v>
      </c>
      <c r="B1819">
        <v>5</v>
      </c>
      <c r="C1819">
        <v>560512658.79999995</v>
      </c>
      <c r="D1819">
        <v>1</v>
      </c>
      <c r="E1819">
        <v>103334267.59999999</v>
      </c>
      <c r="F1819">
        <v>133925940.90000001</v>
      </c>
      <c r="G1819">
        <v>2</v>
      </c>
      <c r="H1819">
        <v>3</v>
      </c>
      <c r="I1819">
        <v>2</v>
      </c>
      <c r="J1819">
        <v>2.2999999999999998</v>
      </c>
      <c r="K1819" t="s">
        <v>1268</v>
      </c>
    </row>
    <row r="1820" spans="1:11" x14ac:dyDescent="0.35">
      <c r="A1820" t="s">
        <v>1831</v>
      </c>
      <c r="B1820">
        <v>5</v>
      </c>
      <c r="C1820">
        <v>124376682.40000001</v>
      </c>
      <c r="D1820">
        <v>1</v>
      </c>
      <c r="E1820">
        <v>46192655.649999999</v>
      </c>
      <c r="F1820">
        <v>29882010.199999999</v>
      </c>
      <c r="G1820">
        <v>2</v>
      </c>
      <c r="H1820">
        <v>3</v>
      </c>
      <c r="I1820">
        <v>2</v>
      </c>
      <c r="J1820">
        <v>2.2999999999999998</v>
      </c>
      <c r="K1820" t="s">
        <v>1268</v>
      </c>
    </row>
    <row r="1821" spans="1:11" x14ac:dyDescent="0.35">
      <c r="A1821" t="s">
        <v>1832</v>
      </c>
      <c r="B1821">
        <v>5</v>
      </c>
      <c r="C1821">
        <v>86959394.280000001</v>
      </c>
      <c r="D1821">
        <v>1</v>
      </c>
      <c r="E1821">
        <v>50445410.93</v>
      </c>
      <c r="F1821">
        <v>30030444.800000001</v>
      </c>
      <c r="G1821">
        <v>2</v>
      </c>
      <c r="H1821">
        <v>3</v>
      </c>
      <c r="I1821">
        <v>2</v>
      </c>
      <c r="J1821">
        <v>2.2999999999999998</v>
      </c>
      <c r="K1821" t="s">
        <v>1268</v>
      </c>
    </row>
    <row r="1822" spans="1:11" x14ac:dyDescent="0.35">
      <c r="A1822" t="s">
        <v>1833</v>
      </c>
      <c r="B1822">
        <v>5</v>
      </c>
      <c r="C1822">
        <v>141727154.69999999</v>
      </c>
      <c r="D1822">
        <v>0.8</v>
      </c>
      <c r="E1822">
        <v>92013498.230000004</v>
      </c>
      <c r="F1822">
        <v>29454629.399999999</v>
      </c>
      <c r="G1822">
        <v>2</v>
      </c>
      <c r="H1822">
        <v>3</v>
      </c>
      <c r="I1822">
        <v>2</v>
      </c>
      <c r="J1822">
        <v>2.2999999999999998</v>
      </c>
      <c r="K1822" t="s">
        <v>1268</v>
      </c>
    </row>
    <row r="1823" spans="1:11" x14ac:dyDescent="0.35">
      <c r="A1823" t="s">
        <v>1834</v>
      </c>
      <c r="B1823">
        <v>5</v>
      </c>
      <c r="C1823">
        <v>387813801.69999999</v>
      </c>
      <c r="D1823">
        <v>1</v>
      </c>
      <c r="E1823">
        <v>106644958.5</v>
      </c>
      <c r="F1823">
        <v>37889707.399999999</v>
      </c>
      <c r="G1823">
        <v>2</v>
      </c>
      <c r="H1823">
        <v>3</v>
      </c>
      <c r="I1823">
        <v>2</v>
      </c>
      <c r="J1823">
        <v>2.2999999999999998</v>
      </c>
      <c r="K1823" t="s">
        <v>1268</v>
      </c>
    </row>
    <row r="1824" spans="1:11" x14ac:dyDescent="0.35">
      <c r="A1824" t="s">
        <v>1835</v>
      </c>
      <c r="B1824">
        <v>5</v>
      </c>
      <c r="C1824">
        <v>289181713.80000001</v>
      </c>
      <c r="D1824">
        <v>1</v>
      </c>
      <c r="E1824">
        <v>60037925.82</v>
      </c>
      <c r="F1824">
        <v>33212959.800000001</v>
      </c>
      <c r="G1824">
        <v>2</v>
      </c>
      <c r="H1824">
        <v>3</v>
      </c>
      <c r="I1824">
        <v>2</v>
      </c>
      <c r="J1824">
        <v>2.2999999999999998</v>
      </c>
      <c r="K1824" t="s">
        <v>1268</v>
      </c>
    </row>
    <row r="1825" spans="1:11" x14ac:dyDescent="0.35">
      <c r="A1825" t="s">
        <v>1836</v>
      </c>
      <c r="B1825">
        <v>5</v>
      </c>
      <c r="C1825">
        <v>510152047.60000002</v>
      </c>
      <c r="D1825">
        <v>1</v>
      </c>
      <c r="E1825">
        <v>143647214.09999999</v>
      </c>
      <c r="F1825">
        <v>20701757.800000001</v>
      </c>
      <c r="G1825">
        <v>1</v>
      </c>
      <c r="H1825">
        <v>4</v>
      </c>
      <c r="I1825">
        <v>3</v>
      </c>
      <c r="J1825">
        <v>2.2999999999999998</v>
      </c>
      <c r="K1825" t="s">
        <v>1268</v>
      </c>
    </row>
    <row r="1826" spans="1:11" x14ac:dyDescent="0.35">
      <c r="A1826" t="s">
        <v>1837</v>
      </c>
      <c r="B1826">
        <v>5</v>
      </c>
      <c r="C1826">
        <v>293811016.30000001</v>
      </c>
      <c r="D1826">
        <v>1</v>
      </c>
      <c r="E1826">
        <v>184832886.30000001</v>
      </c>
      <c r="F1826">
        <v>22209025.600000001</v>
      </c>
      <c r="G1826">
        <v>1</v>
      </c>
      <c r="H1826">
        <v>4</v>
      </c>
      <c r="I1826">
        <v>3</v>
      </c>
      <c r="J1826">
        <v>2.2999999999999998</v>
      </c>
      <c r="K1826" t="s">
        <v>1268</v>
      </c>
    </row>
    <row r="1827" spans="1:11" x14ac:dyDescent="0.35">
      <c r="A1827" t="s">
        <v>1838</v>
      </c>
      <c r="B1827">
        <v>5</v>
      </c>
      <c r="C1827">
        <v>45826096.560000002</v>
      </c>
      <c r="D1827">
        <v>0.8</v>
      </c>
      <c r="E1827">
        <v>56994153.490000002</v>
      </c>
      <c r="F1827">
        <v>54577072.200000003</v>
      </c>
      <c r="G1827">
        <v>2</v>
      </c>
      <c r="H1827">
        <v>3</v>
      </c>
      <c r="I1827">
        <v>2</v>
      </c>
      <c r="J1827">
        <v>2.2999999999999998</v>
      </c>
      <c r="K1827" t="s">
        <v>1268</v>
      </c>
    </row>
    <row r="1828" spans="1:11" x14ac:dyDescent="0.35">
      <c r="A1828" t="s">
        <v>1839</v>
      </c>
      <c r="B1828">
        <v>5</v>
      </c>
      <c r="C1828">
        <v>84757810.239999995</v>
      </c>
      <c r="D1828">
        <v>1</v>
      </c>
      <c r="E1828">
        <v>50716447.350000001</v>
      </c>
      <c r="F1828">
        <v>56267732.600000001</v>
      </c>
      <c r="G1828">
        <v>2</v>
      </c>
      <c r="H1828">
        <v>3</v>
      </c>
      <c r="I1828">
        <v>2</v>
      </c>
      <c r="J1828">
        <v>2.2999999999999998</v>
      </c>
      <c r="K1828" t="s">
        <v>1268</v>
      </c>
    </row>
    <row r="1829" spans="1:11" x14ac:dyDescent="0.35">
      <c r="A1829" t="s">
        <v>1840</v>
      </c>
      <c r="B1829">
        <v>5</v>
      </c>
      <c r="C1829">
        <v>289208271.39999998</v>
      </c>
      <c r="D1829">
        <v>1</v>
      </c>
      <c r="E1829">
        <v>47085501.350000001</v>
      </c>
      <c r="F1829">
        <v>55874605.799999997</v>
      </c>
      <c r="G1829">
        <v>2</v>
      </c>
      <c r="H1829">
        <v>3</v>
      </c>
      <c r="I1829">
        <v>2</v>
      </c>
      <c r="J1829">
        <v>2.2999999999999998</v>
      </c>
      <c r="K1829" t="s">
        <v>1268</v>
      </c>
    </row>
    <row r="1830" spans="1:11" x14ac:dyDescent="0.35">
      <c r="A1830" t="s">
        <v>1841</v>
      </c>
      <c r="B1830">
        <v>5</v>
      </c>
      <c r="C1830">
        <v>361910720.10000002</v>
      </c>
      <c r="D1830">
        <v>1</v>
      </c>
      <c r="E1830">
        <v>69678834.969999999</v>
      </c>
      <c r="F1830">
        <v>54837930.799999997</v>
      </c>
      <c r="G1830">
        <v>2</v>
      </c>
      <c r="H1830">
        <v>3</v>
      </c>
      <c r="I1830">
        <v>2</v>
      </c>
      <c r="J1830">
        <v>2.2999999999999998</v>
      </c>
      <c r="K1830" t="s">
        <v>1268</v>
      </c>
    </row>
    <row r="1831" spans="1:11" x14ac:dyDescent="0.35">
      <c r="A1831" t="s">
        <v>1842</v>
      </c>
      <c r="B1831">
        <v>5</v>
      </c>
      <c r="C1831">
        <v>85737492.359999999</v>
      </c>
      <c r="D1831">
        <v>0.8</v>
      </c>
      <c r="E1831">
        <v>87586269.769999996</v>
      </c>
      <c r="F1831">
        <v>62288471.799999997</v>
      </c>
      <c r="G1831">
        <v>2</v>
      </c>
      <c r="H1831">
        <v>3</v>
      </c>
      <c r="I1831">
        <v>2</v>
      </c>
      <c r="J1831">
        <v>2.2999999999999998</v>
      </c>
      <c r="K1831" t="s">
        <v>1268</v>
      </c>
    </row>
    <row r="1832" spans="1:11" x14ac:dyDescent="0.35">
      <c r="A1832" t="s">
        <v>1843</v>
      </c>
      <c r="B1832">
        <v>5</v>
      </c>
      <c r="C1832">
        <v>173538036.90000001</v>
      </c>
      <c r="D1832">
        <v>1</v>
      </c>
      <c r="E1832">
        <v>96668189.670000002</v>
      </c>
      <c r="F1832">
        <v>61320313.899999999</v>
      </c>
      <c r="G1832">
        <v>2</v>
      </c>
      <c r="H1832">
        <v>3</v>
      </c>
      <c r="I1832">
        <v>2</v>
      </c>
      <c r="J1832">
        <v>2.2999999999999998</v>
      </c>
      <c r="K1832" t="s">
        <v>1268</v>
      </c>
    </row>
    <row r="1833" spans="1:11" x14ac:dyDescent="0.35">
      <c r="A1833" t="s">
        <v>1844</v>
      </c>
      <c r="B1833">
        <v>5</v>
      </c>
      <c r="C1833">
        <v>194763101.59999999</v>
      </c>
      <c r="D1833">
        <v>1</v>
      </c>
      <c r="E1833">
        <v>73565978.560000002</v>
      </c>
      <c r="F1833">
        <v>67265553.599999994</v>
      </c>
      <c r="G1833">
        <v>2</v>
      </c>
      <c r="H1833">
        <v>3</v>
      </c>
      <c r="I1833">
        <v>2</v>
      </c>
      <c r="J1833">
        <v>2.2999999999999998</v>
      </c>
      <c r="K1833" t="s">
        <v>1268</v>
      </c>
    </row>
    <row r="1834" spans="1:11" x14ac:dyDescent="0.35">
      <c r="A1834" t="s">
        <v>1845</v>
      </c>
      <c r="B1834">
        <v>5</v>
      </c>
      <c r="C1834">
        <v>627397816.70000005</v>
      </c>
      <c r="D1834">
        <v>1</v>
      </c>
      <c r="E1834">
        <v>57692971.789999999</v>
      </c>
      <c r="F1834">
        <v>42908771.799999997</v>
      </c>
      <c r="G1834">
        <v>2</v>
      </c>
      <c r="H1834">
        <v>3</v>
      </c>
      <c r="I1834">
        <v>2</v>
      </c>
      <c r="J1834">
        <v>2.2999999999999998</v>
      </c>
      <c r="K1834" t="s">
        <v>1268</v>
      </c>
    </row>
    <row r="1835" spans="1:11" x14ac:dyDescent="0.35">
      <c r="A1835" t="s">
        <v>1846</v>
      </c>
      <c r="B1835">
        <v>5</v>
      </c>
      <c r="C1835">
        <v>18643319.780000001</v>
      </c>
      <c r="D1835">
        <v>0.8</v>
      </c>
      <c r="E1835">
        <v>47749757.409999996</v>
      </c>
      <c r="F1835">
        <v>43488257.700000003</v>
      </c>
      <c r="G1835">
        <v>2</v>
      </c>
      <c r="H1835">
        <v>3</v>
      </c>
      <c r="I1835">
        <v>2</v>
      </c>
      <c r="J1835">
        <v>2.2999999999999998</v>
      </c>
      <c r="K1835" t="s">
        <v>1268</v>
      </c>
    </row>
    <row r="1836" spans="1:11" x14ac:dyDescent="0.35">
      <c r="A1836" t="s">
        <v>1847</v>
      </c>
      <c r="B1836">
        <v>5</v>
      </c>
      <c r="C1836">
        <v>49611756.600000001</v>
      </c>
      <c r="D1836">
        <v>0.8</v>
      </c>
      <c r="E1836">
        <v>54009993.270000003</v>
      </c>
      <c r="F1836">
        <v>38663638.600000001</v>
      </c>
      <c r="G1836">
        <v>2</v>
      </c>
      <c r="H1836">
        <v>3</v>
      </c>
      <c r="I1836">
        <v>2</v>
      </c>
      <c r="J1836">
        <v>2.2999999999999998</v>
      </c>
      <c r="K1836" t="s">
        <v>1268</v>
      </c>
    </row>
    <row r="1837" spans="1:11" x14ac:dyDescent="0.35">
      <c r="A1837" t="s">
        <v>1848</v>
      </c>
      <c r="B1837">
        <v>5</v>
      </c>
      <c r="C1837">
        <v>171862974.80000001</v>
      </c>
      <c r="D1837">
        <v>1</v>
      </c>
      <c r="E1837">
        <v>58025087.07</v>
      </c>
      <c r="F1837">
        <v>91739598.299999997</v>
      </c>
      <c r="G1837">
        <v>2</v>
      </c>
      <c r="H1837">
        <v>3</v>
      </c>
      <c r="I1837">
        <v>2</v>
      </c>
      <c r="J1837">
        <v>2.2999999999999998</v>
      </c>
      <c r="K1837" t="s">
        <v>1268</v>
      </c>
    </row>
    <row r="1838" spans="1:11" x14ac:dyDescent="0.35">
      <c r="A1838" t="s">
        <v>1849</v>
      </c>
      <c r="B1838">
        <v>5</v>
      </c>
      <c r="C1838">
        <v>312357364.39999998</v>
      </c>
      <c r="D1838">
        <v>1</v>
      </c>
      <c r="E1838">
        <v>64975617.68</v>
      </c>
      <c r="F1838">
        <v>93536545.5</v>
      </c>
      <c r="G1838">
        <v>2</v>
      </c>
      <c r="H1838">
        <v>3</v>
      </c>
      <c r="I1838">
        <v>2</v>
      </c>
      <c r="J1838">
        <v>2.2999999999999998</v>
      </c>
      <c r="K1838" t="s">
        <v>1268</v>
      </c>
    </row>
    <row r="1839" spans="1:11" x14ac:dyDescent="0.35">
      <c r="A1839" t="s">
        <v>1850</v>
      </c>
      <c r="B1839">
        <v>5</v>
      </c>
      <c r="C1839">
        <v>171810577.80000001</v>
      </c>
      <c r="D1839">
        <v>1</v>
      </c>
      <c r="E1839">
        <v>71509959.680000007</v>
      </c>
      <c r="F1839">
        <v>90468875.799999997</v>
      </c>
      <c r="G1839">
        <v>2</v>
      </c>
      <c r="H1839">
        <v>3</v>
      </c>
      <c r="I1839">
        <v>2</v>
      </c>
      <c r="J1839">
        <v>2.2999999999999998</v>
      </c>
      <c r="K1839" t="s">
        <v>1268</v>
      </c>
    </row>
    <row r="1840" spans="1:11" x14ac:dyDescent="0.35">
      <c r="A1840" t="s">
        <v>1851</v>
      </c>
      <c r="B1840">
        <v>5</v>
      </c>
      <c r="C1840">
        <v>88533269.060000002</v>
      </c>
      <c r="D1840">
        <v>1</v>
      </c>
      <c r="E1840">
        <v>52941210.350000001</v>
      </c>
      <c r="F1840">
        <v>82876275.900000006</v>
      </c>
      <c r="G1840">
        <v>2</v>
      </c>
      <c r="H1840">
        <v>3</v>
      </c>
      <c r="I1840">
        <v>2</v>
      </c>
      <c r="J1840">
        <v>2.2999999999999998</v>
      </c>
      <c r="K1840" t="s">
        <v>1268</v>
      </c>
    </row>
    <row r="1841" spans="1:11" x14ac:dyDescent="0.35">
      <c r="A1841" t="s">
        <v>1852</v>
      </c>
      <c r="B1841">
        <v>5</v>
      </c>
      <c r="C1841">
        <v>113742737.8</v>
      </c>
      <c r="D1841">
        <v>1</v>
      </c>
      <c r="E1841">
        <v>58472110.350000001</v>
      </c>
      <c r="F1841">
        <v>88475796.099999994</v>
      </c>
      <c r="G1841">
        <v>2</v>
      </c>
      <c r="H1841">
        <v>3</v>
      </c>
      <c r="I1841">
        <v>2</v>
      </c>
      <c r="J1841">
        <v>2.2999999999999998</v>
      </c>
      <c r="K1841" t="s">
        <v>1268</v>
      </c>
    </row>
    <row r="1842" spans="1:11" x14ac:dyDescent="0.35">
      <c r="A1842" t="s">
        <v>1853</v>
      </c>
      <c r="B1842">
        <v>5</v>
      </c>
      <c r="C1842">
        <v>424602795.5</v>
      </c>
      <c r="D1842">
        <v>1</v>
      </c>
      <c r="E1842">
        <v>98228297.359999999</v>
      </c>
      <c r="F1842">
        <v>79628248.400000006</v>
      </c>
      <c r="G1842">
        <v>2</v>
      </c>
      <c r="H1842">
        <v>3</v>
      </c>
      <c r="I1842">
        <v>2</v>
      </c>
      <c r="J1842">
        <v>2.2999999999999998</v>
      </c>
      <c r="K1842" t="s">
        <v>1268</v>
      </c>
    </row>
    <row r="1843" spans="1:11" x14ac:dyDescent="0.35">
      <c r="A1843" t="s">
        <v>1854</v>
      </c>
      <c r="B1843">
        <v>5</v>
      </c>
      <c r="C1843">
        <v>716884082.89999998</v>
      </c>
      <c r="D1843">
        <v>1</v>
      </c>
      <c r="E1843">
        <v>100005473.2</v>
      </c>
      <c r="F1843">
        <v>74872990.700000003</v>
      </c>
      <c r="G1843">
        <v>2</v>
      </c>
      <c r="H1843">
        <v>3</v>
      </c>
      <c r="I1843">
        <v>2</v>
      </c>
      <c r="J1843">
        <v>2.2999999999999998</v>
      </c>
      <c r="K1843" t="s">
        <v>1268</v>
      </c>
    </row>
    <row r="1844" spans="1:11" x14ac:dyDescent="0.35">
      <c r="A1844" t="s">
        <v>1855</v>
      </c>
      <c r="B1844">
        <v>5</v>
      </c>
      <c r="C1844">
        <v>144159768.30000001</v>
      </c>
      <c r="D1844">
        <v>1</v>
      </c>
      <c r="E1844">
        <v>70435747</v>
      </c>
      <c r="F1844">
        <v>73443830</v>
      </c>
      <c r="G1844">
        <v>2</v>
      </c>
      <c r="H1844">
        <v>3</v>
      </c>
      <c r="I1844">
        <v>2</v>
      </c>
      <c r="J1844">
        <v>2.2999999999999998</v>
      </c>
      <c r="K1844" t="s">
        <v>1268</v>
      </c>
    </row>
    <row r="1845" spans="1:11" x14ac:dyDescent="0.35">
      <c r="A1845" t="s">
        <v>1856</v>
      </c>
      <c r="B1845">
        <v>5</v>
      </c>
      <c r="C1845">
        <v>44675898.539999999</v>
      </c>
      <c r="D1845">
        <v>0.8</v>
      </c>
      <c r="E1845">
        <v>54402085.299999997</v>
      </c>
      <c r="F1845">
        <v>125420511.59999999</v>
      </c>
      <c r="G1845">
        <v>2</v>
      </c>
      <c r="H1845">
        <v>3</v>
      </c>
      <c r="I1845">
        <v>2</v>
      </c>
      <c r="J1845">
        <v>2.2999999999999998</v>
      </c>
      <c r="K1845" t="s">
        <v>1268</v>
      </c>
    </row>
    <row r="1846" spans="1:11" x14ac:dyDescent="0.35">
      <c r="A1846" t="s">
        <v>1857</v>
      </c>
      <c r="B1846">
        <v>5</v>
      </c>
      <c r="C1846">
        <v>403624709.5</v>
      </c>
      <c r="D1846">
        <v>1</v>
      </c>
      <c r="E1846">
        <v>105955958.2</v>
      </c>
      <c r="F1846">
        <v>123916660.09999999</v>
      </c>
      <c r="G1846">
        <v>2</v>
      </c>
      <c r="H1846">
        <v>3</v>
      </c>
      <c r="I1846">
        <v>2</v>
      </c>
      <c r="J1846">
        <v>2.2999999999999998</v>
      </c>
      <c r="K1846" t="s">
        <v>1268</v>
      </c>
    </row>
    <row r="1847" spans="1:11" x14ac:dyDescent="0.35">
      <c r="A1847" t="s">
        <v>1858</v>
      </c>
      <c r="B1847">
        <v>5</v>
      </c>
      <c r="C1847">
        <v>184794230.80000001</v>
      </c>
      <c r="D1847">
        <v>1</v>
      </c>
      <c r="E1847">
        <v>69399659.709999993</v>
      </c>
      <c r="F1847">
        <v>126568822.8</v>
      </c>
      <c r="G1847">
        <v>2</v>
      </c>
      <c r="H1847">
        <v>3</v>
      </c>
      <c r="I1847">
        <v>2</v>
      </c>
      <c r="J1847">
        <v>2.2999999999999998</v>
      </c>
      <c r="K1847" t="s">
        <v>1268</v>
      </c>
    </row>
    <row r="1848" spans="1:11" x14ac:dyDescent="0.35">
      <c r="A1848" t="s">
        <v>1859</v>
      </c>
      <c r="B1848">
        <v>5</v>
      </c>
      <c r="C1848">
        <v>219316412.5</v>
      </c>
      <c r="D1848">
        <v>1</v>
      </c>
      <c r="E1848">
        <v>57905610.560000002</v>
      </c>
      <c r="F1848">
        <v>126465333.59999999</v>
      </c>
      <c r="G1848">
        <v>2</v>
      </c>
      <c r="H1848">
        <v>3</v>
      </c>
      <c r="I1848">
        <v>2</v>
      </c>
      <c r="J1848">
        <v>2.2999999999999998</v>
      </c>
      <c r="K1848" t="s">
        <v>1268</v>
      </c>
    </row>
    <row r="1849" spans="1:11" x14ac:dyDescent="0.35">
      <c r="A1849" t="s">
        <v>1860</v>
      </c>
      <c r="B1849">
        <v>5</v>
      </c>
      <c r="C1849">
        <v>103239211.40000001</v>
      </c>
      <c r="D1849">
        <v>1</v>
      </c>
      <c r="E1849">
        <v>57418087.890000001</v>
      </c>
      <c r="F1849">
        <v>111734026.2</v>
      </c>
      <c r="G1849">
        <v>2</v>
      </c>
      <c r="H1849">
        <v>3</v>
      </c>
      <c r="I1849">
        <v>2</v>
      </c>
      <c r="J1849">
        <v>2.2999999999999998</v>
      </c>
      <c r="K1849" t="s">
        <v>1268</v>
      </c>
    </row>
    <row r="1850" spans="1:11" x14ac:dyDescent="0.35">
      <c r="A1850" t="s">
        <v>1861</v>
      </c>
      <c r="B1850">
        <v>5</v>
      </c>
      <c r="C1850">
        <v>215865626.40000001</v>
      </c>
      <c r="D1850">
        <v>1</v>
      </c>
      <c r="E1850">
        <v>75738649.989999995</v>
      </c>
      <c r="F1850">
        <v>112124858.59999999</v>
      </c>
      <c r="G1850">
        <v>2</v>
      </c>
      <c r="H1850">
        <v>3</v>
      </c>
      <c r="I1850">
        <v>2</v>
      </c>
      <c r="J1850">
        <v>2.2999999999999998</v>
      </c>
      <c r="K1850" t="s">
        <v>1268</v>
      </c>
    </row>
    <row r="1851" spans="1:11" x14ac:dyDescent="0.35">
      <c r="A1851" t="s">
        <v>1862</v>
      </c>
      <c r="B1851">
        <v>5</v>
      </c>
      <c r="C1851">
        <v>238331777.59999999</v>
      </c>
      <c r="D1851">
        <v>1</v>
      </c>
      <c r="E1851">
        <v>52748148.210000001</v>
      </c>
      <c r="F1851">
        <v>112102323.8</v>
      </c>
      <c r="G1851">
        <v>2</v>
      </c>
      <c r="H1851">
        <v>3</v>
      </c>
      <c r="I1851">
        <v>2</v>
      </c>
      <c r="J1851">
        <v>2.2999999999999998</v>
      </c>
      <c r="K1851" t="s">
        <v>1268</v>
      </c>
    </row>
    <row r="1852" spans="1:11" x14ac:dyDescent="0.35">
      <c r="A1852" t="s">
        <v>1863</v>
      </c>
      <c r="B1852">
        <v>5</v>
      </c>
      <c r="C1852">
        <v>134379296.80000001</v>
      </c>
      <c r="D1852">
        <v>1</v>
      </c>
      <c r="E1852">
        <v>61545570.18</v>
      </c>
      <c r="F1852">
        <v>112430613.5</v>
      </c>
      <c r="G1852">
        <v>2</v>
      </c>
      <c r="H1852">
        <v>3</v>
      </c>
      <c r="I1852">
        <v>2</v>
      </c>
      <c r="J1852">
        <v>2.2999999999999998</v>
      </c>
      <c r="K1852" t="s">
        <v>1268</v>
      </c>
    </row>
    <row r="1853" spans="1:11" x14ac:dyDescent="0.35">
      <c r="A1853" t="s">
        <v>1864</v>
      </c>
      <c r="B1853">
        <v>5</v>
      </c>
      <c r="C1853">
        <v>103787009.2</v>
      </c>
      <c r="D1853">
        <v>1</v>
      </c>
      <c r="E1853">
        <v>88699993.200000003</v>
      </c>
      <c r="F1853">
        <v>121077407.7</v>
      </c>
      <c r="G1853">
        <v>2</v>
      </c>
      <c r="H1853">
        <v>3</v>
      </c>
      <c r="I1853">
        <v>2</v>
      </c>
      <c r="J1853">
        <v>2.2999999999999998</v>
      </c>
      <c r="K1853" t="s">
        <v>1268</v>
      </c>
    </row>
    <row r="1854" spans="1:11" x14ac:dyDescent="0.35">
      <c r="A1854" t="s">
        <v>1865</v>
      </c>
      <c r="B1854">
        <v>5</v>
      </c>
      <c r="C1854">
        <v>219326638.40000001</v>
      </c>
      <c r="D1854">
        <v>1</v>
      </c>
      <c r="E1854">
        <v>48870590.600000001</v>
      </c>
      <c r="F1854">
        <v>114796590.59999999</v>
      </c>
      <c r="G1854">
        <v>2</v>
      </c>
      <c r="H1854">
        <v>3</v>
      </c>
      <c r="I1854">
        <v>2</v>
      </c>
      <c r="J1854">
        <v>2.2999999999999998</v>
      </c>
      <c r="K1854" t="s">
        <v>1268</v>
      </c>
    </row>
    <row r="1855" spans="1:11" x14ac:dyDescent="0.35">
      <c r="A1855" t="s">
        <v>1866</v>
      </c>
      <c r="B1855">
        <v>5</v>
      </c>
      <c r="C1855">
        <v>55381843.960000001</v>
      </c>
      <c r="D1855">
        <v>1</v>
      </c>
      <c r="E1855">
        <v>49713801.009999998</v>
      </c>
      <c r="F1855">
        <v>106327981.5</v>
      </c>
      <c r="G1855">
        <v>2</v>
      </c>
      <c r="H1855">
        <v>3</v>
      </c>
      <c r="I1855">
        <v>2</v>
      </c>
      <c r="J1855">
        <v>2.2999999999999998</v>
      </c>
      <c r="K1855" t="s">
        <v>1268</v>
      </c>
    </row>
    <row r="1856" spans="1:11" x14ac:dyDescent="0.35">
      <c r="A1856" t="s">
        <v>1867</v>
      </c>
      <c r="B1856">
        <v>5</v>
      </c>
      <c r="C1856">
        <v>101263220.5</v>
      </c>
      <c r="D1856">
        <v>0.8</v>
      </c>
      <c r="E1856">
        <v>105376973.3</v>
      </c>
      <c r="F1856">
        <v>96472168.400000006</v>
      </c>
      <c r="G1856">
        <v>2</v>
      </c>
      <c r="H1856">
        <v>3</v>
      </c>
      <c r="I1856">
        <v>2</v>
      </c>
      <c r="J1856">
        <v>2.2999999999999998</v>
      </c>
      <c r="K1856" t="s">
        <v>1268</v>
      </c>
    </row>
    <row r="1857" spans="1:11" x14ac:dyDescent="0.35">
      <c r="A1857" t="s">
        <v>1868</v>
      </c>
      <c r="B1857">
        <v>5</v>
      </c>
      <c r="C1857">
        <v>72426455.340000004</v>
      </c>
      <c r="D1857">
        <v>1</v>
      </c>
      <c r="E1857">
        <v>47593860.759999998</v>
      </c>
      <c r="F1857">
        <v>101284328.59999999</v>
      </c>
      <c r="G1857">
        <v>2</v>
      </c>
      <c r="H1857">
        <v>3</v>
      </c>
      <c r="I1857">
        <v>2</v>
      </c>
      <c r="J1857">
        <v>2.2999999999999998</v>
      </c>
      <c r="K1857" t="s">
        <v>1268</v>
      </c>
    </row>
    <row r="1858" spans="1:11" x14ac:dyDescent="0.35">
      <c r="A1858" t="s">
        <v>1869</v>
      </c>
      <c r="B1858">
        <v>5</v>
      </c>
      <c r="C1858">
        <v>7785009.7999999998</v>
      </c>
      <c r="D1858">
        <v>0.8</v>
      </c>
      <c r="E1858">
        <v>15266296.300000001</v>
      </c>
      <c r="F1858">
        <v>41290747.100000001</v>
      </c>
      <c r="G1858">
        <v>3</v>
      </c>
      <c r="H1858">
        <v>1</v>
      </c>
      <c r="I1858">
        <v>2</v>
      </c>
      <c r="J1858">
        <v>2.2000000000000002</v>
      </c>
      <c r="K1858" t="s">
        <v>1268</v>
      </c>
    </row>
    <row r="1859" spans="1:11" x14ac:dyDescent="0.35">
      <c r="A1859" t="s">
        <v>1870</v>
      </c>
      <c r="B1859">
        <v>5</v>
      </c>
      <c r="C1859">
        <v>33196822.640000001</v>
      </c>
      <c r="D1859">
        <v>1</v>
      </c>
      <c r="E1859">
        <v>17631230.050000001</v>
      </c>
      <c r="F1859">
        <v>22942909.899999999</v>
      </c>
      <c r="G1859">
        <v>2</v>
      </c>
      <c r="H1859">
        <v>2</v>
      </c>
      <c r="I1859">
        <v>3</v>
      </c>
      <c r="J1859">
        <v>2.2000000000000002</v>
      </c>
      <c r="K1859" t="s">
        <v>1268</v>
      </c>
    </row>
    <row r="1860" spans="1:11" x14ac:dyDescent="0.35">
      <c r="A1860" t="s">
        <v>1871</v>
      </c>
      <c r="B1860">
        <v>5</v>
      </c>
      <c r="C1860">
        <v>40614384.159999996</v>
      </c>
      <c r="D1860">
        <v>1</v>
      </c>
      <c r="E1860">
        <v>17195042.489999998</v>
      </c>
      <c r="F1860">
        <v>22840463.800000001</v>
      </c>
      <c r="G1860">
        <v>2</v>
      </c>
      <c r="H1860">
        <v>2</v>
      </c>
      <c r="I1860">
        <v>3</v>
      </c>
      <c r="J1860">
        <v>2.2000000000000002</v>
      </c>
      <c r="K1860" t="s">
        <v>1268</v>
      </c>
    </row>
    <row r="1861" spans="1:11" x14ac:dyDescent="0.35">
      <c r="A1861" t="s">
        <v>1872</v>
      </c>
      <c r="B1861">
        <v>5</v>
      </c>
      <c r="C1861">
        <v>33357404.859999999</v>
      </c>
      <c r="D1861">
        <v>1</v>
      </c>
      <c r="E1861">
        <v>25892144.629999999</v>
      </c>
      <c r="F1861">
        <v>20649054</v>
      </c>
      <c r="G1861">
        <v>2</v>
      </c>
      <c r="H1861">
        <v>2</v>
      </c>
      <c r="I1861">
        <v>3</v>
      </c>
      <c r="J1861">
        <v>2.2000000000000002</v>
      </c>
      <c r="K1861" t="s">
        <v>1268</v>
      </c>
    </row>
    <row r="1862" spans="1:11" x14ac:dyDescent="0.35">
      <c r="A1862" t="s">
        <v>1873</v>
      </c>
      <c r="B1862">
        <v>5</v>
      </c>
      <c r="C1862">
        <v>118015419.2</v>
      </c>
      <c r="D1862">
        <v>1</v>
      </c>
      <c r="E1862">
        <v>37354383.729999997</v>
      </c>
      <c r="F1862">
        <v>25721742.600000001</v>
      </c>
      <c r="G1862">
        <v>2</v>
      </c>
      <c r="H1862">
        <v>2</v>
      </c>
      <c r="I1862">
        <v>3</v>
      </c>
      <c r="J1862">
        <v>2.2000000000000002</v>
      </c>
      <c r="K1862" t="s">
        <v>1268</v>
      </c>
    </row>
    <row r="1863" spans="1:11" x14ac:dyDescent="0.35">
      <c r="A1863" t="s">
        <v>1874</v>
      </c>
      <c r="B1863">
        <v>5</v>
      </c>
      <c r="C1863">
        <v>15633337.640000001</v>
      </c>
      <c r="D1863">
        <v>0.8</v>
      </c>
      <c r="E1863">
        <v>21045826.23</v>
      </c>
      <c r="F1863">
        <v>25488350.399999999</v>
      </c>
      <c r="G1863">
        <v>2</v>
      </c>
      <c r="H1863">
        <v>2</v>
      </c>
      <c r="I1863">
        <v>3</v>
      </c>
      <c r="J1863">
        <v>2.2000000000000002</v>
      </c>
      <c r="K1863" t="s">
        <v>1268</v>
      </c>
    </row>
    <row r="1864" spans="1:11" x14ac:dyDescent="0.35">
      <c r="A1864" t="s">
        <v>1875</v>
      </c>
      <c r="B1864">
        <v>5</v>
      </c>
      <c r="C1864">
        <v>75314755.560000002</v>
      </c>
      <c r="D1864">
        <v>1</v>
      </c>
      <c r="E1864">
        <v>20874000.949999999</v>
      </c>
      <c r="F1864">
        <v>23976119.5</v>
      </c>
      <c r="G1864">
        <v>2</v>
      </c>
      <c r="H1864">
        <v>2</v>
      </c>
      <c r="I1864">
        <v>3</v>
      </c>
      <c r="J1864">
        <v>2.2000000000000002</v>
      </c>
      <c r="K1864" t="s">
        <v>1268</v>
      </c>
    </row>
    <row r="1865" spans="1:11" x14ac:dyDescent="0.35">
      <c r="A1865" t="s">
        <v>1876</v>
      </c>
      <c r="B1865">
        <v>5</v>
      </c>
      <c r="C1865">
        <v>31158729.140000001</v>
      </c>
      <c r="D1865">
        <v>1</v>
      </c>
      <c r="E1865">
        <v>16997288.699999999</v>
      </c>
      <c r="F1865">
        <v>23511439.300000001</v>
      </c>
      <c r="G1865">
        <v>2</v>
      </c>
      <c r="H1865">
        <v>2</v>
      </c>
      <c r="I1865">
        <v>3</v>
      </c>
      <c r="J1865">
        <v>2.2000000000000002</v>
      </c>
      <c r="K1865" t="s">
        <v>1268</v>
      </c>
    </row>
    <row r="1866" spans="1:11" x14ac:dyDescent="0.35">
      <c r="A1866" t="s">
        <v>1877</v>
      </c>
      <c r="B1866">
        <v>5</v>
      </c>
      <c r="C1866">
        <v>6321693.1399999997</v>
      </c>
      <c r="D1866">
        <v>0.8</v>
      </c>
      <c r="E1866">
        <v>13300151.25</v>
      </c>
      <c r="F1866">
        <v>35766869.299999997</v>
      </c>
      <c r="G1866">
        <v>3</v>
      </c>
      <c r="H1866">
        <v>1</v>
      </c>
      <c r="I1866">
        <v>2</v>
      </c>
      <c r="J1866">
        <v>2.2000000000000002</v>
      </c>
      <c r="K1866" t="s">
        <v>1268</v>
      </c>
    </row>
    <row r="1867" spans="1:11" x14ac:dyDescent="0.35">
      <c r="A1867" t="s">
        <v>1878</v>
      </c>
      <c r="B1867">
        <v>5</v>
      </c>
      <c r="C1867">
        <v>6582599.8200000003</v>
      </c>
      <c r="D1867">
        <v>0.6</v>
      </c>
      <c r="E1867">
        <v>12959150.390000001</v>
      </c>
      <c r="F1867">
        <v>29950411</v>
      </c>
      <c r="G1867">
        <v>3</v>
      </c>
      <c r="H1867">
        <v>1</v>
      </c>
      <c r="I1867">
        <v>2</v>
      </c>
      <c r="J1867">
        <v>2.2000000000000002</v>
      </c>
      <c r="K1867" t="s">
        <v>1268</v>
      </c>
    </row>
    <row r="1868" spans="1:11" x14ac:dyDescent="0.35">
      <c r="A1868" t="s">
        <v>1879</v>
      </c>
      <c r="B1868">
        <v>5</v>
      </c>
      <c r="C1868">
        <v>39614970.100000001</v>
      </c>
      <c r="D1868">
        <v>1</v>
      </c>
      <c r="E1868">
        <v>32708809.579999998</v>
      </c>
      <c r="F1868">
        <v>14018076.6</v>
      </c>
      <c r="G1868">
        <v>2</v>
      </c>
      <c r="H1868">
        <v>2</v>
      </c>
      <c r="I1868">
        <v>3</v>
      </c>
      <c r="J1868">
        <v>2.2000000000000002</v>
      </c>
      <c r="K1868" t="s">
        <v>1268</v>
      </c>
    </row>
    <row r="1869" spans="1:11" x14ac:dyDescent="0.35">
      <c r="A1869" t="s">
        <v>1880</v>
      </c>
      <c r="B1869">
        <v>5</v>
      </c>
      <c r="C1869">
        <v>45594926.439999998</v>
      </c>
      <c r="D1869">
        <v>1</v>
      </c>
      <c r="E1869">
        <v>27877655.870000001</v>
      </c>
      <c r="F1869">
        <v>15012764.800000001</v>
      </c>
      <c r="G1869">
        <v>2</v>
      </c>
      <c r="H1869">
        <v>2</v>
      </c>
      <c r="I1869">
        <v>3</v>
      </c>
      <c r="J1869">
        <v>2.2000000000000002</v>
      </c>
      <c r="K1869" t="s">
        <v>1268</v>
      </c>
    </row>
    <row r="1870" spans="1:11" x14ac:dyDescent="0.35">
      <c r="A1870" t="s">
        <v>1881</v>
      </c>
      <c r="B1870">
        <v>5</v>
      </c>
      <c r="C1870">
        <v>26953554.34</v>
      </c>
      <c r="D1870">
        <v>0.8</v>
      </c>
      <c r="E1870">
        <v>31841601.219999999</v>
      </c>
      <c r="F1870">
        <v>18910373</v>
      </c>
      <c r="G1870">
        <v>2</v>
      </c>
      <c r="H1870">
        <v>2</v>
      </c>
      <c r="I1870">
        <v>3</v>
      </c>
      <c r="J1870">
        <v>2.2000000000000002</v>
      </c>
      <c r="K1870" t="s">
        <v>1268</v>
      </c>
    </row>
    <row r="1871" spans="1:11" x14ac:dyDescent="0.35">
      <c r="A1871" t="s">
        <v>1882</v>
      </c>
      <c r="B1871">
        <v>5</v>
      </c>
      <c r="C1871">
        <v>8108122.54</v>
      </c>
      <c r="D1871">
        <v>0.8</v>
      </c>
      <c r="E1871">
        <v>17403718.120000001</v>
      </c>
      <c r="F1871">
        <v>18041981.199999999</v>
      </c>
      <c r="G1871">
        <v>2</v>
      </c>
      <c r="H1871">
        <v>2</v>
      </c>
      <c r="I1871">
        <v>3</v>
      </c>
      <c r="J1871">
        <v>2.2000000000000002</v>
      </c>
      <c r="K1871" t="s">
        <v>1268</v>
      </c>
    </row>
    <row r="1872" spans="1:11" x14ac:dyDescent="0.35">
      <c r="A1872" t="s">
        <v>1883</v>
      </c>
      <c r="B1872">
        <v>5</v>
      </c>
      <c r="C1872">
        <v>18414738.300000001</v>
      </c>
      <c r="D1872">
        <v>0.8</v>
      </c>
      <c r="E1872">
        <v>15685754.68</v>
      </c>
      <c r="F1872">
        <v>10458851.199999999</v>
      </c>
      <c r="G1872">
        <v>2</v>
      </c>
      <c r="H1872">
        <v>2</v>
      </c>
      <c r="I1872">
        <v>3</v>
      </c>
      <c r="J1872">
        <v>2.2000000000000002</v>
      </c>
      <c r="K1872" t="s">
        <v>1268</v>
      </c>
    </row>
    <row r="1873" spans="1:11" x14ac:dyDescent="0.35">
      <c r="A1873" t="s">
        <v>1884</v>
      </c>
      <c r="B1873">
        <v>5</v>
      </c>
      <c r="C1873">
        <v>79553857.299999997</v>
      </c>
      <c r="D1873">
        <v>1</v>
      </c>
      <c r="E1873">
        <v>20029109.109999999</v>
      </c>
      <c r="F1873">
        <v>10741852</v>
      </c>
      <c r="G1873">
        <v>2</v>
      </c>
      <c r="H1873">
        <v>2</v>
      </c>
      <c r="I1873">
        <v>3</v>
      </c>
      <c r="J1873">
        <v>2.2000000000000002</v>
      </c>
      <c r="K1873" t="s">
        <v>1268</v>
      </c>
    </row>
    <row r="1874" spans="1:11" x14ac:dyDescent="0.35">
      <c r="A1874" t="s">
        <v>1885</v>
      </c>
      <c r="B1874">
        <v>5</v>
      </c>
      <c r="C1874">
        <v>167811276</v>
      </c>
      <c r="D1874">
        <v>1</v>
      </c>
      <c r="E1874">
        <v>17598314.109999999</v>
      </c>
      <c r="F1874">
        <v>8613747.1999999993</v>
      </c>
      <c r="G1874">
        <v>2</v>
      </c>
      <c r="H1874">
        <v>2</v>
      </c>
      <c r="I1874">
        <v>3</v>
      </c>
      <c r="J1874">
        <v>2.2000000000000002</v>
      </c>
      <c r="K1874" t="s">
        <v>1268</v>
      </c>
    </row>
    <row r="1875" spans="1:11" x14ac:dyDescent="0.35">
      <c r="A1875" t="s">
        <v>1886</v>
      </c>
      <c r="B1875">
        <v>5</v>
      </c>
      <c r="C1875">
        <v>75116826.359999999</v>
      </c>
      <c r="D1875">
        <v>1</v>
      </c>
      <c r="E1875">
        <v>32183909.98</v>
      </c>
      <c r="F1875">
        <v>8285501.7000000002</v>
      </c>
      <c r="G1875">
        <v>2</v>
      </c>
      <c r="H1875">
        <v>2</v>
      </c>
      <c r="I1875">
        <v>3</v>
      </c>
      <c r="J1875">
        <v>2.2000000000000002</v>
      </c>
      <c r="K1875" t="s">
        <v>1268</v>
      </c>
    </row>
    <row r="1876" spans="1:11" x14ac:dyDescent="0.35">
      <c r="A1876" t="s">
        <v>1887</v>
      </c>
      <c r="B1876">
        <v>5</v>
      </c>
      <c r="C1876">
        <v>24020094.620000001</v>
      </c>
      <c r="D1876">
        <v>0.8</v>
      </c>
      <c r="E1876">
        <v>19038729.34</v>
      </c>
      <c r="F1876">
        <v>8207615.2000000002</v>
      </c>
      <c r="G1876">
        <v>2</v>
      </c>
      <c r="H1876">
        <v>2</v>
      </c>
      <c r="I1876">
        <v>3</v>
      </c>
      <c r="J1876">
        <v>2.2000000000000002</v>
      </c>
      <c r="K1876" t="s">
        <v>1268</v>
      </c>
    </row>
    <row r="1877" spans="1:11" x14ac:dyDescent="0.35">
      <c r="A1877" t="s">
        <v>1888</v>
      </c>
      <c r="B1877">
        <v>5</v>
      </c>
      <c r="C1877">
        <v>2678292256</v>
      </c>
      <c r="D1877">
        <v>1</v>
      </c>
      <c r="E1877">
        <v>420837355.30000001</v>
      </c>
      <c r="F1877">
        <v>216530872</v>
      </c>
      <c r="G1877">
        <v>1</v>
      </c>
      <c r="H1877">
        <v>5</v>
      </c>
      <c r="I1877">
        <v>1</v>
      </c>
      <c r="J1877">
        <v>2.2000000000000002</v>
      </c>
      <c r="K1877" t="s">
        <v>1268</v>
      </c>
    </row>
    <row r="1878" spans="1:11" x14ac:dyDescent="0.35">
      <c r="A1878" t="s">
        <v>1889</v>
      </c>
      <c r="B1878">
        <v>5</v>
      </c>
      <c r="C1878">
        <v>593190513.20000005</v>
      </c>
      <c r="D1878">
        <v>1</v>
      </c>
      <c r="E1878">
        <v>337513979.19999999</v>
      </c>
      <c r="F1878">
        <v>234190426.90000001</v>
      </c>
      <c r="G1878">
        <v>1</v>
      </c>
      <c r="H1878">
        <v>5</v>
      </c>
      <c r="I1878">
        <v>1</v>
      </c>
      <c r="J1878">
        <v>2.2000000000000002</v>
      </c>
      <c r="K1878" t="s">
        <v>1268</v>
      </c>
    </row>
    <row r="1879" spans="1:11" x14ac:dyDescent="0.35">
      <c r="A1879" t="s">
        <v>1890</v>
      </c>
      <c r="B1879">
        <v>5</v>
      </c>
      <c r="C1879">
        <v>4412463958</v>
      </c>
      <c r="D1879">
        <v>1</v>
      </c>
      <c r="E1879">
        <v>2501530402</v>
      </c>
      <c r="F1879">
        <v>369576981</v>
      </c>
      <c r="G1879">
        <v>1</v>
      </c>
      <c r="H1879">
        <v>5</v>
      </c>
      <c r="I1879">
        <v>1</v>
      </c>
      <c r="J1879">
        <v>2.2000000000000002</v>
      </c>
      <c r="K1879" t="s">
        <v>1268</v>
      </c>
    </row>
    <row r="1880" spans="1:11" x14ac:dyDescent="0.35">
      <c r="A1880" t="s">
        <v>1891</v>
      </c>
      <c r="B1880">
        <v>5</v>
      </c>
      <c r="C1880">
        <v>2315953603</v>
      </c>
      <c r="D1880">
        <v>1</v>
      </c>
      <c r="E1880">
        <v>942319200.5</v>
      </c>
      <c r="F1880">
        <v>364251084</v>
      </c>
      <c r="G1880">
        <v>1</v>
      </c>
      <c r="H1880">
        <v>5</v>
      </c>
      <c r="I1880">
        <v>1</v>
      </c>
      <c r="J1880">
        <v>2.2000000000000002</v>
      </c>
      <c r="K1880" t="s">
        <v>1268</v>
      </c>
    </row>
    <row r="1881" spans="1:11" x14ac:dyDescent="0.35">
      <c r="A1881" t="s">
        <v>1892</v>
      </c>
      <c r="B1881">
        <v>5</v>
      </c>
      <c r="C1881">
        <v>801392347.89999998</v>
      </c>
      <c r="D1881">
        <v>1</v>
      </c>
      <c r="E1881">
        <v>565578443.89999998</v>
      </c>
      <c r="F1881">
        <v>341703743.5</v>
      </c>
      <c r="G1881">
        <v>1</v>
      </c>
      <c r="H1881">
        <v>5</v>
      </c>
      <c r="I1881">
        <v>1</v>
      </c>
      <c r="J1881">
        <v>2.2000000000000002</v>
      </c>
      <c r="K1881" t="s">
        <v>1268</v>
      </c>
    </row>
    <row r="1882" spans="1:11" x14ac:dyDescent="0.35">
      <c r="A1882" t="s">
        <v>1893</v>
      </c>
      <c r="B1882">
        <v>5</v>
      </c>
      <c r="C1882">
        <v>1988494878</v>
      </c>
      <c r="D1882">
        <v>1</v>
      </c>
      <c r="E1882">
        <v>386218972.19999999</v>
      </c>
      <c r="F1882">
        <v>433848908</v>
      </c>
      <c r="G1882">
        <v>1</v>
      </c>
      <c r="H1882">
        <v>5</v>
      </c>
      <c r="I1882">
        <v>1</v>
      </c>
      <c r="J1882">
        <v>2.2000000000000002</v>
      </c>
      <c r="K1882" t="s">
        <v>1268</v>
      </c>
    </row>
    <row r="1883" spans="1:11" x14ac:dyDescent="0.35">
      <c r="A1883" t="s">
        <v>1894</v>
      </c>
      <c r="B1883">
        <v>5</v>
      </c>
      <c r="C1883">
        <v>2049138640</v>
      </c>
      <c r="D1883">
        <v>1</v>
      </c>
      <c r="E1883">
        <v>406370951.19999999</v>
      </c>
      <c r="F1883">
        <v>429579753</v>
      </c>
      <c r="G1883">
        <v>1</v>
      </c>
      <c r="H1883">
        <v>5</v>
      </c>
      <c r="I1883">
        <v>1</v>
      </c>
      <c r="J1883">
        <v>2.2000000000000002</v>
      </c>
      <c r="K1883" t="s">
        <v>1268</v>
      </c>
    </row>
    <row r="1884" spans="1:11" x14ac:dyDescent="0.35">
      <c r="A1884" t="s">
        <v>1895</v>
      </c>
      <c r="B1884">
        <v>5</v>
      </c>
      <c r="C1884">
        <v>454266391.30000001</v>
      </c>
      <c r="D1884">
        <v>1</v>
      </c>
      <c r="E1884">
        <v>331408202.10000002</v>
      </c>
      <c r="F1884">
        <v>391743172.30000001</v>
      </c>
      <c r="G1884">
        <v>1</v>
      </c>
      <c r="H1884">
        <v>5</v>
      </c>
      <c r="I1884">
        <v>1</v>
      </c>
      <c r="J1884">
        <v>2.2000000000000002</v>
      </c>
      <c r="K1884" t="s">
        <v>1268</v>
      </c>
    </row>
    <row r="1885" spans="1:11" x14ac:dyDescent="0.35">
      <c r="A1885" t="s">
        <v>1896</v>
      </c>
      <c r="B1885">
        <v>5</v>
      </c>
      <c r="C1885">
        <v>962894756.10000002</v>
      </c>
      <c r="D1885">
        <v>1</v>
      </c>
      <c r="E1885">
        <v>360043383.10000002</v>
      </c>
      <c r="F1885">
        <v>269708746.39999998</v>
      </c>
      <c r="G1885">
        <v>1</v>
      </c>
      <c r="H1885">
        <v>5</v>
      </c>
      <c r="I1885">
        <v>1</v>
      </c>
      <c r="J1885">
        <v>2.2000000000000002</v>
      </c>
      <c r="K1885" t="s">
        <v>1268</v>
      </c>
    </row>
    <row r="1886" spans="1:11" x14ac:dyDescent="0.35">
      <c r="A1886" t="s">
        <v>1897</v>
      </c>
      <c r="B1886">
        <v>5</v>
      </c>
      <c r="C1886">
        <v>1520300336</v>
      </c>
      <c r="D1886">
        <v>1</v>
      </c>
      <c r="E1886">
        <v>502391147</v>
      </c>
      <c r="F1886">
        <v>300528160</v>
      </c>
      <c r="G1886">
        <v>1</v>
      </c>
      <c r="H1886">
        <v>5</v>
      </c>
      <c r="I1886">
        <v>1</v>
      </c>
      <c r="J1886">
        <v>2.2000000000000002</v>
      </c>
      <c r="K1886" t="s">
        <v>1268</v>
      </c>
    </row>
    <row r="1887" spans="1:11" x14ac:dyDescent="0.35">
      <c r="A1887" t="s">
        <v>1898</v>
      </c>
      <c r="B1887">
        <v>5</v>
      </c>
      <c r="C1887">
        <v>3544060245</v>
      </c>
      <c r="D1887">
        <v>1</v>
      </c>
      <c r="E1887">
        <v>521051310.5</v>
      </c>
      <c r="F1887">
        <v>302997317</v>
      </c>
      <c r="G1887">
        <v>1</v>
      </c>
      <c r="H1887">
        <v>5</v>
      </c>
      <c r="I1887">
        <v>1</v>
      </c>
      <c r="J1887">
        <v>2.2000000000000002</v>
      </c>
      <c r="K1887" t="s">
        <v>1268</v>
      </c>
    </row>
    <row r="1888" spans="1:11" x14ac:dyDescent="0.35">
      <c r="A1888" t="s">
        <v>1899</v>
      </c>
      <c r="B1888">
        <v>5</v>
      </c>
      <c r="C1888">
        <v>651644445.89999998</v>
      </c>
      <c r="D1888">
        <v>1</v>
      </c>
      <c r="E1888">
        <v>443087653.69999999</v>
      </c>
      <c r="F1888">
        <v>534060895</v>
      </c>
      <c r="G1888">
        <v>1</v>
      </c>
      <c r="H1888">
        <v>5</v>
      </c>
      <c r="I1888">
        <v>1</v>
      </c>
      <c r="J1888">
        <v>2.2000000000000002</v>
      </c>
      <c r="K1888" t="s">
        <v>1268</v>
      </c>
    </row>
    <row r="1889" spans="1:11" x14ac:dyDescent="0.35">
      <c r="A1889" t="s">
        <v>1900</v>
      </c>
      <c r="B1889">
        <v>5</v>
      </c>
      <c r="C1889">
        <v>571908549.29999995</v>
      </c>
      <c r="D1889">
        <v>1</v>
      </c>
      <c r="E1889">
        <v>392558308.10000002</v>
      </c>
      <c r="F1889">
        <v>507841218.10000002</v>
      </c>
      <c r="G1889">
        <v>1</v>
      </c>
      <c r="H1889">
        <v>5</v>
      </c>
      <c r="I1889">
        <v>1</v>
      </c>
      <c r="J1889">
        <v>2.2000000000000002</v>
      </c>
      <c r="K1889" t="s">
        <v>1268</v>
      </c>
    </row>
    <row r="1890" spans="1:11" x14ac:dyDescent="0.35">
      <c r="A1890" t="s">
        <v>1901</v>
      </c>
      <c r="B1890">
        <v>5</v>
      </c>
      <c r="C1890">
        <v>601157788.5</v>
      </c>
      <c r="D1890">
        <v>1</v>
      </c>
      <c r="E1890">
        <v>358348804.80000001</v>
      </c>
      <c r="F1890">
        <v>512470109.80000001</v>
      </c>
      <c r="G1890">
        <v>1</v>
      </c>
      <c r="H1890">
        <v>5</v>
      </c>
      <c r="I1890">
        <v>1</v>
      </c>
      <c r="J1890">
        <v>2.2000000000000002</v>
      </c>
      <c r="K1890" t="s">
        <v>1268</v>
      </c>
    </row>
    <row r="1891" spans="1:11" x14ac:dyDescent="0.35">
      <c r="A1891" t="s">
        <v>1902</v>
      </c>
      <c r="B1891">
        <v>5</v>
      </c>
      <c r="C1891">
        <v>1611427799</v>
      </c>
      <c r="D1891">
        <v>1</v>
      </c>
      <c r="E1891">
        <v>1170420518</v>
      </c>
      <c r="F1891">
        <v>470825670.5</v>
      </c>
      <c r="G1891">
        <v>1</v>
      </c>
      <c r="H1891">
        <v>5</v>
      </c>
      <c r="I1891">
        <v>1</v>
      </c>
      <c r="J1891">
        <v>2.2000000000000002</v>
      </c>
      <c r="K1891" t="s">
        <v>1268</v>
      </c>
    </row>
    <row r="1892" spans="1:11" x14ac:dyDescent="0.35">
      <c r="A1892" t="s">
        <v>1903</v>
      </c>
      <c r="B1892">
        <v>5</v>
      </c>
      <c r="C1892">
        <v>926738289.29999995</v>
      </c>
      <c r="D1892">
        <v>1</v>
      </c>
      <c r="E1892">
        <v>488205557.80000001</v>
      </c>
      <c r="F1892">
        <v>589632704.5</v>
      </c>
      <c r="G1892">
        <v>1</v>
      </c>
      <c r="H1892">
        <v>5</v>
      </c>
      <c r="I1892">
        <v>1</v>
      </c>
      <c r="J1892">
        <v>2.2000000000000002</v>
      </c>
      <c r="K1892" t="s">
        <v>1268</v>
      </c>
    </row>
    <row r="1893" spans="1:11" x14ac:dyDescent="0.35">
      <c r="A1893" t="s">
        <v>1904</v>
      </c>
      <c r="B1893">
        <v>5</v>
      </c>
      <c r="C1893">
        <v>2532724508</v>
      </c>
      <c r="D1893">
        <v>1</v>
      </c>
      <c r="E1893">
        <v>833028301.5</v>
      </c>
      <c r="F1893">
        <v>580392322</v>
      </c>
      <c r="G1893">
        <v>1</v>
      </c>
      <c r="H1893">
        <v>5</v>
      </c>
      <c r="I1893">
        <v>1</v>
      </c>
      <c r="J1893">
        <v>2.2000000000000002</v>
      </c>
      <c r="K1893" t="s">
        <v>1268</v>
      </c>
    </row>
    <row r="1894" spans="1:11" x14ac:dyDescent="0.35">
      <c r="A1894" t="s">
        <v>1905</v>
      </c>
      <c r="B1894">
        <v>5</v>
      </c>
      <c r="C1894">
        <v>478284870</v>
      </c>
      <c r="D1894">
        <v>1</v>
      </c>
      <c r="E1894">
        <v>331396002.60000002</v>
      </c>
      <c r="F1894">
        <v>574122335.20000005</v>
      </c>
      <c r="G1894">
        <v>1</v>
      </c>
      <c r="H1894">
        <v>5</v>
      </c>
      <c r="I1894">
        <v>1</v>
      </c>
      <c r="J1894">
        <v>2.2000000000000002</v>
      </c>
      <c r="K1894" t="s">
        <v>1268</v>
      </c>
    </row>
    <row r="1895" spans="1:11" x14ac:dyDescent="0.35">
      <c r="A1895" t="s">
        <v>1906</v>
      </c>
      <c r="B1895">
        <v>5</v>
      </c>
      <c r="C1895">
        <v>539617592</v>
      </c>
      <c r="D1895">
        <v>1</v>
      </c>
      <c r="E1895">
        <v>457468105.69999999</v>
      </c>
      <c r="F1895">
        <v>681610156.5</v>
      </c>
      <c r="G1895">
        <v>1</v>
      </c>
      <c r="H1895">
        <v>5</v>
      </c>
      <c r="I1895">
        <v>1</v>
      </c>
      <c r="J1895">
        <v>2.2000000000000002</v>
      </c>
      <c r="K1895" t="s">
        <v>1268</v>
      </c>
    </row>
    <row r="1896" spans="1:11" x14ac:dyDescent="0.35">
      <c r="A1896" t="s">
        <v>1907</v>
      </c>
      <c r="B1896">
        <v>5</v>
      </c>
      <c r="C1896">
        <v>595551463.70000005</v>
      </c>
      <c r="D1896">
        <v>1</v>
      </c>
      <c r="E1896">
        <v>430458607.39999998</v>
      </c>
      <c r="F1896">
        <v>661950686.20000005</v>
      </c>
      <c r="G1896">
        <v>1</v>
      </c>
      <c r="H1896">
        <v>5</v>
      </c>
      <c r="I1896">
        <v>1</v>
      </c>
      <c r="J1896">
        <v>2.2000000000000002</v>
      </c>
      <c r="K1896" t="s">
        <v>1268</v>
      </c>
    </row>
    <row r="1897" spans="1:11" x14ac:dyDescent="0.35">
      <c r="A1897" t="s">
        <v>1908</v>
      </c>
      <c r="B1897">
        <v>5</v>
      </c>
      <c r="C1897">
        <v>881669752</v>
      </c>
      <c r="D1897">
        <v>1</v>
      </c>
      <c r="E1897">
        <v>492887212.69999999</v>
      </c>
      <c r="F1897">
        <v>661435920.39999998</v>
      </c>
      <c r="G1897">
        <v>1</v>
      </c>
      <c r="H1897">
        <v>5</v>
      </c>
      <c r="I1897">
        <v>1</v>
      </c>
      <c r="J1897">
        <v>2.2000000000000002</v>
      </c>
      <c r="K1897" t="s">
        <v>1268</v>
      </c>
    </row>
    <row r="1898" spans="1:11" x14ac:dyDescent="0.35">
      <c r="A1898" t="s">
        <v>1909</v>
      </c>
      <c r="B1898">
        <v>5</v>
      </c>
      <c r="C1898">
        <v>720646726.89999998</v>
      </c>
      <c r="D1898">
        <v>1</v>
      </c>
      <c r="E1898">
        <v>360494006</v>
      </c>
      <c r="F1898">
        <v>661047742.29999995</v>
      </c>
      <c r="G1898">
        <v>1</v>
      </c>
      <c r="H1898">
        <v>5</v>
      </c>
      <c r="I1898">
        <v>1</v>
      </c>
      <c r="J1898">
        <v>2.2000000000000002</v>
      </c>
      <c r="K1898" t="s">
        <v>1268</v>
      </c>
    </row>
    <row r="1899" spans="1:11" x14ac:dyDescent="0.35">
      <c r="A1899" t="s">
        <v>1910</v>
      </c>
      <c r="B1899">
        <v>5</v>
      </c>
      <c r="C1899">
        <v>803531959.60000002</v>
      </c>
      <c r="D1899">
        <v>1</v>
      </c>
      <c r="E1899">
        <v>417463632</v>
      </c>
      <c r="F1899">
        <v>708935272.10000002</v>
      </c>
      <c r="G1899">
        <v>1</v>
      </c>
      <c r="H1899">
        <v>5</v>
      </c>
      <c r="I1899">
        <v>1</v>
      </c>
      <c r="J1899">
        <v>2.2000000000000002</v>
      </c>
      <c r="K1899" t="s">
        <v>1268</v>
      </c>
    </row>
    <row r="1900" spans="1:11" x14ac:dyDescent="0.35">
      <c r="A1900" t="s">
        <v>1911</v>
      </c>
      <c r="B1900">
        <v>5</v>
      </c>
      <c r="C1900">
        <v>6531970298</v>
      </c>
      <c r="D1900">
        <v>1</v>
      </c>
      <c r="E1900">
        <v>522263724.69999999</v>
      </c>
      <c r="F1900">
        <v>706489529</v>
      </c>
      <c r="G1900">
        <v>1</v>
      </c>
      <c r="H1900">
        <v>5</v>
      </c>
      <c r="I1900">
        <v>1</v>
      </c>
      <c r="J1900">
        <v>2.2000000000000002</v>
      </c>
      <c r="K1900" t="s">
        <v>1268</v>
      </c>
    </row>
    <row r="1901" spans="1:11" x14ac:dyDescent="0.35">
      <c r="A1901" t="s">
        <v>1912</v>
      </c>
      <c r="B1901">
        <v>5</v>
      </c>
      <c r="C1901">
        <v>889241085.5</v>
      </c>
      <c r="D1901">
        <v>1</v>
      </c>
      <c r="E1901">
        <v>496119257.10000002</v>
      </c>
      <c r="F1901">
        <v>705491881</v>
      </c>
      <c r="G1901">
        <v>1</v>
      </c>
      <c r="H1901">
        <v>5</v>
      </c>
      <c r="I1901">
        <v>1</v>
      </c>
      <c r="J1901">
        <v>2.2000000000000002</v>
      </c>
      <c r="K1901" t="s">
        <v>1268</v>
      </c>
    </row>
    <row r="1902" spans="1:11" x14ac:dyDescent="0.35">
      <c r="A1902" t="s">
        <v>1913</v>
      </c>
      <c r="B1902">
        <v>5</v>
      </c>
      <c r="C1902">
        <v>484137911.89999998</v>
      </c>
      <c r="D1902">
        <v>1</v>
      </c>
      <c r="E1902">
        <v>530793504.80000001</v>
      </c>
      <c r="F1902">
        <v>734504092.70000005</v>
      </c>
      <c r="G1902">
        <v>1</v>
      </c>
      <c r="H1902">
        <v>5</v>
      </c>
      <c r="I1902">
        <v>1</v>
      </c>
      <c r="J1902">
        <v>2.2000000000000002</v>
      </c>
      <c r="K1902" t="s">
        <v>1268</v>
      </c>
    </row>
    <row r="1903" spans="1:11" x14ac:dyDescent="0.35">
      <c r="A1903" t="s">
        <v>1914</v>
      </c>
      <c r="B1903">
        <v>5</v>
      </c>
      <c r="C1903">
        <v>1622714978</v>
      </c>
      <c r="D1903">
        <v>1</v>
      </c>
      <c r="E1903">
        <v>423913752.89999998</v>
      </c>
      <c r="F1903">
        <v>901405280</v>
      </c>
      <c r="G1903">
        <v>1</v>
      </c>
      <c r="H1903">
        <v>5</v>
      </c>
      <c r="I1903">
        <v>1</v>
      </c>
      <c r="J1903">
        <v>2.2000000000000002</v>
      </c>
      <c r="K1903" t="s">
        <v>1268</v>
      </c>
    </row>
    <row r="1904" spans="1:11" x14ac:dyDescent="0.35">
      <c r="A1904" t="s">
        <v>1915</v>
      </c>
      <c r="B1904">
        <v>5</v>
      </c>
      <c r="C1904">
        <v>782341481</v>
      </c>
      <c r="D1904">
        <v>1</v>
      </c>
      <c r="E1904">
        <v>359060093</v>
      </c>
      <c r="F1904">
        <v>931664616</v>
      </c>
      <c r="G1904">
        <v>1</v>
      </c>
      <c r="H1904">
        <v>5</v>
      </c>
      <c r="I1904">
        <v>1</v>
      </c>
      <c r="J1904">
        <v>2.2000000000000002</v>
      </c>
      <c r="K1904" t="s">
        <v>1268</v>
      </c>
    </row>
    <row r="1905" spans="1:11" x14ac:dyDescent="0.35">
      <c r="A1905" t="s">
        <v>1916</v>
      </c>
      <c r="B1905">
        <v>5</v>
      </c>
      <c r="C1905">
        <v>2568549179</v>
      </c>
      <c r="D1905">
        <v>1</v>
      </c>
      <c r="E1905">
        <v>444183057.60000002</v>
      </c>
      <c r="F1905">
        <v>927399862</v>
      </c>
      <c r="G1905">
        <v>1</v>
      </c>
      <c r="H1905">
        <v>5</v>
      </c>
      <c r="I1905">
        <v>1</v>
      </c>
      <c r="J1905">
        <v>2.2000000000000002</v>
      </c>
      <c r="K1905" t="s">
        <v>1268</v>
      </c>
    </row>
    <row r="1906" spans="1:11" x14ac:dyDescent="0.35">
      <c r="A1906" t="s">
        <v>1917</v>
      </c>
      <c r="B1906">
        <v>5</v>
      </c>
      <c r="C1906">
        <v>2726430240</v>
      </c>
      <c r="D1906">
        <v>1</v>
      </c>
      <c r="E1906">
        <v>406389029.10000002</v>
      </c>
      <c r="F1906">
        <v>1035497042</v>
      </c>
      <c r="G1906">
        <v>1</v>
      </c>
      <c r="H1906">
        <v>5</v>
      </c>
      <c r="I1906">
        <v>1</v>
      </c>
      <c r="J1906">
        <v>2.2000000000000002</v>
      </c>
      <c r="K1906" t="s">
        <v>1268</v>
      </c>
    </row>
    <row r="1907" spans="1:11" x14ac:dyDescent="0.35">
      <c r="A1907" t="s">
        <v>1918</v>
      </c>
      <c r="B1907">
        <v>5</v>
      </c>
      <c r="C1907">
        <v>1337192741</v>
      </c>
      <c r="D1907">
        <v>1</v>
      </c>
      <c r="E1907">
        <v>1266437210</v>
      </c>
      <c r="F1907">
        <v>985412496</v>
      </c>
      <c r="G1907">
        <v>1</v>
      </c>
      <c r="H1907">
        <v>5</v>
      </c>
      <c r="I1907">
        <v>1</v>
      </c>
      <c r="J1907">
        <v>2.2000000000000002</v>
      </c>
      <c r="K1907" t="s">
        <v>1268</v>
      </c>
    </row>
    <row r="1908" spans="1:11" x14ac:dyDescent="0.35">
      <c r="A1908" t="s">
        <v>1919</v>
      </c>
      <c r="B1908">
        <v>5</v>
      </c>
      <c r="C1908">
        <v>1971720544</v>
      </c>
      <c r="D1908">
        <v>1</v>
      </c>
      <c r="E1908">
        <v>374485347.69999999</v>
      </c>
      <c r="F1908">
        <v>976451906</v>
      </c>
      <c r="G1908">
        <v>1</v>
      </c>
      <c r="H1908">
        <v>5</v>
      </c>
      <c r="I1908">
        <v>1</v>
      </c>
      <c r="J1908">
        <v>2.2000000000000002</v>
      </c>
      <c r="K1908" t="s">
        <v>1268</v>
      </c>
    </row>
    <row r="1909" spans="1:11" x14ac:dyDescent="0.35">
      <c r="A1909" t="s">
        <v>1920</v>
      </c>
      <c r="B1909">
        <v>5</v>
      </c>
      <c r="C1909">
        <v>1184531978</v>
      </c>
      <c r="D1909">
        <v>1</v>
      </c>
      <c r="E1909">
        <v>483579115.89999998</v>
      </c>
      <c r="F1909">
        <v>948836230.39999998</v>
      </c>
      <c r="G1909">
        <v>1</v>
      </c>
      <c r="H1909">
        <v>5</v>
      </c>
      <c r="I1909">
        <v>1</v>
      </c>
      <c r="J1909">
        <v>2.2000000000000002</v>
      </c>
      <c r="K1909" t="s">
        <v>1268</v>
      </c>
    </row>
    <row r="1910" spans="1:11" x14ac:dyDescent="0.35">
      <c r="A1910" t="s">
        <v>1921</v>
      </c>
      <c r="B1910">
        <v>5</v>
      </c>
      <c r="C1910">
        <v>994233168.39999998</v>
      </c>
      <c r="D1910">
        <v>1</v>
      </c>
      <c r="E1910">
        <v>1039135122</v>
      </c>
      <c r="F1910">
        <v>967207331.79999995</v>
      </c>
      <c r="G1910">
        <v>1</v>
      </c>
      <c r="H1910">
        <v>5</v>
      </c>
      <c r="I1910">
        <v>1</v>
      </c>
      <c r="J1910">
        <v>2.2000000000000002</v>
      </c>
      <c r="K1910" t="s">
        <v>1268</v>
      </c>
    </row>
    <row r="1911" spans="1:11" x14ac:dyDescent="0.35">
      <c r="A1911" t="s">
        <v>1922</v>
      </c>
      <c r="B1911">
        <v>5</v>
      </c>
      <c r="C1911">
        <v>1494856368</v>
      </c>
      <c r="D1911">
        <v>1</v>
      </c>
      <c r="E1911">
        <v>1427407873</v>
      </c>
      <c r="F1911">
        <v>885848330.89999998</v>
      </c>
      <c r="G1911">
        <v>1</v>
      </c>
      <c r="H1911">
        <v>5</v>
      </c>
      <c r="I1911">
        <v>1</v>
      </c>
      <c r="J1911">
        <v>2.2000000000000002</v>
      </c>
      <c r="K1911" t="s">
        <v>1268</v>
      </c>
    </row>
    <row r="1912" spans="1:11" x14ac:dyDescent="0.35">
      <c r="A1912" t="s">
        <v>1923</v>
      </c>
      <c r="B1912">
        <v>5</v>
      </c>
      <c r="C1912">
        <v>1563656632</v>
      </c>
      <c r="D1912">
        <v>1</v>
      </c>
      <c r="E1912">
        <v>411320709.69999999</v>
      </c>
      <c r="F1912">
        <v>880102815</v>
      </c>
      <c r="G1912">
        <v>1</v>
      </c>
      <c r="H1912">
        <v>5</v>
      </c>
      <c r="I1912">
        <v>1</v>
      </c>
      <c r="J1912">
        <v>2.2000000000000002</v>
      </c>
      <c r="K1912" t="s">
        <v>1268</v>
      </c>
    </row>
    <row r="1913" spans="1:11" x14ac:dyDescent="0.35">
      <c r="A1913" t="s">
        <v>1924</v>
      </c>
      <c r="B1913">
        <v>5</v>
      </c>
      <c r="C1913">
        <v>4830083062</v>
      </c>
      <c r="D1913">
        <v>1</v>
      </c>
      <c r="E1913">
        <v>723400075.79999995</v>
      </c>
      <c r="F1913">
        <v>867227077</v>
      </c>
      <c r="G1913">
        <v>1</v>
      </c>
      <c r="H1913">
        <v>5</v>
      </c>
      <c r="I1913">
        <v>1</v>
      </c>
      <c r="J1913">
        <v>2.2000000000000002</v>
      </c>
      <c r="K1913" t="s">
        <v>1268</v>
      </c>
    </row>
    <row r="1914" spans="1:11" x14ac:dyDescent="0.35">
      <c r="A1914" t="s">
        <v>1925</v>
      </c>
      <c r="B1914">
        <v>5</v>
      </c>
      <c r="C1914">
        <v>682338488.79999995</v>
      </c>
      <c r="D1914">
        <v>1</v>
      </c>
      <c r="E1914">
        <v>332916411.80000001</v>
      </c>
      <c r="F1914">
        <v>862048973.60000002</v>
      </c>
      <c r="G1914">
        <v>1</v>
      </c>
      <c r="H1914">
        <v>5</v>
      </c>
      <c r="I1914">
        <v>1</v>
      </c>
      <c r="J1914">
        <v>2.2000000000000002</v>
      </c>
      <c r="K1914" t="s">
        <v>1268</v>
      </c>
    </row>
    <row r="1915" spans="1:11" x14ac:dyDescent="0.35">
      <c r="A1915" t="s">
        <v>1926</v>
      </c>
      <c r="B1915">
        <v>5</v>
      </c>
      <c r="C1915">
        <v>2271627575</v>
      </c>
      <c r="D1915">
        <v>1</v>
      </c>
      <c r="E1915">
        <v>404033068.19999999</v>
      </c>
      <c r="F1915">
        <v>829741574</v>
      </c>
      <c r="G1915">
        <v>1</v>
      </c>
      <c r="H1915">
        <v>5</v>
      </c>
      <c r="I1915">
        <v>1</v>
      </c>
      <c r="J1915">
        <v>2.2000000000000002</v>
      </c>
      <c r="K1915" t="s">
        <v>1268</v>
      </c>
    </row>
    <row r="1916" spans="1:11" x14ac:dyDescent="0.35">
      <c r="A1916" t="s">
        <v>1927</v>
      </c>
      <c r="B1916">
        <v>5</v>
      </c>
      <c r="C1916">
        <v>902271391.60000002</v>
      </c>
      <c r="D1916">
        <v>1</v>
      </c>
      <c r="E1916">
        <v>357957676.80000001</v>
      </c>
      <c r="F1916">
        <v>819461184.10000002</v>
      </c>
      <c r="G1916">
        <v>1</v>
      </c>
      <c r="H1916">
        <v>5</v>
      </c>
      <c r="I1916">
        <v>1</v>
      </c>
      <c r="J1916">
        <v>2.2000000000000002</v>
      </c>
      <c r="K1916" t="s">
        <v>1268</v>
      </c>
    </row>
    <row r="1917" spans="1:11" x14ac:dyDescent="0.35">
      <c r="A1917" t="s">
        <v>1928</v>
      </c>
      <c r="B1917">
        <v>5</v>
      </c>
      <c r="C1917">
        <v>692943355.70000005</v>
      </c>
      <c r="D1917">
        <v>1</v>
      </c>
      <c r="E1917">
        <v>370155968</v>
      </c>
      <c r="F1917">
        <v>857041233.10000002</v>
      </c>
      <c r="G1917">
        <v>1</v>
      </c>
      <c r="H1917">
        <v>5</v>
      </c>
      <c r="I1917">
        <v>1</v>
      </c>
      <c r="J1917">
        <v>2.2000000000000002</v>
      </c>
      <c r="K1917" t="s">
        <v>1268</v>
      </c>
    </row>
    <row r="1918" spans="1:11" x14ac:dyDescent="0.35">
      <c r="A1918" t="s">
        <v>1929</v>
      </c>
      <c r="B1918">
        <v>5</v>
      </c>
      <c r="C1918">
        <v>1136083495</v>
      </c>
      <c r="D1918">
        <v>1</v>
      </c>
      <c r="E1918">
        <v>487211356.5</v>
      </c>
      <c r="F1918">
        <v>846377643</v>
      </c>
      <c r="G1918">
        <v>1</v>
      </c>
      <c r="H1918">
        <v>5</v>
      </c>
      <c r="I1918">
        <v>1</v>
      </c>
      <c r="J1918">
        <v>2.2000000000000002</v>
      </c>
      <c r="K1918" t="s">
        <v>1268</v>
      </c>
    </row>
    <row r="1919" spans="1:11" x14ac:dyDescent="0.35">
      <c r="A1919" t="s">
        <v>1930</v>
      </c>
      <c r="B1919">
        <v>5</v>
      </c>
      <c r="C1919">
        <v>1685920754</v>
      </c>
      <c r="D1919">
        <v>1</v>
      </c>
      <c r="E1919">
        <v>985601671</v>
      </c>
      <c r="F1919">
        <v>789378684</v>
      </c>
      <c r="G1919">
        <v>1</v>
      </c>
      <c r="H1919">
        <v>5</v>
      </c>
      <c r="I1919">
        <v>1</v>
      </c>
      <c r="J1919">
        <v>2.2000000000000002</v>
      </c>
      <c r="K1919" t="s">
        <v>1268</v>
      </c>
    </row>
    <row r="1920" spans="1:11" x14ac:dyDescent="0.35">
      <c r="A1920" t="s">
        <v>1931</v>
      </c>
      <c r="B1920">
        <v>5</v>
      </c>
      <c r="C1920">
        <v>9269788176</v>
      </c>
      <c r="D1920">
        <v>1</v>
      </c>
      <c r="E1920">
        <v>1382547293</v>
      </c>
      <c r="F1920">
        <v>2280351696</v>
      </c>
      <c r="G1920">
        <v>1</v>
      </c>
      <c r="H1920">
        <v>5</v>
      </c>
      <c r="I1920">
        <v>1</v>
      </c>
      <c r="J1920">
        <v>2.2000000000000002</v>
      </c>
      <c r="K1920" t="s">
        <v>1268</v>
      </c>
    </row>
    <row r="1921" spans="1:11" x14ac:dyDescent="0.35">
      <c r="A1921" t="s">
        <v>1932</v>
      </c>
      <c r="B1921">
        <v>5</v>
      </c>
      <c r="C1921">
        <v>4954085882</v>
      </c>
      <c r="D1921">
        <v>1</v>
      </c>
      <c r="E1921">
        <v>1147865468</v>
      </c>
      <c r="F1921">
        <v>2443604722</v>
      </c>
      <c r="G1921">
        <v>1</v>
      </c>
      <c r="H1921">
        <v>5</v>
      </c>
      <c r="I1921">
        <v>1</v>
      </c>
      <c r="J1921">
        <v>2.2000000000000002</v>
      </c>
      <c r="K1921" t="s">
        <v>1268</v>
      </c>
    </row>
    <row r="1922" spans="1:11" x14ac:dyDescent="0.35">
      <c r="A1922" t="s">
        <v>1933</v>
      </c>
      <c r="B1922">
        <v>5</v>
      </c>
      <c r="C1922">
        <v>4750853152</v>
      </c>
      <c r="D1922">
        <v>1</v>
      </c>
      <c r="E1922">
        <v>1002838948</v>
      </c>
      <c r="F1922">
        <v>2617813360</v>
      </c>
      <c r="G1922">
        <v>1</v>
      </c>
      <c r="H1922">
        <v>5</v>
      </c>
      <c r="I1922">
        <v>1</v>
      </c>
      <c r="J1922">
        <v>2.2000000000000002</v>
      </c>
      <c r="K1922" t="s">
        <v>1268</v>
      </c>
    </row>
    <row r="1923" spans="1:11" x14ac:dyDescent="0.35">
      <c r="A1923" t="s">
        <v>1934</v>
      </c>
      <c r="B1923">
        <v>5</v>
      </c>
      <c r="C1923">
        <v>11638549451</v>
      </c>
      <c r="D1923">
        <v>1</v>
      </c>
      <c r="E1923">
        <v>4002602063</v>
      </c>
      <c r="F1923">
        <v>2570832987</v>
      </c>
      <c r="G1923">
        <v>1</v>
      </c>
      <c r="H1923">
        <v>5</v>
      </c>
      <c r="I1923">
        <v>1</v>
      </c>
      <c r="J1923">
        <v>2.2000000000000002</v>
      </c>
      <c r="K1923" t="s">
        <v>1268</v>
      </c>
    </row>
    <row r="1924" spans="1:11" x14ac:dyDescent="0.35">
      <c r="A1924" t="s">
        <v>1935</v>
      </c>
      <c r="B1924">
        <v>5</v>
      </c>
      <c r="C1924">
        <v>2118697298</v>
      </c>
      <c r="D1924">
        <v>1</v>
      </c>
      <c r="E1924">
        <v>1248243614</v>
      </c>
      <c r="F1924">
        <v>2929450986</v>
      </c>
      <c r="G1924">
        <v>1</v>
      </c>
      <c r="H1924">
        <v>5</v>
      </c>
      <c r="I1924">
        <v>1</v>
      </c>
      <c r="J1924">
        <v>2.2000000000000002</v>
      </c>
      <c r="K1924" t="s">
        <v>1268</v>
      </c>
    </row>
    <row r="1925" spans="1:11" x14ac:dyDescent="0.35">
      <c r="A1925" t="s">
        <v>1936</v>
      </c>
      <c r="B1925">
        <v>5</v>
      </c>
      <c r="C1925">
        <v>8941081451</v>
      </c>
      <c r="D1925">
        <v>1</v>
      </c>
      <c r="E1925">
        <v>1894367323</v>
      </c>
      <c r="F1925">
        <v>3066022919</v>
      </c>
      <c r="G1925">
        <v>1</v>
      </c>
      <c r="H1925">
        <v>5</v>
      </c>
      <c r="I1925">
        <v>1</v>
      </c>
      <c r="J1925">
        <v>2.2000000000000002</v>
      </c>
      <c r="K1925" t="s">
        <v>1268</v>
      </c>
    </row>
    <row r="1926" spans="1:11" x14ac:dyDescent="0.35">
      <c r="A1926" t="s">
        <v>1937</v>
      </c>
      <c r="B1926">
        <v>5</v>
      </c>
      <c r="C1926">
        <v>3851964200</v>
      </c>
      <c r="D1926">
        <v>1</v>
      </c>
      <c r="E1926">
        <v>1477018769</v>
      </c>
      <c r="F1926">
        <v>3048423970</v>
      </c>
      <c r="G1926">
        <v>1</v>
      </c>
      <c r="H1926">
        <v>5</v>
      </c>
      <c r="I1926">
        <v>1</v>
      </c>
      <c r="J1926">
        <v>2.2000000000000002</v>
      </c>
      <c r="K1926" t="s">
        <v>1268</v>
      </c>
    </row>
    <row r="1927" spans="1:11" x14ac:dyDescent="0.35">
      <c r="A1927" t="s">
        <v>1938</v>
      </c>
      <c r="B1927">
        <v>5</v>
      </c>
      <c r="C1927">
        <v>3830755205</v>
      </c>
      <c r="D1927">
        <v>1</v>
      </c>
      <c r="E1927">
        <v>1801016342</v>
      </c>
      <c r="F1927">
        <v>3293773980</v>
      </c>
      <c r="G1927">
        <v>1</v>
      </c>
      <c r="H1927">
        <v>5</v>
      </c>
      <c r="I1927">
        <v>1</v>
      </c>
      <c r="J1927">
        <v>2.2000000000000002</v>
      </c>
      <c r="K1927" t="s">
        <v>1268</v>
      </c>
    </row>
    <row r="1928" spans="1:11" x14ac:dyDescent="0.35">
      <c r="A1928" t="s">
        <v>1939</v>
      </c>
      <c r="B1928">
        <v>5</v>
      </c>
      <c r="C1928">
        <v>14827529696</v>
      </c>
      <c r="D1928">
        <v>1</v>
      </c>
      <c r="E1928">
        <v>2755119444</v>
      </c>
      <c r="F1928">
        <v>3218851097</v>
      </c>
      <c r="G1928">
        <v>1</v>
      </c>
      <c r="H1928">
        <v>5</v>
      </c>
      <c r="I1928">
        <v>1</v>
      </c>
      <c r="J1928">
        <v>2.2000000000000002</v>
      </c>
      <c r="K1928" t="s">
        <v>1268</v>
      </c>
    </row>
    <row r="1929" spans="1:11" x14ac:dyDescent="0.35">
      <c r="A1929" t="s">
        <v>1940</v>
      </c>
      <c r="B1929">
        <v>5</v>
      </c>
      <c r="C1929">
        <v>6591544695</v>
      </c>
      <c r="D1929">
        <v>1</v>
      </c>
      <c r="E1929">
        <v>1550103076</v>
      </c>
      <c r="F1929">
        <v>3371146951</v>
      </c>
      <c r="G1929">
        <v>1</v>
      </c>
      <c r="H1929">
        <v>5</v>
      </c>
      <c r="I1929">
        <v>1</v>
      </c>
      <c r="J1929">
        <v>2.2000000000000002</v>
      </c>
      <c r="K1929" t="s">
        <v>1268</v>
      </c>
    </row>
    <row r="1930" spans="1:11" x14ac:dyDescent="0.35">
      <c r="A1930" t="s">
        <v>1941</v>
      </c>
      <c r="B1930">
        <v>5</v>
      </c>
      <c r="C1930">
        <v>8646674944</v>
      </c>
      <c r="D1930">
        <v>1</v>
      </c>
      <c r="E1930">
        <v>1934588762</v>
      </c>
      <c r="F1930">
        <v>3360942575</v>
      </c>
      <c r="G1930">
        <v>1</v>
      </c>
      <c r="H1930">
        <v>5</v>
      </c>
      <c r="I1930">
        <v>1</v>
      </c>
      <c r="J1930">
        <v>2.2000000000000002</v>
      </c>
      <c r="K1930" t="s">
        <v>1268</v>
      </c>
    </row>
    <row r="1931" spans="1:11" x14ac:dyDescent="0.35">
      <c r="A1931" t="s">
        <v>1942</v>
      </c>
      <c r="B1931">
        <v>5</v>
      </c>
      <c r="C1931">
        <v>2958247561</v>
      </c>
      <c r="D1931">
        <v>1</v>
      </c>
      <c r="E1931">
        <v>1951151592</v>
      </c>
      <c r="F1931">
        <v>3546603523</v>
      </c>
      <c r="G1931">
        <v>1</v>
      </c>
      <c r="H1931">
        <v>5</v>
      </c>
      <c r="I1931">
        <v>1</v>
      </c>
      <c r="J1931">
        <v>2.2000000000000002</v>
      </c>
      <c r="K1931" t="s">
        <v>1268</v>
      </c>
    </row>
    <row r="1932" spans="1:11" x14ac:dyDescent="0.35">
      <c r="A1932" t="s">
        <v>1943</v>
      </c>
      <c r="B1932">
        <v>5</v>
      </c>
      <c r="C1932">
        <v>3847457396</v>
      </c>
      <c r="D1932">
        <v>1</v>
      </c>
      <c r="E1932">
        <v>1647695281</v>
      </c>
      <c r="F1932">
        <v>4181709414</v>
      </c>
      <c r="G1932">
        <v>1</v>
      </c>
      <c r="H1932">
        <v>5</v>
      </c>
      <c r="I1932">
        <v>1</v>
      </c>
      <c r="J1932">
        <v>2.2000000000000002</v>
      </c>
      <c r="K1932" t="s">
        <v>1268</v>
      </c>
    </row>
    <row r="1933" spans="1:11" x14ac:dyDescent="0.35">
      <c r="A1933" t="s">
        <v>1944</v>
      </c>
      <c r="B1933">
        <v>5</v>
      </c>
      <c r="C1933">
        <v>2044571516</v>
      </c>
      <c r="D1933">
        <v>1</v>
      </c>
      <c r="E1933">
        <v>2037473826</v>
      </c>
      <c r="F1933">
        <v>4101871887</v>
      </c>
      <c r="G1933">
        <v>1</v>
      </c>
      <c r="H1933">
        <v>5</v>
      </c>
      <c r="I1933">
        <v>1</v>
      </c>
      <c r="J1933">
        <v>2.2000000000000002</v>
      </c>
      <c r="K1933" t="s">
        <v>1268</v>
      </c>
    </row>
    <row r="1934" spans="1:11" x14ac:dyDescent="0.35">
      <c r="A1934" t="s">
        <v>1945</v>
      </c>
      <c r="B1934">
        <v>5</v>
      </c>
      <c r="C1934">
        <v>5099602771</v>
      </c>
      <c r="D1934">
        <v>1</v>
      </c>
      <c r="E1934">
        <v>1857740301</v>
      </c>
      <c r="F1934">
        <v>3879912066</v>
      </c>
      <c r="G1934">
        <v>1</v>
      </c>
      <c r="H1934">
        <v>5</v>
      </c>
      <c r="I1934">
        <v>1</v>
      </c>
      <c r="J1934">
        <v>2.2000000000000002</v>
      </c>
      <c r="K1934" t="s">
        <v>1268</v>
      </c>
    </row>
    <row r="1935" spans="1:11" x14ac:dyDescent="0.35">
      <c r="A1935" t="s">
        <v>1946</v>
      </c>
      <c r="B1935">
        <v>5</v>
      </c>
      <c r="C1935">
        <v>6611749356</v>
      </c>
      <c r="D1935">
        <v>1</v>
      </c>
      <c r="E1935">
        <v>2764987933</v>
      </c>
      <c r="F1935">
        <v>4500696441</v>
      </c>
      <c r="G1935">
        <v>1</v>
      </c>
      <c r="H1935">
        <v>5</v>
      </c>
      <c r="I1935">
        <v>1</v>
      </c>
      <c r="J1935">
        <v>2.2000000000000002</v>
      </c>
      <c r="K1935" t="s">
        <v>1268</v>
      </c>
    </row>
    <row r="1936" spans="1:11" x14ac:dyDescent="0.35">
      <c r="A1936" t="s">
        <v>1947</v>
      </c>
      <c r="B1936">
        <v>5</v>
      </c>
      <c r="C1936">
        <v>4574909003</v>
      </c>
      <c r="D1936">
        <v>1</v>
      </c>
      <c r="E1936">
        <v>4865672008</v>
      </c>
      <c r="F1936">
        <v>10983603273</v>
      </c>
      <c r="G1936">
        <v>1</v>
      </c>
      <c r="H1936">
        <v>5</v>
      </c>
      <c r="I1936">
        <v>1</v>
      </c>
      <c r="J1936">
        <v>2.2000000000000002</v>
      </c>
      <c r="K1936" t="s">
        <v>1268</v>
      </c>
    </row>
    <row r="1937" spans="1:11" x14ac:dyDescent="0.35">
      <c r="A1937" t="s">
        <v>1948</v>
      </c>
      <c r="B1937">
        <v>5</v>
      </c>
      <c r="C1937">
        <v>5757488654</v>
      </c>
      <c r="D1937">
        <v>1</v>
      </c>
      <c r="E1937">
        <v>3045004712</v>
      </c>
      <c r="F1937">
        <v>6930744904</v>
      </c>
      <c r="G1937">
        <v>1</v>
      </c>
      <c r="H1937">
        <v>5</v>
      </c>
      <c r="I1937">
        <v>1</v>
      </c>
      <c r="J1937">
        <v>2.2000000000000002</v>
      </c>
      <c r="K1937" t="s">
        <v>1268</v>
      </c>
    </row>
    <row r="1938" spans="1:11" x14ac:dyDescent="0.35">
      <c r="A1938" t="s">
        <v>1949</v>
      </c>
      <c r="B1938">
        <v>5</v>
      </c>
      <c r="C1938">
        <v>7613724747</v>
      </c>
      <c r="D1938">
        <v>1</v>
      </c>
      <c r="E1938">
        <v>5077299879</v>
      </c>
      <c r="F1938">
        <v>11273314036</v>
      </c>
      <c r="G1938">
        <v>1</v>
      </c>
      <c r="H1938">
        <v>5</v>
      </c>
      <c r="I1938">
        <v>1</v>
      </c>
      <c r="J1938">
        <v>2.2000000000000002</v>
      </c>
      <c r="K1938" t="s">
        <v>1268</v>
      </c>
    </row>
    <row r="1939" spans="1:11" x14ac:dyDescent="0.35">
      <c r="A1939" t="s">
        <v>1950</v>
      </c>
      <c r="B1939">
        <v>5</v>
      </c>
      <c r="C1939">
        <v>83327311421</v>
      </c>
      <c r="D1939">
        <v>1</v>
      </c>
      <c r="E1939">
        <v>24281732902</v>
      </c>
      <c r="F1939">
        <v>43485737579</v>
      </c>
      <c r="G1939">
        <v>1</v>
      </c>
      <c r="H1939">
        <v>5</v>
      </c>
      <c r="I1939">
        <v>1</v>
      </c>
      <c r="J1939">
        <v>2.2000000000000002</v>
      </c>
      <c r="K1939" t="s">
        <v>1268</v>
      </c>
    </row>
    <row r="1940" spans="1:11" x14ac:dyDescent="0.35">
      <c r="A1940" t="s">
        <v>1951</v>
      </c>
      <c r="B1940">
        <v>5</v>
      </c>
      <c r="C1940">
        <v>56443616693</v>
      </c>
      <c r="D1940">
        <v>1</v>
      </c>
      <c r="E1940">
        <v>19038195044</v>
      </c>
      <c r="F1940">
        <v>38149944908</v>
      </c>
      <c r="G1940">
        <v>1</v>
      </c>
      <c r="H1940">
        <v>5</v>
      </c>
      <c r="I1940">
        <v>1</v>
      </c>
      <c r="J1940">
        <v>2.2000000000000002</v>
      </c>
      <c r="K1940" t="s">
        <v>1268</v>
      </c>
    </row>
    <row r="1941" spans="1:11" x14ac:dyDescent="0.35">
      <c r="A1941" t="s">
        <v>1952</v>
      </c>
      <c r="B1941">
        <v>5</v>
      </c>
      <c r="C1941">
        <v>20212799714</v>
      </c>
      <c r="D1941">
        <v>1</v>
      </c>
      <c r="E1941">
        <v>8026564303</v>
      </c>
      <c r="F1941">
        <v>19002725820</v>
      </c>
      <c r="G1941">
        <v>1</v>
      </c>
      <c r="H1941">
        <v>5</v>
      </c>
      <c r="I1941">
        <v>1</v>
      </c>
      <c r="J1941">
        <v>2.2000000000000002</v>
      </c>
      <c r="K1941" t="s">
        <v>1268</v>
      </c>
    </row>
    <row r="1942" spans="1:11" x14ac:dyDescent="0.35">
      <c r="A1942" t="s">
        <v>1953</v>
      </c>
      <c r="B1942">
        <v>5</v>
      </c>
      <c r="C1942">
        <v>1394836801</v>
      </c>
      <c r="D1942">
        <v>1</v>
      </c>
      <c r="E1942">
        <v>975418491</v>
      </c>
      <c r="F1942">
        <v>1829766440</v>
      </c>
      <c r="G1942">
        <v>1</v>
      </c>
      <c r="H1942">
        <v>5</v>
      </c>
      <c r="I1942">
        <v>1</v>
      </c>
      <c r="J1942">
        <v>2.2000000000000002</v>
      </c>
      <c r="K1942" t="s">
        <v>1268</v>
      </c>
    </row>
    <row r="1943" spans="1:11" x14ac:dyDescent="0.35">
      <c r="A1943" t="s">
        <v>1954</v>
      </c>
      <c r="B1943">
        <v>5</v>
      </c>
      <c r="C1943">
        <v>5119785860</v>
      </c>
      <c r="D1943">
        <v>1</v>
      </c>
      <c r="E1943">
        <v>1846290641</v>
      </c>
      <c r="F1943">
        <v>1755071355</v>
      </c>
      <c r="G1943">
        <v>1</v>
      </c>
      <c r="H1943">
        <v>5</v>
      </c>
      <c r="I1943">
        <v>1</v>
      </c>
      <c r="J1943">
        <v>2.2000000000000002</v>
      </c>
      <c r="K1943" t="s">
        <v>1268</v>
      </c>
    </row>
    <row r="1944" spans="1:11" x14ac:dyDescent="0.35">
      <c r="A1944" t="s">
        <v>1955</v>
      </c>
      <c r="B1944">
        <v>5</v>
      </c>
      <c r="C1944">
        <v>5886947132</v>
      </c>
      <c r="D1944">
        <v>1</v>
      </c>
      <c r="E1944">
        <v>788603509.70000005</v>
      </c>
      <c r="F1944">
        <v>1731070626</v>
      </c>
      <c r="G1944">
        <v>1</v>
      </c>
      <c r="H1944">
        <v>5</v>
      </c>
      <c r="I1944">
        <v>1</v>
      </c>
      <c r="J1944">
        <v>2.2000000000000002</v>
      </c>
      <c r="K1944" t="s">
        <v>1268</v>
      </c>
    </row>
    <row r="1945" spans="1:11" x14ac:dyDescent="0.35">
      <c r="A1945" t="s">
        <v>1956</v>
      </c>
      <c r="B1945">
        <v>5</v>
      </c>
      <c r="C1945">
        <v>1795588702</v>
      </c>
      <c r="D1945">
        <v>1</v>
      </c>
      <c r="E1945">
        <v>1023677921</v>
      </c>
      <c r="F1945">
        <v>2231986557</v>
      </c>
      <c r="G1945">
        <v>1</v>
      </c>
      <c r="H1945">
        <v>5</v>
      </c>
      <c r="I1945">
        <v>1</v>
      </c>
      <c r="J1945">
        <v>2.2000000000000002</v>
      </c>
      <c r="K1945" t="s">
        <v>1268</v>
      </c>
    </row>
    <row r="1946" spans="1:11" x14ac:dyDescent="0.35">
      <c r="A1946" t="s">
        <v>1957</v>
      </c>
      <c r="B1946">
        <v>5</v>
      </c>
      <c r="C1946">
        <v>3421041678</v>
      </c>
      <c r="D1946">
        <v>1</v>
      </c>
      <c r="E1946">
        <v>1169486282</v>
      </c>
      <c r="F1946">
        <v>2195635980</v>
      </c>
      <c r="G1946">
        <v>1</v>
      </c>
      <c r="H1946">
        <v>5</v>
      </c>
      <c r="I1946">
        <v>1</v>
      </c>
      <c r="J1946">
        <v>2.2000000000000002</v>
      </c>
      <c r="K1946" t="s">
        <v>1268</v>
      </c>
    </row>
    <row r="1947" spans="1:11" x14ac:dyDescent="0.35">
      <c r="A1947" t="s">
        <v>1958</v>
      </c>
      <c r="B1947">
        <v>5</v>
      </c>
      <c r="C1947">
        <v>2269226396</v>
      </c>
      <c r="D1947">
        <v>1</v>
      </c>
      <c r="E1947">
        <v>1085814674</v>
      </c>
      <c r="F1947">
        <v>2177562102</v>
      </c>
      <c r="G1947">
        <v>1</v>
      </c>
      <c r="H1947">
        <v>5</v>
      </c>
      <c r="I1947">
        <v>1</v>
      </c>
      <c r="J1947">
        <v>2.2000000000000002</v>
      </c>
      <c r="K1947" t="s">
        <v>1268</v>
      </c>
    </row>
    <row r="1948" spans="1:11" x14ac:dyDescent="0.35">
      <c r="A1948" t="s">
        <v>1959</v>
      </c>
      <c r="B1948">
        <v>5</v>
      </c>
      <c r="C1948">
        <v>5559422808</v>
      </c>
      <c r="D1948">
        <v>1</v>
      </c>
      <c r="E1948">
        <v>1613723373</v>
      </c>
      <c r="F1948">
        <v>2110470383</v>
      </c>
      <c r="G1948">
        <v>1</v>
      </c>
      <c r="H1948">
        <v>5</v>
      </c>
      <c r="I1948">
        <v>1</v>
      </c>
      <c r="J1948">
        <v>2.2000000000000002</v>
      </c>
      <c r="K1948" t="s">
        <v>1268</v>
      </c>
    </row>
    <row r="1949" spans="1:11" x14ac:dyDescent="0.35">
      <c r="A1949" t="s">
        <v>1960</v>
      </c>
      <c r="B1949">
        <v>5</v>
      </c>
      <c r="C1949">
        <v>6906864788</v>
      </c>
      <c r="D1949">
        <v>1</v>
      </c>
      <c r="E1949">
        <v>1647504683</v>
      </c>
      <c r="F1949">
        <v>2031475840</v>
      </c>
      <c r="G1949">
        <v>1</v>
      </c>
      <c r="H1949">
        <v>5</v>
      </c>
      <c r="I1949">
        <v>1</v>
      </c>
      <c r="J1949">
        <v>2.2000000000000002</v>
      </c>
      <c r="K1949" t="s">
        <v>1268</v>
      </c>
    </row>
    <row r="1950" spans="1:11" x14ac:dyDescent="0.35">
      <c r="A1950" t="s">
        <v>1961</v>
      </c>
      <c r="B1950">
        <v>5</v>
      </c>
      <c r="C1950">
        <v>2000779844</v>
      </c>
      <c r="D1950">
        <v>1</v>
      </c>
      <c r="E1950">
        <v>930455738</v>
      </c>
      <c r="F1950">
        <v>1862671387</v>
      </c>
      <c r="G1950">
        <v>1</v>
      </c>
      <c r="H1950">
        <v>5</v>
      </c>
      <c r="I1950">
        <v>1</v>
      </c>
      <c r="J1950">
        <v>2.2000000000000002</v>
      </c>
      <c r="K1950" t="s">
        <v>1268</v>
      </c>
    </row>
    <row r="1951" spans="1:11" x14ac:dyDescent="0.35">
      <c r="A1951" t="s">
        <v>1962</v>
      </c>
      <c r="B1951">
        <v>5</v>
      </c>
      <c r="C1951">
        <v>1176932198</v>
      </c>
      <c r="D1951">
        <v>1</v>
      </c>
      <c r="E1951">
        <v>627882608.10000002</v>
      </c>
      <c r="F1951">
        <v>1363706609</v>
      </c>
      <c r="G1951">
        <v>1</v>
      </c>
      <c r="H1951">
        <v>5</v>
      </c>
      <c r="I1951">
        <v>1</v>
      </c>
      <c r="J1951">
        <v>2.2000000000000002</v>
      </c>
      <c r="K1951" t="s">
        <v>1268</v>
      </c>
    </row>
    <row r="1952" spans="1:11" x14ac:dyDescent="0.35">
      <c r="A1952" t="s">
        <v>1963</v>
      </c>
      <c r="B1952">
        <v>5</v>
      </c>
      <c r="C1952">
        <v>1695626201</v>
      </c>
      <c r="D1952">
        <v>1</v>
      </c>
      <c r="E1952">
        <v>662848529.29999995</v>
      </c>
      <c r="F1952">
        <v>1486239945</v>
      </c>
      <c r="G1952">
        <v>1</v>
      </c>
      <c r="H1952">
        <v>5</v>
      </c>
      <c r="I1952">
        <v>1</v>
      </c>
      <c r="J1952">
        <v>2.2000000000000002</v>
      </c>
      <c r="K1952" t="s">
        <v>1268</v>
      </c>
    </row>
    <row r="1953" spans="1:11" x14ac:dyDescent="0.35">
      <c r="A1953" t="s">
        <v>1964</v>
      </c>
      <c r="B1953">
        <v>5</v>
      </c>
      <c r="C1953">
        <v>1308423892</v>
      </c>
      <c r="D1953">
        <v>1</v>
      </c>
      <c r="E1953">
        <v>1086355971</v>
      </c>
      <c r="F1953">
        <v>1274973399</v>
      </c>
      <c r="G1953">
        <v>1</v>
      </c>
      <c r="H1953">
        <v>5</v>
      </c>
      <c r="I1953">
        <v>1</v>
      </c>
      <c r="J1953">
        <v>2.2000000000000002</v>
      </c>
      <c r="K1953" t="s">
        <v>1268</v>
      </c>
    </row>
    <row r="1954" spans="1:11" x14ac:dyDescent="0.35">
      <c r="A1954" t="s">
        <v>1965</v>
      </c>
      <c r="B1954">
        <v>5</v>
      </c>
      <c r="C1954">
        <v>281798880.69999999</v>
      </c>
      <c r="D1954">
        <v>1</v>
      </c>
      <c r="E1954">
        <v>576533333.29999995</v>
      </c>
      <c r="F1954">
        <v>1273771480</v>
      </c>
      <c r="G1954">
        <v>1</v>
      </c>
      <c r="H1954">
        <v>5</v>
      </c>
      <c r="I1954">
        <v>1</v>
      </c>
      <c r="J1954">
        <v>2.2000000000000002</v>
      </c>
      <c r="K1954" t="s">
        <v>1268</v>
      </c>
    </row>
    <row r="1955" spans="1:11" x14ac:dyDescent="0.35">
      <c r="A1955" t="s">
        <v>1966</v>
      </c>
      <c r="B1955">
        <v>5</v>
      </c>
      <c r="C1955">
        <v>5295239004</v>
      </c>
      <c r="D1955">
        <v>1</v>
      </c>
      <c r="E1955">
        <v>514653812.80000001</v>
      </c>
      <c r="F1955">
        <v>1245906295</v>
      </c>
      <c r="G1955">
        <v>1</v>
      </c>
      <c r="H1955">
        <v>5</v>
      </c>
      <c r="I1955">
        <v>1</v>
      </c>
      <c r="J1955">
        <v>2.2000000000000002</v>
      </c>
      <c r="K1955" t="s">
        <v>1268</v>
      </c>
    </row>
    <row r="1956" spans="1:11" x14ac:dyDescent="0.35">
      <c r="A1956" t="s">
        <v>1967</v>
      </c>
      <c r="B1956">
        <v>5</v>
      </c>
      <c r="C1956">
        <v>764208915</v>
      </c>
      <c r="D1956">
        <v>1</v>
      </c>
      <c r="E1956">
        <v>498995297</v>
      </c>
      <c r="F1956">
        <v>1114126968</v>
      </c>
      <c r="G1956">
        <v>1</v>
      </c>
      <c r="H1956">
        <v>5</v>
      </c>
      <c r="I1956">
        <v>1</v>
      </c>
      <c r="J1956">
        <v>2.2000000000000002</v>
      </c>
      <c r="K1956" t="s">
        <v>1268</v>
      </c>
    </row>
    <row r="1957" spans="1:11" x14ac:dyDescent="0.35">
      <c r="A1957" t="s">
        <v>1968</v>
      </c>
      <c r="B1957">
        <v>5</v>
      </c>
      <c r="C1957">
        <v>1723831685</v>
      </c>
      <c r="D1957">
        <v>1</v>
      </c>
      <c r="E1957">
        <v>492759108.69999999</v>
      </c>
      <c r="F1957">
        <v>1136645238</v>
      </c>
      <c r="G1957">
        <v>1</v>
      </c>
      <c r="H1957">
        <v>5</v>
      </c>
      <c r="I1957">
        <v>1</v>
      </c>
      <c r="J1957">
        <v>2.2000000000000002</v>
      </c>
      <c r="K1957" t="s">
        <v>1268</v>
      </c>
    </row>
    <row r="1958" spans="1:11" x14ac:dyDescent="0.35">
      <c r="A1958" t="s">
        <v>1969</v>
      </c>
      <c r="B1958">
        <v>5</v>
      </c>
      <c r="C1958">
        <v>2280008763</v>
      </c>
      <c r="D1958">
        <v>1</v>
      </c>
      <c r="E1958">
        <v>677734368.79999995</v>
      </c>
      <c r="F1958">
        <v>1134645981</v>
      </c>
      <c r="G1958">
        <v>1</v>
      </c>
      <c r="H1958">
        <v>5</v>
      </c>
      <c r="I1958">
        <v>1</v>
      </c>
      <c r="J1958">
        <v>2.2000000000000002</v>
      </c>
      <c r="K1958" t="s">
        <v>1268</v>
      </c>
    </row>
    <row r="1959" spans="1:11" x14ac:dyDescent="0.35">
      <c r="A1959" t="s">
        <v>1970</v>
      </c>
      <c r="B1959">
        <v>5</v>
      </c>
      <c r="C1959">
        <v>2102234590</v>
      </c>
      <c r="D1959">
        <v>1</v>
      </c>
      <c r="E1959">
        <v>440121327.60000002</v>
      </c>
      <c r="F1959">
        <v>991665798</v>
      </c>
      <c r="G1959">
        <v>1</v>
      </c>
      <c r="H1959">
        <v>5</v>
      </c>
      <c r="I1959">
        <v>1</v>
      </c>
      <c r="J1959">
        <v>2.2000000000000002</v>
      </c>
      <c r="K1959" t="s">
        <v>1268</v>
      </c>
    </row>
    <row r="1960" spans="1:11" x14ac:dyDescent="0.35">
      <c r="A1960" t="s">
        <v>1971</v>
      </c>
      <c r="B1960">
        <v>5</v>
      </c>
      <c r="C1960">
        <v>11416869453</v>
      </c>
      <c r="D1960">
        <v>1</v>
      </c>
      <c r="E1960">
        <v>699882507.29999995</v>
      </c>
      <c r="F1960">
        <v>1108050628</v>
      </c>
      <c r="G1960">
        <v>1</v>
      </c>
      <c r="H1960">
        <v>5</v>
      </c>
      <c r="I1960">
        <v>1</v>
      </c>
      <c r="J1960">
        <v>2.2000000000000002</v>
      </c>
      <c r="K1960" t="s">
        <v>1268</v>
      </c>
    </row>
    <row r="1961" spans="1:11" x14ac:dyDescent="0.35">
      <c r="A1961" t="s">
        <v>1972</v>
      </c>
      <c r="B1961">
        <v>5</v>
      </c>
      <c r="C1961">
        <v>1963461476</v>
      </c>
      <c r="D1961">
        <v>1</v>
      </c>
      <c r="E1961">
        <v>635877281.60000002</v>
      </c>
      <c r="F1961">
        <v>1076036949</v>
      </c>
      <c r="G1961">
        <v>1</v>
      </c>
      <c r="H1961">
        <v>5</v>
      </c>
      <c r="I1961">
        <v>1</v>
      </c>
      <c r="J1961">
        <v>2.2000000000000002</v>
      </c>
      <c r="K1961" t="s">
        <v>1268</v>
      </c>
    </row>
    <row r="1962" spans="1:11" x14ac:dyDescent="0.35">
      <c r="A1962" t="s">
        <v>1973</v>
      </c>
      <c r="B1962">
        <v>5</v>
      </c>
      <c r="C1962">
        <v>707540330.20000005</v>
      </c>
      <c r="D1962">
        <v>1</v>
      </c>
      <c r="E1962">
        <v>424840535</v>
      </c>
      <c r="F1962">
        <v>1063562497</v>
      </c>
      <c r="G1962">
        <v>1</v>
      </c>
      <c r="H1962">
        <v>5</v>
      </c>
      <c r="I1962">
        <v>1</v>
      </c>
      <c r="J1962">
        <v>2.2000000000000002</v>
      </c>
      <c r="K1962" t="s">
        <v>1268</v>
      </c>
    </row>
    <row r="1963" spans="1:11" x14ac:dyDescent="0.35">
      <c r="A1963" t="s">
        <v>1974</v>
      </c>
      <c r="B1963">
        <v>5</v>
      </c>
      <c r="C1963">
        <v>139647491.80000001</v>
      </c>
      <c r="D1963">
        <v>1</v>
      </c>
      <c r="E1963">
        <v>67085498.810000002</v>
      </c>
      <c r="F1963">
        <v>-19215247.800000001</v>
      </c>
      <c r="G1963">
        <v>1</v>
      </c>
      <c r="H1963">
        <v>3</v>
      </c>
      <c r="I1963">
        <v>4</v>
      </c>
      <c r="J1963">
        <v>2.2000000000000002</v>
      </c>
      <c r="K1963" t="s">
        <v>1268</v>
      </c>
    </row>
    <row r="1964" spans="1:11" x14ac:dyDescent="0.35">
      <c r="A1964" t="s">
        <v>1975</v>
      </c>
      <c r="B1964">
        <v>5</v>
      </c>
      <c r="C1964">
        <v>343374932.89999998</v>
      </c>
      <c r="D1964">
        <v>1</v>
      </c>
      <c r="E1964">
        <v>100859481.59999999</v>
      </c>
      <c r="F1964">
        <v>-19590851.100000001</v>
      </c>
      <c r="G1964">
        <v>1</v>
      </c>
      <c r="H1964">
        <v>3</v>
      </c>
      <c r="I1964">
        <v>4</v>
      </c>
      <c r="J1964">
        <v>2.2000000000000002</v>
      </c>
      <c r="K1964" t="s">
        <v>1268</v>
      </c>
    </row>
    <row r="1965" spans="1:11" x14ac:dyDescent="0.35">
      <c r="A1965" t="s">
        <v>1976</v>
      </c>
      <c r="B1965">
        <v>5</v>
      </c>
      <c r="C1965">
        <v>375909263</v>
      </c>
      <c r="D1965">
        <v>1</v>
      </c>
      <c r="E1965">
        <v>53867513.140000001</v>
      </c>
      <c r="F1965">
        <v>-21303292.100000001</v>
      </c>
      <c r="G1965">
        <v>1</v>
      </c>
      <c r="H1965">
        <v>3</v>
      </c>
      <c r="I1965">
        <v>4</v>
      </c>
      <c r="J1965">
        <v>2.2000000000000002</v>
      </c>
      <c r="K1965" t="s">
        <v>1268</v>
      </c>
    </row>
    <row r="1966" spans="1:11" x14ac:dyDescent="0.35">
      <c r="A1966" t="s">
        <v>1977</v>
      </c>
      <c r="B1966">
        <v>5</v>
      </c>
      <c r="C1966">
        <v>836964363.29999995</v>
      </c>
      <c r="D1966">
        <v>1</v>
      </c>
      <c r="E1966">
        <v>53761005.609999999</v>
      </c>
      <c r="F1966">
        <v>-29437144.5</v>
      </c>
      <c r="G1966">
        <v>1</v>
      </c>
      <c r="H1966">
        <v>3</v>
      </c>
      <c r="I1966">
        <v>4</v>
      </c>
      <c r="J1966">
        <v>2.2000000000000002</v>
      </c>
      <c r="K1966" t="s">
        <v>1268</v>
      </c>
    </row>
    <row r="1967" spans="1:11" x14ac:dyDescent="0.35">
      <c r="A1967" t="s">
        <v>1978</v>
      </c>
      <c r="B1967">
        <v>5</v>
      </c>
      <c r="C1967">
        <v>237932554.30000001</v>
      </c>
      <c r="D1967">
        <v>1</v>
      </c>
      <c r="E1967">
        <v>81628737.890000001</v>
      </c>
      <c r="F1967">
        <v>-36643022.200000003</v>
      </c>
      <c r="G1967">
        <v>1</v>
      </c>
      <c r="H1967">
        <v>3</v>
      </c>
      <c r="I1967">
        <v>4</v>
      </c>
      <c r="J1967">
        <v>2.2000000000000002</v>
      </c>
      <c r="K1967" t="s">
        <v>1268</v>
      </c>
    </row>
    <row r="1968" spans="1:11" x14ac:dyDescent="0.35">
      <c r="A1968" t="s">
        <v>1979</v>
      </c>
      <c r="B1968">
        <v>5</v>
      </c>
      <c r="C1968">
        <v>471455377.89999998</v>
      </c>
      <c r="D1968">
        <v>1</v>
      </c>
      <c r="E1968">
        <v>61074598.619999997</v>
      </c>
      <c r="F1968">
        <v>-11876248</v>
      </c>
      <c r="G1968">
        <v>1</v>
      </c>
      <c r="H1968">
        <v>3</v>
      </c>
      <c r="I1968">
        <v>4</v>
      </c>
      <c r="J1968">
        <v>2.2000000000000002</v>
      </c>
      <c r="K1968" t="s">
        <v>1268</v>
      </c>
    </row>
    <row r="1969" spans="1:11" x14ac:dyDescent="0.35">
      <c r="A1969" t="s">
        <v>1980</v>
      </c>
      <c r="B1969">
        <v>5</v>
      </c>
      <c r="C1969">
        <v>141923393.59999999</v>
      </c>
      <c r="D1969">
        <v>1</v>
      </c>
      <c r="E1969">
        <v>51462929.770000003</v>
      </c>
      <c r="F1969">
        <v>-9028181.5</v>
      </c>
      <c r="G1969">
        <v>1</v>
      </c>
      <c r="H1969">
        <v>3</v>
      </c>
      <c r="I1969">
        <v>4</v>
      </c>
      <c r="J1969">
        <v>2.2000000000000002</v>
      </c>
      <c r="K1969" t="s">
        <v>1268</v>
      </c>
    </row>
    <row r="1970" spans="1:11" x14ac:dyDescent="0.35">
      <c r="A1970" t="s">
        <v>1981</v>
      </c>
      <c r="B1970">
        <v>5</v>
      </c>
      <c r="C1970">
        <v>356600715.19999999</v>
      </c>
      <c r="D1970">
        <v>1</v>
      </c>
      <c r="E1970">
        <v>52053674.170000002</v>
      </c>
      <c r="F1970">
        <v>-17667742.5</v>
      </c>
      <c r="G1970">
        <v>1</v>
      </c>
      <c r="H1970">
        <v>3</v>
      </c>
      <c r="I1970">
        <v>4</v>
      </c>
      <c r="J1970">
        <v>2.2000000000000002</v>
      </c>
      <c r="K1970" t="s">
        <v>1268</v>
      </c>
    </row>
    <row r="1971" spans="1:11" x14ac:dyDescent="0.35">
      <c r="A1971" t="s">
        <v>1982</v>
      </c>
      <c r="B1971">
        <v>5</v>
      </c>
      <c r="C1971">
        <v>48308446.979999997</v>
      </c>
      <c r="D1971">
        <v>1</v>
      </c>
      <c r="E1971">
        <v>48367277.780000001</v>
      </c>
      <c r="F1971">
        <v>-14975893.800000001</v>
      </c>
      <c r="G1971">
        <v>1</v>
      </c>
      <c r="H1971">
        <v>3</v>
      </c>
      <c r="I1971">
        <v>4</v>
      </c>
      <c r="J1971">
        <v>2.2000000000000002</v>
      </c>
      <c r="K1971" t="s">
        <v>1268</v>
      </c>
    </row>
    <row r="1972" spans="1:11" x14ac:dyDescent="0.35">
      <c r="A1972" t="s">
        <v>1983</v>
      </c>
      <c r="B1972">
        <v>5</v>
      </c>
      <c r="C1972">
        <v>11564118.18</v>
      </c>
      <c r="D1972">
        <v>0.8</v>
      </c>
      <c r="E1972">
        <v>28480487.649999999</v>
      </c>
      <c r="F1972">
        <v>-3949908.2</v>
      </c>
      <c r="G1972">
        <v>2</v>
      </c>
      <c r="H1972">
        <v>2</v>
      </c>
      <c r="I1972">
        <v>3</v>
      </c>
      <c r="J1972">
        <v>2.2000000000000002</v>
      </c>
      <c r="K1972" t="s">
        <v>1268</v>
      </c>
    </row>
    <row r="1973" spans="1:11" x14ac:dyDescent="0.35">
      <c r="A1973" t="s">
        <v>1984</v>
      </c>
      <c r="B1973">
        <v>5</v>
      </c>
      <c r="C1973">
        <v>21446809.32</v>
      </c>
      <c r="D1973">
        <v>0.8</v>
      </c>
      <c r="E1973">
        <v>19365051.530000001</v>
      </c>
      <c r="F1973">
        <v>3680131.8</v>
      </c>
      <c r="G1973">
        <v>2</v>
      </c>
      <c r="H1973">
        <v>2</v>
      </c>
      <c r="I1973">
        <v>3</v>
      </c>
      <c r="J1973">
        <v>2.2000000000000002</v>
      </c>
      <c r="K1973" t="s">
        <v>1268</v>
      </c>
    </row>
    <row r="1974" spans="1:11" x14ac:dyDescent="0.35">
      <c r="A1974" t="s">
        <v>1985</v>
      </c>
      <c r="B1974">
        <v>5</v>
      </c>
      <c r="C1974">
        <v>17843395.600000001</v>
      </c>
      <c r="D1974">
        <v>0.8</v>
      </c>
      <c r="E1974">
        <v>23488025.329999998</v>
      </c>
      <c r="F1974">
        <v>5360725.4000000004</v>
      </c>
      <c r="G1974">
        <v>2</v>
      </c>
      <c r="H1974">
        <v>2</v>
      </c>
      <c r="I1974">
        <v>3</v>
      </c>
      <c r="J1974">
        <v>2.2000000000000002</v>
      </c>
      <c r="K1974" t="s">
        <v>1268</v>
      </c>
    </row>
    <row r="1975" spans="1:11" x14ac:dyDescent="0.35">
      <c r="A1975" t="s">
        <v>1986</v>
      </c>
      <c r="B1975">
        <v>5</v>
      </c>
      <c r="C1975">
        <v>105631051</v>
      </c>
      <c r="D1975">
        <v>1</v>
      </c>
      <c r="E1975">
        <v>20964736.809999999</v>
      </c>
      <c r="F1975">
        <v>6990955.5999999996</v>
      </c>
      <c r="G1975">
        <v>2</v>
      </c>
      <c r="H1975">
        <v>2</v>
      </c>
      <c r="I1975">
        <v>3</v>
      </c>
      <c r="J1975">
        <v>2.2000000000000002</v>
      </c>
      <c r="K1975" t="s">
        <v>1268</v>
      </c>
    </row>
    <row r="1976" spans="1:11" x14ac:dyDescent="0.35">
      <c r="A1976" t="s">
        <v>1987</v>
      </c>
      <c r="B1976">
        <v>5</v>
      </c>
      <c r="C1976">
        <v>25258815.82</v>
      </c>
      <c r="D1976">
        <v>1</v>
      </c>
      <c r="E1976">
        <v>20312601.219999999</v>
      </c>
      <c r="F1976">
        <v>2793182.2</v>
      </c>
      <c r="G1976">
        <v>2</v>
      </c>
      <c r="H1976">
        <v>2</v>
      </c>
      <c r="I1976">
        <v>3</v>
      </c>
      <c r="J1976">
        <v>2.2000000000000002</v>
      </c>
      <c r="K1976" t="s">
        <v>1268</v>
      </c>
    </row>
    <row r="1977" spans="1:11" x14ac:dyDescent="0.35">
      <c r="A1977" t="s">
        <v>1988</v>
      </c>
      <c r="B1977">
        <v>5</v>
      </c>
      <c r="C1977">
        <v>13600422.18</v>
      </c>
      <c r="D1977">
        <v>0.8</v>
      </c>
      <c r="E1977">
        <v>21335934.949999999</v>
      </c>
      <c r="F1977">
        <v>1062998.3999999999</v>
      </c>
      <c r="G1977">
        <v>2</v>
      </c>
      <c r="H1977">
        <v>2</v>
      </c>
      <c r="I1977">
        <v>3</v>
      </c>
      <c r="J1977">
        <v>2.2000000000000002</v>
      </c>
      <c r="K1977" t="s">
        <v>1268</v>
      </c>
    </row>
    <row r="1978" spans="1:11" x14ac:dyDescent="0.35">
      <c r="A1978" t="s">
        <v>1989</v>
      </c>
      <c r="B1978">
        <v>5</v>
      </c>
      <c r="C1978">
        <v>269812485.5</v>
      </c>
      <c r="D1978">
        <v>1</v>
      </c>
      <c r="E1978">
        <v>98698405.409999996</v>
      </c>
      <c r="F1978">
        <v>-73345437.799999997</v>
      </c>
      <c r="G1978">
        <v>1</v>
      </c>
      <c r="H1978">
        <v>3</v>
      </c>
      <c r="I1978">
        <v>4</v>
      </c>
      <c r="J1978">
        <v>2.2000000000000002</v>
      </c>
      <c r="K1978" t="s">
        <v>1268</v>
      </c>
    </row>
    <row r="1979" spans="1:11" x14ac:dyDescent="0.35">
      <c r="A1979" t="s">
        <v>1990</v>
      </c>
      <c r="B1979">
        <v>5</v>
      </c>
      <c r="C1979">
        <v>183880156.90000001</v>
      </c>
      <c r="D1979">
        <v>1</v>
      </c>
      <c r="E1979">
        <v>78603264.569999993</v>
      </c>
      <c r="F1979">
        <v>-67543822.900000006</v>
      </c>
      <c r="G1979">
        <v>1</v>
      </c>
      <c r="H1979">
        <v>3</v>
      </c>
      <c r="I1979">
        <v>4</v>
      </c>
      <c r="J1979">
        <v>2.2000000000000002</v>
      </c>
      <c r="K1979" t="s">
        <v>1268</v>
      </c>
    </row>
    <row r="1980" spans="1:11" x14ac:dyDescent="0.35">
      <c r="A1980" t="s">
        <v>1991</v>
      </c>
      <c r="B1980">
        <v>5</v>
      </c>
      <c r="C1980">
        <v>173728326.30000001</v>
      </c>
      <c r="D1980">
        <v>1</v>
      </c>
      <c r="E1980">
        <v>49433295.030000001</v>
      </c>
      <c r="F1980">
        <v>-66437769.100000001</v>
      </c>
      <c r="G1980">
        <v>1</v>
      </c>
      <c r="H1980">
        <v>3</v>
      </c>
      <c r="I1980">
        <v>4</v>
      </c>
      <c r="J1980">
        <v>2.2000000000000002</v>
      </c>
      <c r="K1980" t="s">
        <v>1268</v>
      </c>
    </row>
    <row r="1981" spans="1:11" x14ac:dyDescent="0.35">
      <c r="A1981" t="s">
        <v>1992</v>
      </c>
      <c r="B1981">
        <v>5</v>
      </c>
      <c r="C1981">
        <v>275758263.39999998</v>
      </c>
      <c r="D1981">
        <v>1</v>
      </c>
      <c r="E1981">
        <v>92307770.180000007</v>
      </c>
      <c r="F1981">
        <v>-65072319.299999997</v>
      </c>
      <c r="G1981">
        <v>1</v>
      </c>
      <c r="H1981">
        <v>3</v>
      </c>
      <c r="I1981">
        <v>4</v>
      </c>
      <c r="J1981">
        <v>2.2000000000000002</v>
      </c>
      <c r="K1981" t="s">
        <v>1268</v>
      </c>
    </row>
    <row r="1982" spans="1:11" x14ac:dyDescent="0.35">
      <c r="A1982" t="s">
        <v>1993</v>
      </c>
      <c r="B1982">
        <v>5</v>
      </c>
      <c r="C1982">
        <v>109253667.09999999</v>
      </c>
      <c r="D1982">
        <v>1</v>
      </c>
      <c r="E1982">
        <v>50786512.030000001</v>
      </c>
      <c r="F1982">
        <v>-52115209.799999997</v>
      </c>
      <c r="G1982">
        <v>1</v>
      </c>
      <c r="H1982">
        <v>3</v>
      </c>
      <c r="I1982">
        <v>4</v>
      </c>
      <c r="J1982">
        <v>2.2000000000000002</v>
      </c>
      <c r="K1982" t="s">
        <v>1268</v>
      </c>
    </row>
    <row r="1983" spans="1:11" x14ac:dyDescent="0.35">
      <c r="A1983" t="s">
        <v>1994</v>
      </c>
      <c r="B1983">
        <v>5</v>
      </c>
      <c r="C1983">
        <v>232936023.5</v>
      </c>
      <c r="D1983">
        <v>1</v>
      </c>
      <c r="E1983">
        <v>46199642.880000003</v>
      </c>
      <c r="F1983">
        <v>-47381364.100000001</v>
      </c>
      <c r="G1983">
        <v>1</v>
      </c>
      <c r="H1983">
        <v>3</v>
      </c>
      <c r="I1983">
        <v>4</v>
      </c>
      <c r="J1983">
        <v>2.2000000000000002</v>
      </c>
      <c r="K1983" t="s">
        <v>1268</v>
      </c>
    </row>
    <row r="1984" spans="1:11" x14ac:dyDescent="0.35">
      <c r="A1984" t="s">
        <v>1995</v>
      </c>
      <c r="B1984">
        <v>5</v>
      </c>
      <c r="C1984">
        <v>48807131.159999996</v>
      </c>
      <c r="D1984">
        <v>1</v>
      </c>
      <c r="E1984">
        <v>37592519.18</v>
      </c>
      <c r="F1984">
        <v>-97314565.700000003</v>
      </c>
      <c r="G1984">
        <v>1</v>
      </c>
      <c r="H1984">
        <v>2</v>
      </c>
      <c r="I1984">
        <v>5</v>
      </c>
      <c r="J1984">
        <v>2.1</v>
      </c>
      <c r="K1984" t="s">
        <v>1268</v>
      </c>
    </row>
    <row r="1985" spans="1:11" x14ac:dyDescent="0.35">
      <c r="A1985" t="s">
        <v>1996</v>
      </c>
      <c r="B1985">
        <v>5</v>
      </c>
      <c r="C1985">
        <v>16851465.620000001</v>
      </c>
      <c r="D1985">
        <v>1</v>
      </c>
      <c r="E1985">
        <v>8501569.5429999996</v>
      </c>
      <c r="F1985">
        <v>-6783479.5999999996</v>
      </c>
      <c r="G1985">
        <v>2</v>
      </c>
      <c r="H1985">
        <v>1</v>
      </c>
      <c r="I1985">
        <v>4</v>
      </c>
      <c r="J1985">
        <v>2.1</v>
      </c>
      <c r="K1985" t="s">
        <v>1268</v>
      </c>
    </row>
    <row r="1986" spans="1:11" x14ac:dyDescent="0.35">
      <c r="A1986" t="s">
        <v>1997</v>
      </c>
      <c r="B1986">
        <v>5</v>
      </c>
      <c r="C1986">
        <v>44559143.700000003</v>
      </c>
      <c r="D1986">
        <v>1</v>
      </c>
      <c r="E1986">
        <v>10967437.890000001</v>
      </c>
      <c r="F1986">
        <v>-13957977.9</v>
      </c>
      <c r="G1986">
        <v>2</v>
      </c>
      <c r="H1986">
        <v>1</v>
      </c>
      <c r="I1986">
        <v>4</v>
      </c>
      <c r="J1986">
        <v>2.1</v>
      </c>
      <c r="K1986" t="s">
        <v>1268</v>
      </c>
    </row>
    <row r="1987" spans="1:11" x14ac:dyDescent="0.35">
      <c r="A1987" t="s">
        <v>1998</v>
      </c>
      <c r="B1987">
        <v>5</v>
      </c>
      <c r="C1987">
        <v>16109372.060000001</v>
      </c>
      <c r="D1987">
        <v>1</v>
      </c>
      <c r="E1987">
        <v>15257188.23</v>
      </c>
      <c r="F1987">
        <v>-13095988.800000001</v>
      </c>
      <c r="G1987">
        <v>2</v>
      </c>
      <c r="H1987">
        <v>1</v>
      </c>
      <c r="I1987">
        <v>4</v>
      </c>
      <c r="J1987">
        <v>2.1</v>
      </c>
      <c r="K1987" t="s">
        <v>1268</v>
      </c>
    </row>
    <row r="1988" spans="1:11" x14ac:dyDescent="0.35">
      <c r="A1988" t="s">
        <v>1999</v>
      </c>
      <c r="B1988">
        <v>5</v>
      </c>
      <c r="C1988">
        <v>7634526.8399999999</v>
      </c>
      <c r="D1988">
        <v>0.8</v>
      </c>
      <c r="E1988">
        <v>14821529.85</v>
      </c>
      <c r="F1988">
        <v>-11343024.800000001</v>
      </c>
      <c r="G1988">
        <v>2</v>
      </c>
      <c r="H1988">
        <v>1</v>
      </c>
      <c r="I1988">
        <v>4</v>
      </c>
      <c r="J1988">
        <v>2.1</v>
      </c>
      <c r="K1988" t="s">
        <v>1268</v>
      </c>
    </row>
    <row r="1989" spans="1:11" x14ac:dyDescent="0.35">
      <c r="A1989" t="s">
        <v>2000</v>
      </c>
      <c r="B1989">
        <v>5</v>
      </c>
      <c r="C1989">
        <v>18343575.32</v>
      </c>
      <c r="D1989">
        <v>1</v>
      </c>
      <c r="E1989">
        <v>4399115.324</v>
      </c>
      <c r="F1989">
        <v>-7462513.9000000004</v>
      </c>
      <c r="G1989">
        <v>2</v>
      </c>
      <c r="H1989">
        <v>1</v>
      </c>
      <c r="I1989">
        <v>4</v>
      </c>
      <c r="J1989">
        <v>2.1</v>
      </c>
      <c r="K1989" t="s">
        <v>1268</v>
      </c>
    </row>
    <row r="1990" spans="1:11" x14ac:dyDescent="0.35">
      <c r="A1990" t="s">
        <v>2001</v>
      </c>
      <c r="B1990">
        <v>5</v>
      </c>
      <c r="C1990">
        <v>6826691.2800000003</v>
      </c>
      <c r="D1990">
        <v>0.8</v>
      </c>
      <c r="E1990">
        <v>6489346.9850000003</v>
      </c>
      <c r="F1990">
        <v>-7294178.2000000002</v>
      </c>
      <c r="G1990">
        <v>2</v>
      </c>
      <c r="H1990">
        <v>1</v>
      </c>
      <c r="I1990">
        <v>4</v>
      </c>
      <c r="J1990">
        <v>2.1</v>
      </c>
      <c r="K1990" t="s">
        <v>1268</v>
      </c>
    </row>
    <row r="1991" spans="1:11" x14ac:dyDescent="0.35">
      <c r="A1991" t="s">
        <v>2002</v>
      </c>
      <c r="B1991">
        <v>5</v>
      </c>
      <c r="C1991">
        <v>45360479.460000001</v>
      </c>
      <c r="D1991">
        <v>1</v>
      </c>
      <c r="E1991">
        <v>11938590.869999999</v>
      </c>
      <c r="F1991">
        <v>-22833727.399999999</v>
      </c>
      <c r="G1991">
        <v>2</v>
      </c>
      <c r="H1991">
        <v>1</v>
      </c>
      <c r="I1991">
        <v>4</v>
      </c>
      <c r="J1991">
        <v>2.1</v>
      </c>
      <c r="K1991" t="s">
        <v>1268</v>
      </c>
    </row>
    <row r="1992" spans="1:11" x14ac:dyDescent="0.35">
      <c r="A1992" t="s">
        <v>2003</v>
      </c>
      <c r="B1992">
        <v>5</v>
      </c>
      <c r="C1992">
        <v>224077711.30000001</v>
      </c>
      <c r="D1992">
        <v>1</v>
      </c>
      <c r="E1992">
        <v>108215017.40000001</v>
      </c>
      <c r="F1992">
        <v>271537436.60000002</v>
      </c>
      <c r="G1992">
        <v>2</v>
      </c>
      <c r="H1992">
        <v>3</v>
      </c>
      <c r="I1992">
        <v>1</v>
      </c>
      <c r="J1992">
        <v>2.1</v>
      </c>
      <c r="K1992" t="s">
        <v>1268</v>
      </c>
    </row>
    <row r="1993" spans="1:11" x14ac:dyDescent="0.35">
      <c r="A1993" t="s">
        <v>2004</v>
      </c>
      <c r="B1993">
        <v>5</v>
      </c>
      <c r="C1993">
        <v>762946163.60000002</v>
      </c>
      <c r="D1993">
        <v>1</v>
      </c>
      <c r="E1993">
        <v>107947282.7</v>
      </c>
      <c r="F1993">
        <v>245563063.30000001</v>
      </c>
      <c r="G1993">
        <v>2</v>
      </c>
      <c r="H1993">
        <v>3</v>
      </c>
      <c r="I1993">
        <v>1</v>
      </c>
      <c r="J1993">
        <v>2.1</v>
      </c>
      <c r="K1993" t="s">
        <v>1268</v>
      </c>
    </row>
    <row r="1994" spans="1:11" x14ac:dyDescent="0.35">
      <c r="A1994" t="s">
        <v>2005</v>
      </c>
      <c r="B1994">
        <v>5</v>
      </c>
      <c r="C1994">
        <v>182039742.5</v>
      </c>
      <c r="D1994">
        <v>1</v>
      </c>
      <c r="E1994">
        <v>95115572.469999999</v>
      </c>
      <c r="F1994">
        <v>217530609.09999999</v>
      </c>
      <c r="G1994">
        <v>2</v>
      </c>
      <c r="H1994">
        <v>3</v>
      </c>
      <c r="I1994">
        <v>1</v>
      </c>
      <c r="J1994">
        <v>2.1</v>
      </c>
      <c r="K1994" t="s">
        <v>1268</v>
      </c>
    </row>
    <row r="1995" spans="1:11" x14ac:dyDescent="0.35">
      <c r="A1995" t="s">
        <v>2006</v>
      </c>
      <c r="B1995">
        <v>5</v>
      </c>
      <c r="C1995">
        <v>254806427.80000001</v>
      </c>
      <c r="D1995">
        <v>1</v>
      </c>
      <c r="E1995">
        <v>96404778.400000006</v>
      </c>
      <c r="F1995">
        <v>221597344</v>
      </c>
      <c r="G1995">
        <v>2</v>
      </c>
      <c r="H1995">
        <v>3</v>
      </c>
      <c r="I1995">
        <v>1</v>
      </c>
      <c r="J1995">
        <v>2.1</v>
      </c>
      <c r="K1995" t="s">
        <v>1268</v>
      </c>
    </row>
    <row r="1996" spans="1:11" x14ac:dyDescent="0.35">
      <c r="A1996" t="s">
        <v>2007</v>
      </c>
      <c r="B1996">
        <v>5</v>
      </c>
      <c r="C1996">
        <v>11287313.220000001</v>
      </c>
      <c r="D1996">
        <v>0.8</v>
      </c>
      <c r="E1996">
        <v>94860831.969999999</v>
      </c>
      <c r="F1996">
        <v>207599092.59999999</v>
      </c>
      <c r="G1996">
        <v>2</v>
      </c>
      <c r="H1996">
        <v>3</v>
      </c>
      <c r="I1996">
        <v>1</v>
      </c>
      <c r="J1996">
        <v>2.1</v>
      </c>
      <c r="K1996" t="s">
        <v>1268</v>
      </c>
    </row>
    <row r="1997" spans="1:11" x14ac:dyDescent="0.35">
      <c r="A1997" t="s">
        <v>2008</v>
      </c>
      <c r="B1997">
        <v>5</v>
      </c>
      <c r="C1997">
        <v>184025469.90000001</v>
      </c>
      <c r="D1997">
        <v>1</v>
      </c>
      <c r="E1997">
        <v>99738009.239999995</v>
      </c>
      <c r="F1997">
        <v>213296263.30000001</v>
      </c>
      <c r="G1997">
        <v>2</v>
      </c>
      <c r="H1997">
        <v>3</v>
      </c>
      <c r="I1997">
        <v>1</v>
      </c>
      <c r="J1997">
        <v>2.1</v>
      </c>
      <c r="K1997" t="s">
        <v>1268</v>
      </c>
    </row>
    <row r="1998" spans="1:11" x14ac:dyDescent="0.35">
      <c r="A1998" t="s">
        <v>2009</v>
      </c>
      <c r="B1998">
        <v>5</v>
      </c>
      <c r="C1998">
        <v>321762293.39999998</v>
      </c>
      <c r="D1998">
        <v>1</v>
      </c>
      <c r="E1998">
        <v>83395722.409999996</v>
      </c>
      <c r="F1998">
        <v>212667594.90000001</v>
      </c>
      <c r="G1998">
        <v>2</v>
      </c>
      <c r="H1998">
        <v>3</v>
      </c>
      <c r="I1998">
        <v>1</v>
      </c>
      <c r="J1998">
        <v>2.1</v>
      </c>
      <c r="K1998" t="s">
        <v>1268</v>
      </c>
    </row>
    <row r="1999" spans="1:11" x14ac:dyDescent="0.35">
      <c r="A1999" t="s">
        <v>2010</v>
      </c>
      <c r="B1999">
        <v>5</v>
      </c>
      <c r="C1999">
        <v>565402580.89999998</v>
      </c>
      <c r="D1999">
        <v>1</v>
      </c>
      <c r="E1999">
        <v>187848103.80000001</v>
      </c>
      <c r="F1999">
        <v>178942823.09999999</v>
      </c>
      <c r="G1999">
        <v>1</v>
      </c>
      <c r="H1999">
        <v>4</v>
      </c>
      <c r="I1999">
        <v>2</v>
      </c>
      <c r="J1999">
        <v>2.1</v>
      </c>
      <c r="K1999" t="s">
        <v>1268</v>
      </c>
    </row>
    <row r="2000" spans="1:11" x14ac:dyDescent="0.35">
      <c r="A2000" t="s">
        <v>2011</v>
      </c>
      <c r="B2000">
        <v>5</v>
      </c>
      <c r="C2000">
        <v>892221766.29999995</v>
      </c>
      <c r="D2000">
        <v>1</v>
      </c>
      <c r="E2000">
        <v>278979723.80000001</v>
      </c>
      <c r="F2000">
        <v>185925240.5</v>
      </c>
      <c r="G2000">
        <v>1</v>
      </c>
      <c r="H2000">
        <v>4</v>
      </c>
      <c r="I2000">
        <v>2</v>
      </c>
      <c r="J2000">
        <v>2.1</v>
      </c>
      <c r="K2000" t="s">
        <v>1268</v>
      </c>
    </row>
    <row r="2001" spans="1:11" x14ac:dyDescent="0.35">
      <c r="A2001" t="s">
        <v>2012</v>
      </c>
      <c r="B2001">
        <v>5</v>
      </c>
      <c r="C2001">
        <v>395946505.80000001</v>
      </c>
      <c r="D2001">
        <v>1</v>
      </c>
      <c r="E2001">
        <v>129909497.3</v>
      </c>
      <c r="F2001">
        <v>181923916.09999999</v>
      </c>
      <c r="G2001">
        <v>1</v>
      </c>
      <c r="H2001">
        <v>4</v>
      </c>
      <c r="I2001">
        <v>2</v>
      </c>
      <c r="J2001">
        <v>2.1</v>
      </c>
      <c r="K2001" t="s">
        <v>1268</v>
      </c>
    </row>
    <row r="2002" spans="1:11" x14ac:dyDescent="0.35">
      <c r="A2002" t="s">
        <v>2013</v>
      </c>
      <c r="B2002">
        <v>5</v>
      </c>
      <c r="C2002">
        <v>286217074.80000001</v>
      </c>
      <c r="D2002">
        <v>1</v>
      </c>
      <c r="E2002">
        <v>134002741.5</v>
      </c>
      <c r="F2002">
        <v>191253290.90000001</v>
      </c>
      <c r="G2002">
        <v>1</v>
      </c>
      <c r="H2002">
        <v>4</v>
      </c>
      <c r="I2002">
        <v>2</v>
      </c>
      <c r="J2002">
        <v>2.1</v>
      </c>
      <c r="K2002" t="s">
        <v>1268</v>
      </c>
    </row>
    <row r="2003" spans="1:11" x14ac:dyDescent="0.35">
      <c r="A2003" t="s">
        <v>2014</v>
      </c>
      <c r="B2003">
        <v>5</v>
      </c>
      <c r="C2003">
        <v>181304394</v>
      </c>
      <c r="D2003">
        <v>1</v>
      </c>
      <c r="E2003">
        <v>119680281.3</v>
      </c>
      <c r="F2003">
        <v>198653717.80000001</v>
      </c>
      <c r="G2003">
        <v>1</v>
      </c>
      <c r="H2003">
        <v>4</v>
      </c>
      <c r="I2003">
        <v>2</v>
      </c>
      <c r="J2003">
        <v>2.1</v>
      </c>
      <c r="K2003" t="s">
        <v>1268</v>
      </c>
    </row>
    <row r="2004" spans="1:11" x14ac:dyDescent="0.35">
      <c r="A2004" t="s">
        <v>2015</v>
      </c>
      <c r="B2004">
        <v>5</v>
      </c>
      <c r="C2004">
        <v>213838088.90000001</v>
      </c>
      <c r="D2004">
        <v>1</v>
      </c>
      <c r="E2004">
        <v>125338924.2</v>
      </c>
      <c r="F2004">
        <v>137188920.40000001</v>
      </c>
      <c r="G2004">
        <v>1</v>
      </c>
      <c r="H2004">
        <v>4</v>
      </c>
      <c r="I2004">
        <v>2</v>
      </c>
      <c r="J2004">
        <v>2.1</v>
      </c>
      <c r="K2004" t="s">
        <v>1268</v>
      </c>
    </row>
    <row r="2005" spans="1:11" x14ac:dyDescent="0.35">
      <c r="A2005" t="s">
        <v>2016</v>
      </c>
      <c r="B2005">
        <v>5</v>
      </c>
      <c r="C2005">
        <v>691763846.39999998</v>
      </c>
      <c r="D2005">
        <v>1</v>
      </c>
      <c r="E2005">
        <v>171491180.19999999</v>
      </c>
      <c r="F2005">
        <v>170590137.80000001</v>
      </c>
      <c r="G2005">
        <v>1</v>
      </c>
      <c r="H2005">
        <v>4</v>
      </c>
      <c r="I2005">
        <v>2</v>
      </c>
      <c r="J2005">
        <v>2.1</v>
      </c>
      <c r="K2005" t="s">
        <v>1268</v>
      </c>
    </row>
    <row r="2006" spans="1:11" x14ac:dyDescent="0.35">
      <c r="A2006" t="s">
        <v>2017</v>
      </c>
      <c r="B2006">
        <v>5</v>
      </c>
      <c r="C2006">
        <v>687544160.20000005</v>
      </c>
      <c r="D2006">
        <v>1</v>
      </c>
      <c r="E2006">
        <v>125625507</v>
      </c>
      <c r="F2006">
        <v>161711877.80000001</v>
      </c>
      <c r="G2006">
        <v>1</v>
      </c>
      <c r="H2006">
        <v>4</v>
      </c>
      <c r="I2006">
        <v>2</v>
      </c>
      <c r="J2006">
        <v>2.1</v>
      </c>
      <c r="K2006" t="s">
        <v>1268</v>
      </c>
    </row>
    <row r="2007" spans="1:11" x14ac:dyDescent="0.35">
      <c r="A2007" t="s">
        <v>2018</v>
      </c>
      <c r="B2007">
        <v>5</v>
      </c>
      <c r="C2007">
        <v>321874791.19999999</v>
      </c>
      <c r="D2007">
        <v>1</v>
      </c>
      <c r="E2007">
        <v>180675282.30000001</v>
      </c>
      <c r="F2007">
        <v>152708862.30000001</v>
      </c>
      <c r="G2007">
        <v>1</v>
      </c>
      <c r="H2007">
        <v>4</v>
      </c>
      <c r="I2007">
        <v>2</v>
      </c>
      <c r="J2007">
        <v>2.1</v>
      </c>
      <c r="K2007" t="s">
        <v>1268</v>
      </c>
    </row>
    <row r="2008" spans="1:11" x14ac:dyDescent="0.35">
      <c r="A2008" t="s">
        <v>2019</v>
      </c>
      <c r="B2008">
        <v>5</v>
      </c>
      <c r="C2008">
        <v>863734354.10000002</v>
      </c>
      <c r="D2008">
        <v>1</v>
      </c>
      <c r="E2008">
        <v>229897737</v>
      </c>
      <c r="F2008">
        <v>28583953.699999999</v>
      </c>
      <c r="G2008">
        <v>1</v>
      </c>
      <c r="H2008">
        <v>4</v>
      </c>
      <c r="I2008">
        <v>2</v>
      </c>
      <c r="J2008">
        <v>2.1</v>
      </c>
      <c r="K2008" t="s">
        <v>1268</v>
      </c>
    </row>
    <row r="2009" spans="1:11" x14ac:dyDescent="0.35">
      <c r="A2009" t="s">
        <v>2020</v>
      </c>
      <c r="B2009">
        <v>5</v>
      </c>
      <c r="C2009">
        <v>819768229.39999998</v>
      </c>
      <c r="D2009">
        <v>1</v>
      </c>
      <c r="E2009">
        <v>175299953.80000001</v>
      </c>
      <c r="F2009">
        <v>35545188.299999997</v>
      </c>
      <c r="G2009">
        <v>1</v>
      </c>
      <c r="H2009">
        <v>4</v>
      </c>
      <c r="I2009">
        <v>2</v>
      </c>
      <c r="J2009">
        <v>2.1</v>
      </c>
      <c r="K2009" t="s">
        <v>1268</v>
      </c>
    </row>
    <row r="2010" spans="1:11" x14ac:dyDescent="0.35">
      <c r="A2010" t="s">
        <v>2021</v>
      </c>
      <c r="B2010">
        <v>5</v>
      </c>
      <c r="C2010">
        <v>180444425.19999999</v>
      </c>
      <c r="D2010">
        <v>1</v>
      </c>
      <c r="E2010">
        <v>196285618.40000001</v>
      </c>
      <c r="F2010">
        <v>42562688.799999997</v>
      </c>
      <c r="G2010">
        <v>1</v>
      </c>
      <c r="H2010">
        <v>4</v>
      </c>
      <c r="I2010">
        <v>2</v>
      </c>
      <c r="J2010">
        <v>2.1</v>
      </c>
      <c r="K2010" t="s">
        <v>1268</v>
      </c>
    </row>
    <row r="2011" spans="1:11" x14ac:dyDescent="0.35">
      <c r="A2011" t="s">
        <v>2022</v>
      </c>
      <c r="B2011">
        <v>5</v>
      </c>
      <c r="C2011">
        <v>1121855265</v>
      </c>
      <c r="D2011">
        <v>1</v>
      </c>
      <c r="E2011">
        <v>226471170.40000001</v>
      </c>
      <c r="F2011">
        <v>48670327.100000001</v>
      </c>
      <c r="G2011">
        <v>1</v>
      </c>
      <c r="H2011">
        <v>4</v>
      </c>
      <c r="I2011">
        <v>2</v>
      </c>
      <c r="J2011">
        <v>2.1</v>
      </c>
      <c r="K2011" t="s">
        <v>1268</v>
      </c>
    </row>
    <row r="2012" spans="1:11" x14ac:dyDescent="0.35">
      <c r="A2012" t="s">
        <v>2023</v>
      </c>
      <c r="B2012">
        <v>5</v>
      </c>
      <c r="C2012">
        <v>178006531.40000001</v>
      </c>
      <c r="D2012">
        <v>1</v>
      </c>
      <c r="E2012">
        <v>116080398.7</v>
      </c>
      <c r="F2012">
        <v>53925955.299999997</v>
      </c>
      <c r="G2012">
        <v>1</v>
      </c>
      <c r="H2012">
        <v>4</v>
      </c>
      <c r="I2012">
        <v>2</v>
      </c>
      <c r="J2012">
        <v>2.1</v>
      </c>
      <c r="K2012" t="s">
        <v>1268</v>
      </c>
    </row>
    <row r="2013" spans="1:11" x14ac:dyDescent="0.35">
      <c r="A2013" t="s">
        <v>2024</v>
      </c>
      <c r="B2013">
        <v>5</v>
      </c>
      <c r="C2013">
        <v>138068730.19999999</v>
      </c>
      <c r="D2013">
        <v>1</v>
      </c>
      <c r="E2013">
        <v>125009494.59999999</v>
      </c>
      <c r="F2013">
        <v>107986051.2</v>
      </c>
      <c r="G2013">
        <v>1</v>
      </c>
      <c r="H2013">
        <v>4</v>
      </c>
      <c r="I2013">
        <v>2</v>
      </c>
      <c r="J2013">
        <v>2.1</v>
      </c>
      <c r="K2013" t="s">
        <v>1268</v>
      </c>
    </row>
    <row r="2014" spans="1:11" x14ac:dyDescent="0.35">
      <c r="A2014" t="s">
        <v>2025</v>
      </c>
      <c r="B2014">
        <v>5</v>
      </c>
      <c r="C2014">
        <v>235587147.40000001</v>
      </c>
      <c r="D2014">
        <v>1</v>
      </c>
      <c r="E2014">
        <v>156947138</v>
      </c>
      <c r="F2014">
        <v>97494386.200000003</v>
      </c>
      <c r="G2014">
        <v>1</v>
      </c>
      <c r="H2014">
        <v>4</v>
      </c>
      <c r="I2014">
        <v>2</v>
      </c>
      <c r="J2014">
        <v>2.1</v>
      </c>
      <c r="K2014" t="s">
        <v>1268</v>
      </c>
    </row>
    <row r="2015" spans="1:11" x14ac:dyDescent="0.35">
      <c r="A2015" t="s">
        <v>2026</v>
      </c>
      <c r="B2015">
        <v>5</v>
      </c>
      <c r="C2015">
        <v>956320488.5</v>
      </c>
      <c r="D2015">
        <v>1</v>
      </c>
      <c r="E2015">
        <v>154761113.80000001</v>
      </c>
      <c r="F2015">
        <v>114276342.90000001</v>
      </c>
      <c r="G2015">
        <v>1</v>
      </c>
      <c r="H2015">
        <v>4</v>
      </c>
      <c r="I2015">
        <v>2</v>
      </c>
      <c r="J2015">
        <v>2.1</v>
      </c>
      <c r="K2015" t="s">
        <v>1268</v>
      </c>
    </row>
    <row r="2016" spans="1:11" x14ac:dyDescent="0.35">
      <c r="A2016" t="s">
        <v>2027</v>
      </c>
      <c r="B2016">
        <v>5</v>
      </c>
      <c r="C2016">
        <v>757167004.79999995</v>
      </c>
      <c r="D2016">
        <v>1</v>
      </c>
      <c r="E2016">
        <v>167154631.69999999</v>
      </c>
      <c r="F2016">
        <v>118933475.8</v>
      </c>
      <c r="G2016">
        <v>1</v>
      </c>
      <c r="H2016">
        <v>4</v>
      </c>
      <c r="I2016">
        <v>2</v>
      </c>
      <c r="J2016">
        <v>2.1</v>
      </c>
      <c r="K2016" t="s">
        <v>1268</v>
      </c>
    </row>
    <row r="2017" spans="1:11" x14ac:dyDescent="0.35">
      <c r="A2017" t="s">
        <v>2028</v>
      </c>
      <c r="B2017">
        <v>5</v>
      </c>
      <c r="C2017">
        <v>299449823.19999999</v>
      </c>
      <c r="D2017">
        <v>1</v>
      </c>
      <c r="E2017">
        <v>134069795.3</v>
      </c>
      <c r="F2017">
        <v>89149400.599999994</v>
      </c>
      <c r="G2017">
        <v>1</v>
      </c>
      <c r="H2017">
        <v>4</v>
      </c>
      <c r="I2017">
        <v>2</v>
      </c>
      <c r="J2017">
        <v>2.1</v>
      </c>
      <c r="K2017" t="s">
        <v>1268</v>
      </c>
    </row>
    <row r="2018" spans="1:11" x14ac:dyDescent="0.35">
      <c r="A2018" t="s">
        <v>2029</v>
      </c>
      <c r="B2018">
        <v>5</v>
      </c>
      <c r="C2018">
        <v>73227475.420000002</v>
      </c>
      <c r="D2018">
        <v>1</v>
      </c>
      <c r="E2018">
        <v>33126995.77</v>
      </c>
      <c r="F2018">
        <v>88314250</v>
      </c>
      <c r="G2018">
        <v>2</v>
      </c>
      <c r="H2018">
        <v>2</v>
      </c>
      <c r="I2018">
        <v>2</v>
      </c>
      <c r="J2018">
        <v>2</v>
      </c>
      <c r="K2018" t="s">
        <v>1268</v>
      </c>
    </row>
    <row r="2019" spans="1:11" x14ac:dyDescent="0.35">
      <c r="A2019" t="s">
        <v>2030</v>
      </c>
      <c r="B2019">
        <v>5</v>
      </c>
      <c r="C2019">
        <v>85699579.840000004</v>
      </c>
      <c r="D2019">
        <v>1</v>
      </c>
      <c r="E2019">
        <v>34972822.659999996</v>
      </c>
      <c r="F2019">
        <v>87608583.099999994</v>
      </c>
      <c r="G2019">
        <v>2</v>
      </c>
      <c r="H2019">
        <v>2</v>
      </c>
      <c r="I2019">
        <v>2</v>
      </c>
      <c r="J2019">
        <v>2</v>
      </c>
      <c r="K2019" t="s">
        <v>1268</v>
      </c>
    </row>
    <row r="2020" spans="1:11" x14ac:dyDescent="0.35">
      <c r="A2020" t="s">
        <v>2031</v>
      </c>
      <c r="B2020">
        <v>5</v>
      </c>
      <c r="C2020">
        <v>116783825.59999999</v>
      </c>
      <c r="D2020">
        <v>1</v>
      </c>
      <c r="E2020">
        <v>35211737.020000003</v>
      </c>
      <c r="F2020">
        <v>83657910</v>
      </c>
      <c r="G2020">
        <v>2</v>
      </c>
      <c r="H2020">
        <v>2</v>
      </c>
      <c r="I2020">
        <v>2</v>
      </c>
      <c r="J2020">
        <v>2</v>
      </c>
      <c r="K2020" t="s">
        <v>1268</v>
      </c>
    </row>
    <row r="2021" spans="1:11" x14ac:dyDescent="0.35">
      <c r="A2021" t="s">
        <v>2032</v>
      </c>
      <c r="B2021">
        <v>5</v>
      </c>
      <c r="C2021">
        <v>39755939.719999999</v>
      </c>
      <c r="D2021">
        <v>0.8</v>
      </c>
      <c r="E2021">
        <v>30411063.050000001</v>
      </c>
      <c r="F2021">
        <v>73438332.799999997</v>
      </c>
      <c r="G2021">
        <v>2</v>
      </c>
      <c r="H2021">
        <v>2</v>
      </c>
      <c r="I2021">
        <v>2</v>
      </c>
      <c r="J2021">
        <v>2</v>
      </c>
      <c r="K2021" t="s">
        <v>1268</v>
      </c>
    </row>
    <row r="2022" spans="1:11" x14ac:dyDescent="0.35">
      <c r="A2022" t="s">
        <v>2033</v>
      </c>
      <c r="B2022">
        <v>5</v>
      </c>
      <c r="C2022">
        <v>109605948.90000001</v>
      </c>
      <c r="D2022">
        <v>1</v>
      </c>
      <c r="E2022">
        <v>31535066.280000001</v>
      </c>
      <c r="F2022">
        <v>82173970.299999997</v>
      </c>
      <c r="G2022">
        <v>2</v>
      </c>
      <c r="H2022">
        <v>2</v>
      </c>
      <c r="I2022">
        <v>2</v>
      </c>
      <c r="J2022">
        <v>2</v>
      </c>
      <c r="K2022" t="s">
        <v>1268</v>
      </c>
    </row>
    <row r="2023" spans="1:11" x14ac:dyDescent="0.35">
      <c r="A2023" t="s">
        <v>2034</v>
      </c>
      <c r="B2023">
        <v>5</v>
      </c>
      <c r="C2023">
        <v>62532438.979999997</v>
      </c>
      <c r="D2023">
        <v>1</v>
      </c>
      <c r="E2023">
        <v>45288404.159999996</v>
      </c>
      <c r="F2023">
        <v>96298143.299999997</v>
      </c>
      <c r="G2023">
        <v>2</v>
      </c>
      <c r="H2023">
        <v>2</v>
      </c>
      <c r="I2023">
        <v>2</v>
      </c>
      <c r="J2023">
        <v>2</v>
      </c>
      <c r="K2023" t="s">
        <v>1268</v>
      </c>
    </row>
    <row r="2024" spans="1:11" x14ac:dyDescent="0.35">
      <c r="A2024" t="s">
        <v>2035</v>
      </c>
      <c r="B2024">
        <v>5</v>
      </c>
      <c r="C2024">
        <v>16522855.42</v>
      </c>
      <c r="D2024">
        <v>0.8</v>
      </c>
      <c r="E2024">
        <v>40215664.890000001</v>
      </c>
      <c r="F2024">
        <v>55550543.100000001</v>
      </c>
      <c r="G2024">
        <v>2</v>
      </c>
      <c r="H2024">
        <v>2</v>
      </c>
      <c r="I2024">
        <v>2</v>
      </c>
      <c r="J2024">
        <v>2</v>
      </c>
      <c r="K2024" t="s">
        <v>1268</v>
      </c>
    </row>
    <row r="2025" spans="1:11" x14ac:dyDescent="0.35">
      <c r="A2025" t="s">
        <v>2036</v>
      </c>
      <c r="B2025">
        <v>5</v>
      </c>
      <c r="C2025">
        <v>166165770.30000001</v>
      </c>
      <c r="D2025">
        <v>1</v>
      </c>
      <c r="E2025">
        <v>37333807.439999998</v>
      </c>
      <c r="F2025">
        <v>58874619.399999999</v>
      </c>
      <c r="G2025">
        <v>2</v>
      </c>
      <c r="H2025">
        <v>2</v>
      </c>
      <c r="I2025">
        <v>2</v>
      </c>
      <c r="J2025">
        <v>2</v>
      </c>
      <c r="K2025" t="s">
        <v>1268</v>
      </c>
    </row>
    <row r="2026" spans="1:11" x14ac:dyDescent="0.35">
      <c r="A2026" t="s">
        <v>2037</v>
      </c>
      <c r="B2026">
        <v>5</v>
      </c>
      <c r="C2026">
        <v>78215175.299999997</v>
      </c>
      <c r="D2026">
        <v>1</v>
      </c>
      <c r="E2026">
        <v>36086737.43</v>
      </c>
      <c r="F2026">
        <v>64032671.200000003</v>
      </c>
      <c r="G2026">
        <v>2</v>
      </c>
      <c r="H2026">
        <v>2</v>
      </c>
      <c r="I2026">
        <v>2</v>
      </c>
      <c r="J2026">
        <v>2</v>
      </c>
      <c r="K2026" t="s">
        <v>1268</v>
      </c>
    </row>
    <row r="2027" spans="1:11" x14ac:dyDescent="0.35">
      <c r="A2027" t="s">
        <v>2038</v>
      </c>
      <c r="B2027">
        <v>5</v>
      </c>
      <c r="C2027">
        <v>101833655.3</v>
      </c>
      <c r="D2027">
        <v>1</v>
      </c>
      <c r="E2027">
        <v>34653035.789999999</v>
      </c>
      <c r="F2027">
        <v>56342900.299999997</v>
      </c>
      <c r="G2027">
        <v>2</v>
      </c>
      <c r="H2027">
        <v>2</v>
      </c>
      <c r="I2027">
        <v>2</v>
      </c>
      <c r="J2027">
        <v>2</v>
      </c>
      <c r="K2027" t="s">
        <v>1268</v>
      </c>
    </row>
    <row r="2028" spans="1:11" x14ac:dyDescent="0.35">
      <c r="A2028" t="s">
        <v>2039</v>
      </c>
      <c r="B2028">
        <v>5</v>
      </c>
      <c r="C2028">
        <v>39390389.520000003</v>
      </c>
      <c r="D2028">
        <v>0.8</v>
      </c>
      <c r="E2028">
        <v>42607397.289999999</v>
      </c>
      <c r="F2028">
        <v>59900538.399999999</v>
      </c>
      <c r="G2028">
        <v>2</v>
      </c>
      <c r="H2028">
        <v>2</v>
      </c>
      <c r="I2028">
        <v>2</v>
      </c>
      <c r="J2028">
        <v>2</v>
      </c>
      <c r="K2028" t="s">
        <v>1268</v>
      </c>
    </row>
    <row r="2029" spans="1:11" x14ac:dyDescent="0.35">
      <c r="A2029" t="s">
        <v>2040</v>
      </c>
      <c r="B2029">
        <v>5</v>
      </c>
      <c r="C2029">
        <v>64255869</v>
      </c>
      <c r="D2029">
        <v>1</v>
      </c>
      <c r="E2029">
        <v>36066814.789999999</v>
      </c>
      <c r="F2029">
        <v>59501816.700000003</v>
      </c>
      <c r="G2029">
        <v>2</v>
      </c>
      <c r="H2029">
        <v>2</v>
      </c>
      <c r="I2029">
        <v>2</v>
      </c>
      <c r="J2029">
        <v>2</v>
      </c>
      <c r="K2029" t="s">
        <v>1268</v>
      </c>
    </row>
    <row r="2030" spans="1:11" x14ac:dyDescent="0.35">
      <c r="A2030" t="s">
        <v>2041</v>
      </c>
      <c r="B2030">
        <v>5</v>
      </c>
      <c r="C2030">
        <v>65984265.759999998</v>
      </c>
      <c r="D2030">
        <v>1</v>
      </c>
      <c r="E2030">
        <v>37088885.689999998</v>
      </c>
      <c r="F2030">
        <v>66945672.5</v>
      </c>
      <c r="G2030">
        <v>2</v>
      </c>
      <c r="H2030">
        <v>2</v>
      </c>
      <c r="I2030">
        <v>2</v>
      </c>
      <c r="J2030">
        <v>2</v>
      </c>
      <c r="K2030" t="s">
        <v>1268</v>
      </c>
    </row>
    <row r="2031" spans="1:11" x14ac:dyDescent="0.35">
      <c r="A2031" t="s">
        <v>2042</v>
      </c>
      <c r="B2031">
        <v>5</v>
      </c>
      <c r="C2031">
        <v>63972116.979999997</v>
      </c>
      <c r="D2031">
        <v>1</v>
      </c>
      <c r="E2031">
        <v>29640520.07</v>
      </c>
      <c r="F2031">
        <v>65897063.100000001</v>
      </c>
      <c r="G2031">
        <v>2</v>
      </c>
      <c r="H2031">
        <v>2</v>
      </c>
      <c r="I2031">
        <v>2</v>
      </c>
      <c r="J2031">
        <v>2</v>
      </c>
      <c r="K2031" t="s">
        <v>1268</v>
      </c>
    </row>
    <row r="2032" spans="1:11" x14ac:dyDescent="0.35">
      <c r="A2032" t="s">
        <v>2043</v>
      </c>
      <c r="B2032">
        <v>5</v>
      </c>
      <c r="C2032">
        <v>61369791.560000002</v>
      </c>
      <c r="D2032">
        <v>1</v>
      </c>
      <c r="E2032">
        <v>23123887.890000001</v>
      </c>
      <c r="F2032">
        <v>61232017</v>
      </c>
      <c r="G2032">
        <v>2</v>
      </c>
      <c r="H2032">
        <v>2</v>
      </c>
      <c r="I2032">
        <v>2</v>
      </c>
      <c r="J2032">
        <v>2</v>
      </c>
      <c r="K2032" t="s">
        <v>1268</v>
      </c>
    </row>
    <row r="2033" spans="1:11" x14ac:dyDescent="0.35">
      <c r="A2033" t="s">
        <v>2044</v>
      </c>
      <c r="B2033">
        <v>5</v>
      </c>
      <c r="C2033">
        <v>99134791.140000001</v>
      </c>
      <c r="D2033">
        <v>1</v>
      </c>
      <c r="E2033">
        <v>31836330.07</v>
      </c>
      <c r="F2033">
        <v>77996872.299999997</v>
      </c>
      <c r="G2033">
        <v>2</v>
      </c>
      <c r="H2033">
        <v>2</v>
      </c>
      <c r="I2033">
        <v>2</v>
      </c>
      <c r="J2033">
        <v>2</v>
      </c>
      <c r="K2033" t="s">
        <v>1268</v>
      </c>
    </row>
    <row r="2034" spans="1:11" x14ac:dyDescent="0.35">
      <c r="A2034" t="s">
        <v>2045</v>
      </c>
      <c r="B2034">
        <v>5</v>
      </c>
      <c r="C2034">
        <v>182401684.59999999</v>
      </c>
      <c r="D2034">
        <v>1</v>
      </c>
      <c r="E2034">
        <v>28060228.440000001</v>
      </c>
      <c r="F2034">
        <v>71936354.400000006</v>
      </c>
      <c r="G2034">
        <v>2</v>
      </c>
      <c r="H2034">
        <v>2</v>
      </c>
      <c r="I2034">
        <v>2</v>
      </c>
      <c r="J2034">
        <v>2</v>
      </c>
      <c r="K2034" t="s">
        <v>1268</v>
      </c>
    </row>
    <row r="2035" spans="1:11" x14ac:dyDescent="0.35">
      <c r="A2035" t="s">
        <v>2046</v>
      </c>
      <c r="B2035">
        <v>5</v>
      </c>
      <c r="C2035">
        <v>64338167.82</v>
      </c>
      <c r="D2035">
        <v>1</v>
      </c>
      <c r="E2035">
        <v>43587332.079999998</v>
      </c>
      <c r="F2035">
        <v>67960221.900000006</v>
      </c>
      <c r="G2035">
        <v>2</v>
      </c>
      <c r="H2035">
        <v>2</v>
      </c>
      <c r="I2035">
        <v>2</v>
      </c>
      <c r="J2035">
        <v>2</v>
      </c>
      <c r="K2035" t="s">
        <v>1268</v>
      </c>
    </row>
    <row r="2036" spans="1:11" x14ac:dyDescent="0.35">
      <c r="A2036" t="s">
        <v>2047</v>
      </c>
      <c r="B2036">
        <v>5</v>
      </c>
      <c r="C2036">
        <v>69797715.260000005</v>
      </c>
      <c r="D2036">
        <v>1</v>
      </c>
      <c r="E2036">
        <v>21304113.440000001</v>
      </c>
      <c r="F2036">
        <v>50761078.600000001</v>
      </c>
      <c r="G2036">
        <v>2</v>
      </c>
      <c r="H2036">
        <v>2</v>
      </c>
      <c r="I2036">
        <v>2</v>
      </c>
      <c r="J2036">
        <v>2</v>
      </c>
      <c r="K2036" t="s">
        <v>1268</v>
      </c>
    </row>
    <row r="2037" spans="1:11" x14ac:dyDescent="0.35">
      <c r="A2037" t="s">
        <v>2048</v>
      </c>
      <c r="B2037">
        <v>5</v>
      </c>
      <c r="C2037">
        <v>42201310.659999996</v>
      </c>
      <c r="D2037">
        <v>1</v>
      </c>
      <c r="E2037">
        <v>19241130.550000001</v>
      </c>
      <c r="F2037">
        <v>47665194.600000001</v>
      </c>
      <c r="G2037">
        <v>2</v>
      </c>
      <c r="H2037">
        <v>2</v>
      </c>
      <c r="I2037">
        <v>2</v>
      </c>
      <c r="J2037">
        <v>2</v>
      </c>
      <c r="K2037" t="s">
        <v>1268</v>
      </c>
    </row>
    <row r="2038" spans="1:11" x14ac:dyDescent="0.35">
      <c r="A2038" t="s">
        <v>2049</v>
      </c>
      <c r="B2038">
        <v>5</v>
      </c>
      <c r="C2038">
        <v>83730309.019999996</v>
      </c>
      <c r="D2038">
        <v>1</v>
      </c>
      <c r="E2038">
        <v>32420948.18</v>
      </c>
      <c r="F2038">
        <v>52072527.600000001</v>
      </c>
      <c r="G2038">
        <v>2</v>
      </c>
      <c r="H2038">
        <v>2</v>
      </c>
      <c r="I2038">
        <v>2</v>
      </c>
      <c r="J2038">
        <v>2</v>
      </c>
      <c r="K2038" t="s">
        <v>1268</v>
      </c>
    </row>
    <row r="2039" spans="1:11" x14ac:dyDescent="0.35">
      <c r="A2039" t="s">
        <v>2050</v>
      </c>
      <c r="B2039">
        <v>5</v>
      </c>
      <c r="C2039">
        <v>57846298.18</v>
      </c>
      <c r="D2039">
        <v>1</v>
      </c>
      <c r="E2039">
        <v>27845406.390000001</v>
      </c>
      <c r="F2039">
        <v>46902456.100000001</v>
      </c>
      <c r="G2039">
        <v>2</v>
      </c>
      <c r="H2039">
        <v>2</v>
      </c>
      <c r="I2039">
        <v>2</v>
      </c>
      <c r="J2039">
        <v>2</v>
      </c>
      <c r="K2039" t="s">
        <v>1268</v>
      </c>
    </row>
    <row r="2040" spans="1:11" x14ac:dyDescent="0.35">
      <c r="A2040" t="s">
        <v>2051</v>
      </c>
      <c r="B2040">
        <v>5</v>
      </c>
      <c r="C2040">
        <v>69550306.280000001</v>
      </c>
      <c r="D2040">
        <v>1</v>
      </c>
      <c r="E2040">
        <v>24899303.52</v>
      </c>
      <c r="F2040">
        <v>44065553.600000001</v>
      </c>
      <c r="G2040">
        <v>2</v>
      </c>
      <c r="H2040">
        <v>2</v>
      </c>
      <c r="I2040">
        <v>2</v>
      </c>
      <c r="J2040">
        <v>2</v>
      </c>
      <c r="K2040" t="s">
        <v>1268</v>
      </c>
    </row>
    <row r="2041" spans="1:11" x14ac:dyDescent="0.35">
      <c r="A2041" t="s">
        <v>2052</v>
      </c>
      <c r="B2041">
        <v>5</v>
      </c>
      <c r="C2041">
        <v>41803060.219999999</v>
      </c>
      <c r="D2041">
        <v>1</v>
      </c>
      <c r="E2041">
        <v>19712299.359999999</v>
      </c>
      <c r="F2041">
        <v>46685677.399999999</v>
      </c>
      <c r="G2041">
        <v>2</v>
      </c>
      <c r="H2041">
        <v>2</v>
      </c>
      <c r="I2041">
        <v>2</v>
      </c>
      <c r="J2041">
        <v>2</v>
      </c>
      <c r="K2041" t="s">
        <v>1268</v>
      </c>
    </row>
    <row r="2042" spans="1:11" x14ac:dyDescent="0.35">
      <c r="A2042" t="s">
        <v>2053</v>
      </c>
      <c r="B2042">
        <v>5</v>
      </c>
      <c r="C2042">
        <v>19383791.34</v>
      </c>
      <c r="D2042">
        <v>1</v>
      </c>
      <c r="E2042">
        <v>21364642.120000001</v>
      </c>
      <c r="F2042">
        <v>45772367.600000001</v>
      </c>
      <c r="G2042">
        <v>2</v>
      </c>
      <c r="H2042">
        <v>2</v>
      </c>
      <c r="I2042">
        <v>2</v>
      </c>
      <c r="J2042">
        <v>2</v>
      </c>
      <c r="K2042" t="s">
        <v>1268</v>
      </c>
    </row>
    <row r="2043" spans="1:11" x14ac:dyDescent="0.35">
      <c r="A2043" t="s">
        <v>2054</v>
      </c>
      <c r="B2043">
        <v>5</v>
      </c>
      <c r="C2043">
        <v>109213260.3</v>
      </c>
      <c r="D2043">
        <v>1</v>
      </c>
      <c r="E2043">
        <v>35822966.229999997</v>
      </c>
      <c r="F2043">
        <v>46237346.799999997</v>
      </c>
      <c r="G2043">
        <v>2</v>
      </c>
      <c r="H2043">
        <v>2</v>
      </c>
      <c r="I2043">
        <v>2</v>
      </c>
      <c r="J2043">
        <v>2</v>
      </c>
      <c r="K2043" t="s">
        <v>1268</v>
      </c>
    </row>
    <row r="2044" spans="1:11" x14ac:dyDescent="0.35">
      <c r="A2044" t="s">
        <v>2055</v>
      </c>
      <c r="B2044">
        <v>5</v>
      </c>
      <c r="C2044">
        <v>111167440.8</v>
      </c>
      <c r="D2044">
        <v>1</v>
      </c>
      <c r="E2044">
        <v>19741389.640000001</v>
      </c>
      <c r="F2044">
        <v>42655477.299999997</v>
      </c>
      <c r="G2044">
        <v>2</v>
      </c>
      <c r="H2044">
        <v>2</v>
      </c>
      <c r="I2044">
        <v>2</v>
      </c>
      <c r="J2044">
        <v>2</v>
      </c>
      <c r="K2044" t="s">
        <v>1268</v>
      </c>
    </row>
    <row r="2045" spans="1:11" x14ac:dyDescent="0.35">
      <c r="A2045" t="s">
        <v>2056</v>
      </c>
      <c r="B2045">
        <v>5</v>
      </c>
      <c r="C2045">
        <v>34314159.079999998</v>
      </c>
      <c r="D2045">
        <v>1</v>
      </c>
      <c r="E2045">
        <v>21109140.25</v>
      </c>
      <c r="F2045">
        <v>40660718</v>
      </c>
      <c r="G2045">
        <v>2</v>
      </c>
      <c r="H2045">
        <v>2</v>
      </c>
      <c r="I2045">
        <v>2</v>
      </c>
      <c r="J2045">
        <v>2</v>
      </c>
      <c r="K2045" t="s">
        <v>1268</v>
      </c>
    </row>
    <row r="2046" spans="1:11" x14ac:dyDescent="0.35">
      <c r="A2046" t="s">
        <v>2057</v>
      </c>
      <c r="B2046">
        <v>5</v>
      </c>
      <c r="C2046">
        <v>63782663.119999997</v>
      </c>
      <c r="D2046">
        <v>1</v>
      </c>
      <c r="E2046">
        <v>31476379.420000002</v>
      </c>
      <c r="F2046">
        <v>41708935.799999997</v>
      </c>
      <c r="G2046">
        <v>2</v>
      </c>
      <c r="H2046">
        <v>2</v>
      </c>
      <c r="I2046">
        <v>2</v>
      </c>
      <c r="J2046">
        <v>2</v>
      </c>
      <c r="K2046" t="s">
        <v>1268</v>
      </c>
    </row>
    <row r="2047" spans="1:11" x14ac:dyDescent="0.35">
      <c r="A2047" t="s">
        <v>2058</v>
      </c>
      <c r="B2047">
        <v>5</v>
      </c>
      <c r="C2047">
        <v>41446466.420000002</v>
      </c>
      <c r="D2047">
        <v>0.8</v>
      </c>
      <c r="E2047">
        <v>38347551.170000002</v>
      </c>
      <c r="F2047">
        <v>39421913.299999997</v>
      </c>
      <c r="G2047">
        <v>2</v>
      </c>
      <c r="H2047">
        <v>2</v>
      </c>
      <c r="I2047">
        <v>2</v>
      </c>
      <c r="J2047">
        <v>2</v>
      </c>
      <c r="K2047" t="s">
        <v>1268</v>
      </c>
    </row>
    <row r="2048" spans="1:11" x14ac:dyDescent="0.35">
      <c r="A2048" t="s">
        <v>2059</v>
      </c>
      <c r="B2048">
        <v>5</v>
      </c>
      <c r="C2048">
        <v>103863198.2</v>
      </c>
      <c r="D2048">
        <v>1</v>
      </c>
      <c r="E2048">
        <v>16453475.65</v>
      </c>
      <c r="F2048">
        <v>39187439.399999999</v>
      </c>
      <c r="G2048">
        <v>2</v>
      </c>
      <c r="H2048">
        <v>2</v>
      </c>
      <c r="I2048">
        <v>2</v>
      </c>
      <c r="J2048">
        <v>2</v>
      </c>
      <c r="K2048" t="s">
        <v>1268</v>
      </c>
    </row>
    <row r="2049" spans="1:11" x14ac:dyDescent="0.35">
      <c r="A2049" t="s">
        <v>2060</v>
      </c>
      <c r="B2049">
        <v>5</v>
      </c>
      <c r="C2049">
        <v>125473001.8</v>
      </c>
      <c r="D2049">
        <v>1</v>
      </c>
      <c r="E2049">
        <v>15790493.52</v>
      </c>
      <c r="F2049">
        <v>39004791.100000001</v>
      </c>
      <c r="G2049">
        <v>2</v>
      </c>
      <c r="H2049">
        <v>2</v>
      </c>
      <c r="I2049">
        <v>2</v>
      </c>
      <c r="J2049">
        <v>2</v>
      </c>
      <c r="K2049" t="s">
        <v>1268</v>
      </c>
    </row>
    <row r="2050" spans="1:11" x14ac:dyDescent="0.35">
      <c r="A2050" t="s">
        <v>2061</v>
      </c>
      <c r="B2050">
        <v>5</v>
      </c>
      <c r="C2050">
        <v>40314152.920000002</v>
      </c>
      <c r="D2050">
        <v>1</v>
      </c>
      <c r="E2050">
        <v>15999812.26</v>
      </c>
      <c r="F2050">
        <v>38974122.5</v>
      </c>
      <c r="G2050">
        <v>2</v>
      </c>
      <c r="H2050">
        <v>2</v>
      </c>
      <c r="I2050">
        <v>2</v>
      </c>
      <c r="J2050">
        <v>2</v>
      </c>
      <c r="K2050" t="s">
        <v>1268</v>
      </c>
    </row>
    <row r="2051" spans="1:11" x14ac:dyDescent="0.35">
      <c r="A2051" t="s">
        <v>2062</v>
      </c>
      <c r="B2051">
        <v>5</v>
      </c>
      <c r="C2051">
        <v>97199272.439999998</v>
      </c>
      <c r="D2051">
        <v>1</v>
      </c>
      <c r="E2051">
        <v>36241001.530000001</v>
      </c>
      <c r="F2051">
        <v>35414713.5</v>
      </c>
      <c r="G2051">
        <v>2</v>
      </c>
      <c r="H2051">
        <v>2</v>
      </c>
      <c r="I2051">
        <v>2</v>
      </c>
      <c r="J2051">
        <v>2</v>
      </c>
      <c r="K2051" t="s">
        <v>1268</v>
      </c>
    </row>
    <row r="2052" spans="1:11" x14ac:dyDescent="0.35">
      <c r="A2052" t="s">
        <v>2063</v>
      </c>
      <c r="B2052">
        <v>5</v>
      </c>
      <c r="C2052">
        <v>10276435.82</v>
      </c>
      <c r="D2052">
        <v>0.8</v>
      </c>
      <c r="E2052">
        <v>41350046.780000001</v>
      </c>
      <c r="F2052">
        <v>32979439.800000001</v>
      </c>
      <c r="G2052">
        <v>2</v>
      </c>
      <c r="H2052">
        <v>2</v>
      </c>
      <c r="I2052">
        <v>2</v>
      </c>
      <c r="J2052">
        <v>2</v>
      </c>
      <c r="K2052" t="s">
        <v>1268</v>
      </c>
    </row>
    <row r="2053" spans="1:11" x14ac:dyDescent="0.35">
      <c r="A2053" t="s">
        <v>2064</v>
      </c>
      <c r="B2053">
        <v>5</v>
      </c>
      <c r="C2053">
        <v>85049422.700000003</v>
      </c>
      <c r="D2053">
        <v>1</v>
      </c>
      <c r="E2053">
        <v>25239718.98</v>
      </c>
      <c r="F2053">
        <v>38311624</v>
      </c>
      <c r="G2053">
        <v>2</v>
      </c>
      <c r="H2053">
        <v>2</v>
      </c>
      <c r="I2053">
        <v>2</v>
      </c>
      <c r="J2053">
        <v>2</v>
      </c>
      <c r="K2053" t="s">
        <v>1268</v>
      </c>
    </row>
    <row r="2054" spans="1:11" x14ac:dyDescent="0.35">
      <c r="A2054" t="s">
        <v>2065</v>
      </c>
      <c r="B2054">
        <v>5</v>
      </c>
      <c r="C2054">
        <v>84572630.879999995</v>
      </c>
      <c r="D2054">
        <v>1</v>
      </c>
      <c r="E2054">
        <v>19714225.449999999</v>
      </c>
      <c r="F2054">
        <v>26827550.199999999</v>
      </c>
      <c r="G2054">
        <v>2</v>
      </c>
      <c r="H2054">
        <v>2</v>
      </c>
      <c r="I2054">
        <v>2</v>
      </c>
      <c r="J2054">
        <v>2</v>
      </c>
      <c r="K2054" t="s">
        <v>1268</v>
      </c>
    </row>
    <row r="2055" spans="1:11" x14ac:dyDescent="0.35">
      <c r="A2055" t="s">
        <v>2066</v>
      </c>
      <c r="B2055">
        <v>5</v>
      </c>
      <c r="C2055">
        <v>27594764.780000001</v>
      </c>
      <c r="D2055">
        <v>1</v>
      </c>
      <c r="E2055">
        <v>16036578.529999999</v>
      </c>
      <c r="F2055">
        <v>27549973.199999999</v>
      </c>
      <c r="G2055">
        <v>2</v>
      </c>
      <c r="H2055">
        <v>2</v>
      </c>
      <c r="I2055">
        <v>2</v>
      </c>
      <c r="J2055">
        <v>2</v>
      </c>
      <c r="K2055" t="s">
        <v>1268</v>
      </c>
    </row>
    <row r="2056" spans="1:11" x14ac:dyDescent="0.35">
      <c r="A2056" t="s">
        <v>2067</v>
      </c>
      <c r="B2056">
        <v>5</v>
      </c>
      <c r="C2056">
        <v>552675762.60000002</v>
      </c>
      <c r="D2056">
        <v>1</v>
      </c>
      <c r="E2056">
        <v>89238152.159999996</v>
      </c>
      <c r="F2056">
        <v>25685878.600000001</v>
      </c>
      <c r="G2056">
        <v>1</v>
      </c>
      <c r="H2056">
        <v>3</v>
      </c>
      <c r="I2056">
        <v>3</v>
      </c>
      <c r="J2056">
        <v>2</v>
      </c>
      <c r="K2056" t="s">
        <v>1268</v>
      </c>
    </row>
    <row r="2057" spans="1:11" x14ac:dyDescent="0.35">
      <c r="A2057" t="s">
        <v>2068</v>
      </c>
      <c r="B2057">
        <v>5</v>
      </c>
      <c r="C2057">
        <v>74598578.859999999</v>
      </c>
      <c r="D2057">
        <v>1</v>
      </c>
      <c r="E2057">
        <v>66628525.780000001</v>
      </c>
      <c r="F2057">
        <v>26078243.899999999</v>
      </c>
      <c r="G2057">
        <v>1</v>
      </c>
      <c r="H2057">
        <v>3</v>
      </c>
      <c r="I2057">
        <v>3</v>
      </c>
      <c r="J2057">
        <v>2</v>
      </c>
      <c r="K2057" t="s">
        <v>1268</v>
      </c>
    </row>
    <row r="2058" spans="1:11" x14ac:dyDescent="0.35">
      <c r="A2058" t="s">
        <v>2069</v>
      </c>
      <c r="B2058">
        <v>5</v>
      </c>
      <c r="C2058">
        <v>281222414.5</v>
      </c>
      <c r="D2058">
        <v>1</v>
      </c>
      <c r="E2058">
        <v>100467039.90000001</v>
      </c>
      <c r="F2058">
        <v>20399489.800000001</v>
      </c>
      <c r="G2058">
        <v>1</v>
      </c>
      <c r="H2058">
        <v>3</v>
      </c>
      <c r="I2058">
        <v>3</v>
      </c>
      <c r="J2058">
        <v>2</v>
      </c>
      <c r="K2058" t="s">
        <v>1268</v>
      </c>
    </row>
    <row r="2059" spans="1:11" x14ac:dyDescent="0.35">
      <c r="A2059" t="s">
        <v>2070</v>
      </c>
      <c r="B2059">
        <v>5</v>
      </c>
      <c r="C2059">
        <v>120581667.8</v>
      </c>
      <c r="D2059">
        <v>1</v>
      </c>
      <c r="E2059">
        <v>59175651.200000003</v>
      </c>
      <c r="F2059">
        <v>18030887</v>
      </c>
      <c r="G2059">
        <v>1</v>
      </c>
      <c r="H2059">
        <v>3</v>
      </c>
      <c r="I2059">
        <v>3</v>
      </c>
      <c r="J2059">
        <v>2</v>
      </c>
      <c r="K2059" t="s">
        <v>1268</v>
      </c>
    </row>
    <row r="2060" spans="1:11" x14ac:dyDescent="0.35">
      <c r="A2060" t="s">
        <v>2071</v>
      </c>
      <c r="B2060">
        <v>5</v>
      </c>
      <c r="C2060">
        <v>297884667.5</v>
      </c>
      <c r="D2060">
        <v>1</v>
      </c>
      <c r="E2060">
        <v>98957263.629999995</v>
      </c>
      <c r="F2060">
        <v>17882066.899999999</v>
      </c>
      <c r="G2060">
        <v>1</v>
      </c>
      <c r="H2060">
        <v>3</v>
      </c>
      <c r="I2060">
        <v>3</v>
      </c>
      <c r="J2060">
        <v>2</v>
      </c>
      <c r="K2060" t="s">
        <v>1268</v>
      </c>
    </row>
    <row r="2061" spans="1:11" x14ac:dyDescent="0.35">
      <c r="A2061" t="s">
        <v>2072</v>
      </c>
      <c r="B2061">
        <v>5</v>
      </c>
      <c r="C2061">
        <v>220911734.40000001</v>
      </c>
      <c r="D2061">
        <v>1</v>
      </c>
      <c r="E2061">
        <v>63113581.079999998</v>
      </c>
      <c r="F2061">
        <v>16887263.800000001</v>
      </c>
      <c r="G2061">
        <v>1</v>
      </c>
      <c r="H2061">
        <v>3</v>
      </c>
      <c r="I2061">
        <v>3</v>
      </c>
      <c r="J2061">
        <v>2</v>
      </c>
      <c r="K2061" t="s">
        <v>1268</v>
      </c>
    </row>
    <row r="2062" spans="1:11" x14ac:dyDescent="0.35">
      <c r="A2062" t="s">
        <v>2073</v>
      </c>
      <c r="B2062">
        <v>5</v>
      </c>
      <c r="C2062">
        <v>91595612</v>
      </c>
      <c r="D2062">
        <v>1</v>
      </c>
      <c r="E2062">
        <v>61348811.450000003</v>
      </c>
      <c r="F2062">
        <v>13076653.4</v>
      </c>
      <c r="G2062">
        <v>1</v>
      </c>
      <c r="H2062">
        <v>3</v>
      </c>
      <c r="I2062">
        <v>3</v>
      </c>
      <c r="J2062">
        <v>2</v>
      </c>
      <c r="K2062" t="s">
        <v>1268</v>
      </c>
    </row>
    <row r="2063" spans="1:11" x14ac:dyDescent="0.35">
      <c r="A2063" t="s">
        <v>2074</v>
      </c>
      <c r="B2063">
        <v>5</v>
      </c>
      <c r="C2063">
        <v>189400621.09999999</v>
      </c>
      <c r="D2063">
        <v>1</v>
      </c>
      <c r="E2063">
        <v>47398867.75</v>
      </c>
      <c r="F2063">
        <v>12439212.1</v>
      </c>
      <c r="G2063">
        <v>1</v>
      </c>
      <c r="H2063">
        <v>3</v>
      </c>
      <c r="I2063">
        <v>3</v>
      </c>
      <c r="J2063">
        <v>2</v>
      </c>
      <c r="K2063" t="s">
        <v>1268</v>
      </c>
    </row>
    <row r="2064" spans="1:11" x14ac:dyDescent="0.35">
      <c r="A2064" t="s">
        <v>2075</v>
      </c>
      <c r="B2064">
        <v>5</v>
      </c>
      <c r="C2064">
        <v>327381050.19999999</v>
      </c>
      <c r="D2064">
        <v>1</v>
      </c>
      <c r="E2064">
        <v>51915186.939999998</v>
      </c>
      <c r="F2064">
        <v>-795495.9</v>
      </c>
      <c r="G2064">
        <v>1</v>
      </c>
      <c r="H2064">
        <v>3</v>
      </c>
      <c r="I2064">
        <v>3</v>
      </c>
      <c r="J2064">
        <v>2</v>
      </c>
      <c r="K2064" t="s">
        <v>1268</v>
      </c>
    </row>
    <row r="2065" spans="1:11" x14ac:dyDescent="0.35">
      <c r="A2065" t="s">
        <v>2076</v>
      </c>
      <c r="B2065">
        <v>5</v>
      </c>
      <c r="C2065">
        <v>86619199.400000006</v>
      </c>
      <c r="D2065">
        <v>1</v>
      </c>
      <c r="E2065">
        <v>50210135.420000002</v>
      </c>
      <c r="F2065">
        <v>4537549.7</v>
      </c>
      <c r="G2065">
        <v>1</v>
      </c>
      <c r="H2065">
        <v>3</v>
      </c>
      <c r="I2065">
        <v>3</v>
      </c>
      <c r="J2065">
        <v>2</v>
      </c>
      <c r="K2065" t="s">
        <v>1268</v>
      </c>
    </row>
    <row r="2066" spans="1:11" x14ac:dyDescent="0.35">
      <c r="A2066" t="s">
        <v>2077</v>
      </c>
      <c r="B2066">
        <v>5</v>
      </c>
      <c r="C2066">
        <v>9128615.7400000002</v>
      </c>
      <c r="D2066">
        <v>1</v>
      </c>
      <c r="E2066">
        <v>3320012.6379999998</v>
      </c>
      <c r="F2066">
        <v>4730030.7</v>
      </c>
      <c r="G2066">
        <v>2</v>
      </c>
      <c r="H2066">
        <v>1</v>
      </c>
      <c r="I2066">
        <v>3</v>
      </c>
      <c r="J2066">
        <v>1.9</v>
      </c>
      <c r="K2066" t="s">
        <v>1268</v>
      </c>
    </row>
    <row r="2067" spans="1:11" x14ac:dyDescent="0.35">
      <c r="A2067" t="s">
        <v>2078</v>
      </c>
      <c r="B2067">
        <v>5</v>
      </c>
      <c r="C2067">
        <v>22603392.579999998</v>
      </c>
      <c r="D2067">
        <v>1</v>
      </c>
      <c r="E2067">
        <v>12116429.550000001</v>
      </c>
      <c r="F2067">
        <v>5258460.4000000004</v>
      </c>
      <c r="G2067">
        <v>2</v>
      </c>
      <c r="H2067">
        <v>1</v>
      </c>
      <c r="I2067">
        <v>3</v>
      </c>
      <c r="J2067">
        <v>1.9</v>
      </c>
      <c r="K2067" t="s">
        <v>1268</v>
      </c>
    </row>
    <row r="2068" spans="1:11" x14ac:dyDescent="0.35">
      <c r="A2068" t="s">
        <v>2079</v>
      </c>
      <c r="B2068">
        <v>5</v>
      </c>
      <c r="C2068">
        <v>22556369.48</v>
      </c>
      <c r="D2068">
        <v>1</v>
      </c>
      <c r="E2068">
        <v>8963025.2640000004</v>
      </c>
      <c r="F2068">
        <v>5161923.4000000004</v>
      </c>
      <c r="G2068">
        <v>2</v>
      </c>
      <c r="H2068">
        <v>1</v>
      </c>
      <c r="I2068">
        <v>3</v>
      </c>
      <c r="J2068">
        <v>1.9</v>
      </c>
      <c r="K2068" t="s">
        <v>1268</v>
      </c>
    </row>
    <row r="2069" spans="1:11" x14ac:dyDescent="0.35">
      <c r="A2069" t="s">
        <v>2080</v>
      </c>
      <c r="B2069">
        <v>5</v>
      </c>
      <c r="C2069">
        <v>33983291.200000003</v>
      </c>
      <c r="D2069">
        <v>1</v>
      </c>
      <c r="E2069">
        <v>12420415.380000001</v>
      </c>
      <c r="F2069">
        <v>5118351.3</v>
      </c>
      <c r="G2069">
        <v>2</v>
      </c>
      <c r="H2069">
        <v>1</v>
      </c>
      <c r="I2069">
        <v>3</v>
      </c>
      <c r="J2069">
        <v>1.9</v>
      </c>
      <c r="K2069" t="s">
        <v>1268</v>
      </c>
    </row>
    <row r="2070" spans="1:11" x14ac:dyDescent="0.35">
      <c r="A2070" t="s">
        <v>2081</v>
      </c>
      <c r="B2070">
        <v>5</v>
      </c>
      <c r="C2070">
        <v>3057818.68</v>
      </c>
      <c r="D2070">
        <v>1</v>
      </c>
      <c r="E2070">
        <v>2067076.3670000001</v>
      </c>
      <c r="F2070">
        <v>3929930.8</v>
      </c>
      <c r="G2070">
        <v>2</v>
      </c>
      <c r="H2070">
        <v>1</v>
      </c>
      <c r="I2070">
        <v>3</v>
      </c>
      <c r="J2070">
        <v>1.9</v>
      </c>
      <c r="K2070" t="s">
        <v>1268</v>
      </c>
    </row>
    <row r="2071" spans="1:11" x14ac:dyDescent="0.35">
      <c r="A2071" t="s">
        <v>2082</v>
      </c>
      <c r="B2071">
        <v>5</v>
      </c>
      <c r="C2071">
        <v>16221352.68</v>
      </c>
      <c r="D2071">
        <v>1</v>
      </c>
      <c r="E2071">
        <v>2432430.1690000002</v>
      </c>
      <c r="F2071">
        <v>4165030.1</v>
      </c>
      <c r="G2071">
        <v>2</v>
      </c>
      <c r="H2071">
        <v>1</v>
      </c>
      <c r="I2071">
        <v>3</v>
      </c>
      <c r="J2071">
        <v>1.9</v>
      </c>
      <c r="K2071" t="s">
        <v>1268</v>
      </c>
    </row>
    <row r="2072" spans="1:11" x14ac:dyDescent="0.35">
      <c r="A2072" t="s">
        <v>2083</v>
      </c>
      <c r="B2072">
        <v>5</v>
      </c>
      <c r="C2072">
        <v>3541107.02</v>
      </c>
      <c r="D2072">
        <v>0.8</v>
      </c>
      <c r="E2072">
        <v>6883419.9270000001</v>
      </c>
      <c r="F2072">
        <v>6746061.0999999996</v>
      </c>
      <c r="G2072">
        <v>2</v>
      </c>
      <c r="H2072">
        <v>1</v>
      </c>
      <c r="I2072">
        <v>3</v>
      </c>
      <c r="J2072">
        <v>1.9</v>
      </c>
      <c r="K2072" t="s">
        <v>1268</v>
      </c>
    </row>
    <row r="2073" spans="1:11" x14ac:dyDescent="0.35">
      <c r="A2073" t="s">
        <v>2084</v>
      </c>
      <c r="B2073">
        <v>5</v>
      </c>
      <c r="C2073">
        <v>12296048.800000001</v>
      </c>
      <c r="D2073">
        <v>1</v>
      </c>
      <c r="E2073">
        <v>9313219.2420000006</v>
      </c>
      <c r="F2073">
        <v>6624960</v>
      </c>
      <c r="G2073">
        <v>2</v>
      </c>
      <c r="H2073">
        <v>1</v>
      </c>
      <c r="I2073">
        <v>3</v>
      </c>
      <c r="J2073">
        <v>1.9</v>
      </c>
      <c r="K2073" t="s">
        <v>1268</v>
      </c>
    </row>
    <row r="2074" spans="1:11" x14ac:dyDescent="0.35">
      <c r="A2074" t="s">
        <v>2085</v>
      </c>
      <c r="B2074">
        <v>5</v>
      </c>
      <c r="C2074">
        <v>3839532.56</v>
      </c>
      <c r="D2074">
        <v>1</v>
      </c>
      <c r="E2074">
        <v>3674081.9670000002</v>
      </c>
      <c r="F2074">
        <v>6919897.4000000004</v>
      </c>
      <c r="G2074">
        <v>2</v>
      </c>
      <c r="H2074">
        <v>1</v>
      </c>
      <c r="I2074">
        <v>3</v>
      </c>
      <c r="J2074">
        <v>1.9</v>
      </c>
      <c r="K2074" t="s">
        <v>1268</v>
      </c>
    </row>
    <row r="2075" spans="1:11" x14ac:dyDescent="0.35">
      <c r="A2075" t="s">
        <v>2086</v>
      </c>
      <c r="B2075">
        <v>5</v>
      </c>
      <c r="C2075">
        <v>22028904.300000001</v>
      </c>
      <c r="D2075">
        <v>1</v>
      </c>
      <c r="E2075">
        <v>13395492.470000001</v>
      </c>
      <c r="F2075">
        <v>6844764.5</v>
      </c>
      <c r="G2075">
        <v>2</v>
      </c>
      <c r="H2075">
        <v>1</v>
      </c>
      <c r="I2075">
        <v>3</v>
      </c>
      <c r="J2075">
        <v>1.9</v>
      </c>
      <c r="K2075" t="s">
        <v>1268</v>
      </c>
    </row>
    <row r="2076" spans="1:11" x14ac:dyDescent="0.35">
      <c r="A2076" t="s">
        <v>2087</v>
      </c>
      <c r="B2076">
        <v>5</v>
      </c>
      <c r="C2076">
        <v>18251614.039999999</v>
      </c>
      <c r="D2076">
        <v>1</v>
      </c>
      <c r="E2076">
        <v>5202382.8849999998</v>
      </c>
      <c r="F2076">
        <v>5575798.7000000002</v>
      </c>
      <c r="G2076">
        <v>2</v>
      </c>
      <c r="H2076">
        <v>1</v>
      </c>
      <c r="I2076">
        <v>3</v>
      </c>
      <c r="J2076">
        <v>1.9</v>
      </c>
      <c r="K2076" t="s">
        <v>1268</v>
      </c>
    </row>
    <row r="2077" spans="1:11" x14ac:dyDescent="0.35">
      <c r="A2077" t="s">
        <v>2088</v>
      </c>
      <c r="B2077">
        <v>5</v>
      </c>
      <c r="C2077">
        <v>-550587.84</v>
      </c>
      <c r="D2077">
        <v>0.8</v>
      </c>
      <c r="E2077">
        <v>2815807.358</v>
      </c>
      <c r="F2077">
        <v>6130135.2000000002</v>
      </c>
      <c r="G2077">
        <v>2</v>
      </c>
      <c r="H2077">
        <v>1</v>
      </c>
      <c r="I2077">
        <v>3</v>
      </c>
      <c r="J2077">
        <v>1.9</v>
      </c>
      <c r="K2077" t="s">
        <v>1268</v>
      </c>
    </row>
    <row r="2078" spans="1:11" x14ac:dyDescent="0.35">
      <c r="A2078" t="s">
        <v>2089</v>
      </c>
      <c r="B2078">
        <v>5</v>
      </c>
      <c r="C2078">
        <v>1248638.8400000001</v>
      </c>
      <c r="D2078">
        <v>1</v>
      </c>
      <c r="E2078">
        <v>666801.10270000005</v>
      </c>
      <c r="F2078">
        <v>911652.7</v>
      </c>
      <c r="G2078">
        <v>2</v>
      </c>
      <c r="H2078">
        <v>1</v>
      </c>
      <c r="I2078">
        <v>3</v>
      </c>
      <c r="J2078">
        <v>1.9</v>
      </c>
      <c r="K2078" t="s">
        <v>1268</v>
      </c>
    </row>
    <row r="2079" spans="1:11" x14ac:dyDescent="0.35">
      <c r="A2079" t="s">
        <v>2090</v>
      </c>
      <c r="B2079">
        <v>5</v>
      </c>
      <c r="C2079">
        <v>14820295.699999999</v>
      </c>
      <c r="D2079">
        <v>1</v>
      </c>
      <c r="E2079">
        <v>2250421.139</v>
      </c>
      <c r="F2079">
        <v>1620270.5</v>
      </c>
      <c r="G2079">
        <v>2</v>
      </c>
      <c r="H2079">
        <v>1</v>
      </c>
      <c r="I2079">
        <v>3</v>
      </c>
      <c r="J2079">
        <v>1.9</v>
      </c>
      <c r="K2079" t="s">
        <v>1268</v>
      </c>
    </row>
    <row r="2080" spans="1:11" x14ac:dyDescent="0.35">
      <c r="A2080" t="s">
        <v>2091</v>
      </c>
      <c r="B2080">
        <v>5</v>
      </c>
      <c r="C2080">
        <v>10305080.4</v>
      </c>
      <c r="D2080">
        <v>1</v>
      </c>
      <c r="E2080">
        <v>1447735.99</v>
      </c>
      <c r="F2080">
        <v>1342996.6</v>
      </c>
      <c r="G2080">
        <v>2</v>
      </c>
      <c r="H2080">
        <v>1</v>
      </c>
      <c r="I2080">
        <v>3</v>
      </c>
      <c r="J2080">
        <v>1.9</v>
      </c>
      <c r="K2080" t="s">
        <v>1268</v>
      </c>
    </row>
    <row r="2081" spans="1:11" x14ac:dyDescent="0.35">
      <c r="A2081" t="s">
        <v>2092</v>
      </c>
      <c r="B2081">
        <v>5</v>
      </c>
      <c r="C2081">
        <v>3813840.18</v>
      </c>
      <c r="D2081">
        <v>1</v>
      </c>
      <c r="E2081">
        <v>1469796.8149999999</v>
      </c>
      <c r="F2081">
        <v>1809307.4</v>
      </c>
      <c r="G2081">
        <v>2</v>
      </c>
      <c r="H2081">
        <v>1</v>
      </c>
      <c r="I2081">
        <v>3</v>
      </c>
      <c r="J2081">
        <v>1.9</v>
      </c>
      <c r="K2081" t="s">
        <v>1268</v>
      </c>
    </row>
    <row r="2082" spans="1:11" x14ac:dyDescent="0.35">
      <c r="A2082" t="s">
        <v>2093</v>
      </c>
      <c r="B2082">
        <v>5</v>
      </c>
      <c r="C2082">
        <v>21572895.02</v>
      </c>
      <c r="D2082">
        <v>1</v>
      </c>
      <c r="E2082">
        <v>3224557.4369999999</v>
      </c>
      <c r="F2082">
        <v>2199116</v>
      </c>
      <c r="G2082">
        <v>2</v>
      </c>
      <c r="H2082">
        <v>1</v>
      </c>
      <c r="I2082">
        <v>3</v>
      </c>
      <c r="J2082">
        <v>1.9</v>
      </c>
      <c r="K2082" t="s">
        <v>1268</v>
      </c>
    </row>
    <row r="2083" spans="1:11" x14ac:dyDescent="0.35">
      <c r="A2083" t="s">
        <v>2094</v>
      </c>
      <c r="B2083">
        <v>5</v>
      </c>
      <c r="C2083">
        <v>5550181.7999999998</v>
      </c>
      <c r="D2083">
        <v>1</v>
      </c>
      <c r="E2083">
        <v>1251644.5020000001</v>
      </c>
      <c r="F2083">
        <v>3049627.1</v>
      </c>
      <c r="G2083">
        <v>2</v>
      </c>
      <c r="H2083">
        <v>1</v>
      </c>
      <c r="I2083">
        <v>3</v>
      </c>
      <c r="J2083">
        <v>1.9</v>
      </c>
      <c r="K2083" t="s">
        <v>1268</v>
      </c>
    </row>
    <row r="2084" spans="1:11" x14ac:dyDescent="0.35">
      <c r="A2084" t="s">
        <v>2095</v>
      </c>
      <c r="B2084">
        <v>5</v>
      </c>
      <c r="C2084">
        <v>8522390.0199999996</v>
      </c>
      <c r="D2084">
        <v>0.8</v>
      </c>
      <c r="E2084">
        <v>11835631.35</v>
      </c>
      <c r="F2084">
        <v>3083457.8</v>
      </c>
      <c r="G2084">
        <v>2</v>
      </c>
      <c r="H2084">
        <v>1</v>
      </c>
      <c r="I2084">
        <v>3</v>
      </c>
      <c r="J2084">
        <v>1.9</v>
      </c>
      <c r="K2084" t="s">
        <v>1268</v>
      </c>
    </row>
    <row r="2085" spans="1:11" x14ac:dyDescent="0.35">
      <c r="A2085" t="s">
        <v>2096</v>
      </c>
      <c r="B2085">
        <v>5</v>
      </c>
      <c r="C2085">
        <v>1155036.6000000001</v>
      </c>
      <c r="D2085">
        <v>0.8</v>
      </c>
      <c r="E2085">
        <v>1096277.7520000001</v>
      </c>
      <c r="F2085">
        <v>-52634</v>
      </c>
      <c r="G2085">
        <v>2</v>
      </c>
      <c r="H2085">
        <v>1</v>
      </c>
      <c r="I2085">
        <v>3</v>
      </c>
      <c r="J2085">
        <v>1.9</v>
      </c>
      <c r="K2085" t="s">
        <v>1268</v>
      </c>
    </row>
    <row r="2086" spans="1:11" x14ac:dyDescent="0.35">
      <c r="A2086" t="s">
        <v>2097</v>
      </c>
      <c r="B2086">
        <v>5</v>
      </c>
      <c r="C2086">
        <v>12249467.039999999</v>
      </c>
      <c r="D2086">
        <v>1</v>
      </c>
      <c r="E2086">
        <v>4340870.0630000001</v>
      </c>
      <c r="F2086">
        <v>-104215.3</v>
      </c>
      <c r="G2086">
        <v>2</v>
      </c>
      <c r="H2086">
        <v>1</v>
      </c>
      <c r="I2086">
        <v>3</v>
      </c>
      <c r="J2086">
        <v>1.9</v>
      </c>
      <c r="K2086" t="s">
        <v>1268</v>
      </c>
    </row>
    <row r="2087" spans="1:11" x14ac:dyDescent="0.35">
      <c r="A2087" t="s">
        <v>2098</v>
      </c>
      <c r="B2087">
        <v>5</v>
      </c>
      <c r="C2087">
        <v>12360000.279999999</v>
      </c>
      <c r="D2087">
        <v>1</v>
      </c>
      <c r="E2087">
        <v>3912768.3790000002</v>
      </c>
      <c r="F2087">
        <v>46897.599999999999</v>
      </c>
      <c r="G2087">
        <v>2</v>
      </c>
      <c r="H2087">
        <v>1</v>
      </c>
      <c r="I2087">
        <v>3</v>
      </c>
      <c r="J2087">
        <v>1.9</v>
      </c>
      <c r="K2087" t="s">
        <v>1268</v>
      </c>
    </row>
    <row r="2088" spans="1:11" x14ac:dyDescent="0.35">
      <c r="A2088" t="s">
        <v>2099</v>
      </c>
      <c r="B2088">
        <v>5</v>
      </c>
      <c r="C2088">
        <v>1375726.14</v>
      </c>
      <c r="D2088">
        <v>1</v>
      </c>
      <c r="E2088">
        <v>677517.3615</v>
      </c>
      <c r="F2088">
        <v>278697</v>
      </c>
      <c r="G2088">
        <v>2</v>
      </c>
      <c r="H2088">
        <v>1</v>
      </c>
      <c r="I2088">
        <v>3</v>
      </c>
      <c r="J2088">
        <v>1.9</v>
      </c>
      <c r="K2088" t="s">
        <v>1268</v>
      </c>
    </row>
    <row r="2089" spans="1:11" x14ac:dyDescent="0.35">
      <c r="A2089" t="s">
        <v>2100</v>
      </c>
      <c r="B2089">
        <v>5</v>
      </c>
      <c r="C2089">
        <v>3829104.18</v>
      </c>
      <c r="D2089">
        <v>0.8</v>
      </c>
      <c r="E2089">
        <v>3167134.6310000001</v>
      </c>
      <c r="F2089">
        <v>-2227285.9</v>
      </c>
      <c r="G2089">
        <v>2</v>
      </c>
      <c r="H2089">
        <v>1</v>
      </c>
      <c r="I2089">
        <v>3</v>
      </c>
      <c r="J2089">
        <v>1.9</v>
      </c>
      <c r="K2089" t="s">
        <v>1268</v>
      </c>
    </row>
    <row r="2090" spans="1:11" x14ac:dyDescent="0.35">
      <c r="A2090" t="s">
        <v>2101</v>
      </c>
      <c r="B2090">
        <v>5</v>
      </c>
      <c r="C2090">
        <v>3673800.28</v>
      </c>
      <c r="D2090">
        <v>1</v>
      </c>
      <c r="E2090">
        <v>1111921.8419999999</v>
      </c>
      <c r="F2090">
        <v>-2280473.4</v>
      </c>
      <c r="G2090">
        <v>2</v>
      </c>
      <c r="H2090">
        <v>1</v>
      </c>
      <c r="I2090">
        <v>3</v>
      </c>
      <c r="J2090">
        <v>1.9</v>
      </c>
      <c r="K2090" t="s">
        <v>1268</v>
      </c>
    </row>
    <row r="2091" spans="1:11" x14ac:dyDescent="0.35">
      <c r="A2091" t="s">
        <v>2102</v>
      </c>
      <c r="B2091">
        <v>5</v>
      </c>
      <c r="C2091">
        <v>8345935.7000000002</v>
      </c>
      <c r="D2091">
        <v>1</v>
      </c>
      <c r="E2091">
        <v>2357680.48</v>
      </c>
      <c r="F2091">
        <v>-2417417</v>
      </c>
      <c r="G2091">
        <v>2</v>
      </c>
      <c r="H2091">
        <v>1</v>
      </c>
      <c r="I2091">
        <v>3</v>
      </c>
      <c r="J2091">
        <v>1.9</v>
      </c>
      <c r="K2091" t="s">
        <v>1268</v>
      </c>
    </row>
    <row r="2092" spans="1:11" x14ac:dyDescent="0.35">
      <c r="A2092" t="s">
        <v>2103</v>
      </c>
      <c r="B2092">
        <v>5</v>
      </c>
      <c r="C2092">
        <v>22232269.300000001</v>
      </c>
      <c r="D2092">
        <v>1</v>
      </c>
      <c r="E2092">
        <v>7608433.9220000003</v>
      </c>
      <c r="F2092">
        <v>-4885484.8</v>
      </c>
      <c r="G2092">
        <v>2</v>
      </c>
      <c r="H2092">
        <v>1</v>
      </c>
      <c r="I2092">
        <v>3</v>
      </c>
      <c r="J2092">
        <v>1.9</v>
      </c>
      <c r="K2092" t="s">
        <v>1268</v>
      </c>
    </row>
    <row r="2093" spans="1:11" x14ac:dyDescent="0.35">
      <c r="A2093" t="s">
        <v>2104</v>
      </c>
      <c r="B2093">
        <v>5</v>
      </c>
      <c r="C2093">
        <v>8212380.7599999998</v>
      </c>
      <c r="D2093">
        <v>0.8</v>
      </c>
      <c r="E2093">
        <v>5973378.602</v>
      </c>
      <c r="F2093">
        <v>-4246265.5</v>
      </c>
      <c r="G2093">
        <v>2</v>
      </c>
      <c r="H2093">
        <v>1</v>
      </c>
      <c r="I2093">
        <v>3</v>
      </c>
      <c r="J2093">
        <v>1.9</v>
      </c>
      <c r="K2093" t="s">
        <v>1268</v>
      </c>
    </row>
    <row r="2094" spans="1:11" x14ac:dyDescent="0.35">
      <c r="A2094" t="s">
        <v>2105</v>
      </c>
      <c r="B2094">
        <v>5</v>
      </c>
      <c r="C2094">
        <v>33939692.200000003</v>
      </c>
      <c r="D2094">
        <v>1</v>
      </c>
      <c r="E2094">
        <v>3350525.7880000002</v>
      </c>
      <c r="F2094">
        <v>-3333029.9</v>
      </c>
      <c r="G2094">
        <v>2</v>
      </c>
      <c r="H2094">
        <v>1</v>
      </c>
      <c r="I2094">
        <v>3</v>
      </c>
      <c r="J2094">
        <v>1.9</v>
      </c>
      <c r="K2094" t="s">
        <v>1268</v>
      </c>
    </row>
    <row r="2095" spans="1:11" x14ac:dyDescent="0.35">
      <c r="A2095" t="s">
        <v>2106</v>
      </c>
      <c r="B2095">
        <v>5</v>
      </c>
      <c r="C2095">
        <v>66242062.619999997</v>
      </c>
      <c r="D2095">
        <v>1</v>
      </c>
      <c r="E2095">
        <v>10187092.84</v>
      </c>
      <c r="F2095">
        <v>-3670349.4</v>
      </c>
      <c r="G2095">
        <v>2</v>
      </c>
      <c r="H2095">
        <v>1</v>
      </c>
      <c r="I2095">
        <v>3</v>
      </c>
      <c r="J2095">
        <v>1.9</v>
      </c>
      <c r="K2095" t="s">
        <v>1268</v>
      </c>
    </row>
    <row r="2096" spans="1:11" x14ac:dyDescent="0.35">
      <c r="A2096" t="s">
        <v>2107</v>
      </c>
      <c r="B2096">
        <v>5</v>
      </c>
      <c r="C2096">
        <v>19293585.82</v>
      </c>
      <c r="D2096">
        <v>1</v>
      </c>
      <c r="E2096">
        <v>11414435.25</v>
      </c>
      <c r="F2096">
        <v>-3562188.7999999998</v>
      </c>
      <c r="G2096">
        <v>2</v>
      </c>
      <c r="H2096">
        <v>1</v>
      </c>
      <c r="I2096">
        <v>3</v>
      </c>
      <c r="J2096">
        <v>1.9</v>
      </c>
      <c r="K2096" t="s">
        <v>1268</v>
      </c>
    </row>
    <row r="2097" spans="1:11" x14ac:dyDescent="0.35">
      <c r="A2097" t="s">
        <v>2108</v>
      </c>
      <c r="B2097">
        <v>5</v>
      </c>
      <c r="C2097">
        <v>63437656.020000003</v>
      </c>
      <c r="D2097">
        <v>1</v>
      </c>
      <c r="E2097">
        <v>34911664.579999998</v>
      </c>
      <c r="F2097">
        <v>-25836312.100000001</v>
      </c>
      <c r="G2097">
        <v>1</v>
      </c>
      <c r="H2097">
        <v>2</v>
      </c>
      <c r="I2097">
        <v>4</v>
      </c>
      <c r="J2097">
        <v>1.9</v>
      </c>
      <c r="K2097" t="s">
        <v>1268</v>
      </c>
    </row>
    <row r="2098" spans="1:11" x14ac:dyDescent="0.35">
      <c r="A2098" t="s">
        <v>2109</v>
      </c>
      <c r="B2098">
        <v>5</v>
      </c>
      <c r="C2098">
        <v>58235954.700000003</v>
      </c>
      <c r="D2098">
        <v>1</v>
      </c>
      <c r="E2098">
        <v>26757707.620000001</v>
      </c>
      <c r="F2098">
        <v>-25019168.399999999</v>
      </c>
      <c r="G2098">
        <v>1</v>
      </c>
      <c r="H2098">
        <v>2</v>
      </c>
      <c r="I2098">
        <v>4</v>
      </c>
      <c r="J2098">
        <v>1.9</v>
      </c>
      <c r="K2098" t="s">
        <v>1268</v>
      </c>
    </row>
    <row r="2099" spans="1:11" x14ac:dyDescent="0.35">
      <c r="A2099" t="s">
        <v>2110</v>
      </c>
      <c r="B2099">
        <v>5</v>
      </c>
      <c r="C2099">
        <v>64933710.200000003</v>
      </c>
      <c r="D2099">
        <v>1</v>
      </c>
      <c r="E2099">
        <v>40573538.100000001</v>
      </c>
      <c r="F2099">
        <v>-20478904.699999999</v>
      </c>
      <c r="G2099">
        <v>1</v>
      </c>
      <c r="H2099">
        <v>2</v>
      </c>
      <c r="I2099">
        <v>4</v>
      </c>
      <c r="J2099">
        <v>1.9</v>
      </c>
      <c r="K2099" t="s">
        <v>1268</v>
      </c>
    </row>
    <row r="2100" spans="1:11" x14ac:dyDescent="0.35">
      <c r="A2100" t="s">
        <v>2111</v>
      </c>
      <c r="B2100">
        <v>5</v>
      </c>
      <c r="C2100">
        <v>163109803.80000001</v>
      </c>
      <c r="D2100">
        <v>1</v>
      </c>
      <c r="E2100">
        <v>26618498.16</v>
      </c>
      <c r="F2100">
        <v>-37144043.700000003</v>
      </c>
      <c r="G2100">
        <v>1</v>
      </c>
      <c r="H2100">
        <v>2</v>
      </c>
      <c r="I2100">
        <v>4</v>
      </c>
      <c r="J2100">
        <v>1.9</v>
      </c>
      <c r="K2100" t="s">
        <v>1268</v>
      </c>
    </row>
    <row r="2101" spans="1:11" x14ac:dyDescent="0.35">
      <c r="A2101" t="s">
        <v>2112</v>
      </c>
      <c r="B2101">
        <v>5</v>
      </c>
      <c r="C2101">
        <v>126440200.09999999</v>
      </c>
      <c r="D2101">
        <v>1</v>
      </c>
      <c r="E2101">
        <v>25515282.969999999</v>
      </c>
      <c r="F2101">
        <v>-27394146.399999999</v>
      </c>
      <c r="G2101">
        <v>1</v>
      </c>
      <c r="H2101">
        <v>2</v>
      </c>
      <c r="I2101">
        <v>4</v>
      </c>
      <c r="J2101">
        <v>1.9</v>
      </c>
      <c r="K2101" t="s">
        <v>1268</v>
      </c>
    </row>
    <row r="2102" spans="1:11" x14ac:dyDescent="0.35">
      <c r="A2102" t="s">
        <v>2113</v>
      </c>
      <c r="B2102">
        <v>5</v>
      </c>
      <c r="C2102">
        <v>144634153.5</v>
      </c>
      <c r="D2102">
        <v>1</v>
      </c>
      <c r="E2102">
        <v>32741846.850000001</v>
      </c>
      <c r="F2102">
        <v>-29560153.300000001</v>
      </c>
      <c r="G2102">
        <v>1</v>
      </c>
      <c r="H2102">
        <v>2</v>
      </c>
      <c r="I2102">
        <v>4</v>
      </c>
      <c r="J2102">
        <v>1.9</v>
      </c>
      <c r="K2102" t="s">
        <v>1268</v>
      </c>
    </row>
    <row r="2103" spans="1:11" x14ac:dyDescent="0.35">
      <c r="A2103" t="s">
        <v>2114</v>
      </c>
      <c r="B2103">
        <v>5</v>
      </c>
      <c r="C2103">
        <v>74525313.239999995</v>
      </c>
      <c r="D2103">
        <v>1</v>
      </c>
      <c r="E2103">
        <v>22954801.25</v>
      </c>
      <c r="F2103">
        <v>-31048732.300000001</v>
      </c>
      <c r="G2103">
        <v>1</v>
      </c>
      <c r="H2103">
        <v>2</v>
      </c>
      <c r="I2103">
        <v>4</v>
      </c>
      <c r="J2103">
        <v>1.9</v>
      </c>
      <c r="K2103" t="s">
        <v>1268</v>
      </c>
    </row>
    <row r="2104" spans="1:11" x14ac:dyDescent="0.35">
      <c r="A2104" t="s">
        <v>2115</v>
      </c>
      <c r="B2104">
        <v>5</v>
      </c>
      <c r="C2104">
        <v>50150353.899999999</v>
      </c>
      <c r="D2104">
        <v>1</v>
      </c>
      <c r="E2104">
        <v>21973754.120000001</v>
      </c>
      <c r="F2104">
        <v>-31050416.399999999</v>
      </c>
      <c r="G2104">
        <v>1</v>
      </c>
      <c r="H2104">
        <v>2</v>
      </c>
      <c r="I2104">
        <v>4</v>
      </c>
      <c r="J2104">
        <v>1.9</v>
      </c>
      <c r="K2104" t="s">
        <v>1268</v>
      </c>
    </row>
    <row r="2105" spans="1:11" x14ac:dyDescent="0.35">
      <c r="A2105" t="s">
        <v>2116</v>
      </c>
      <c r="B2105">
        <v>5</v>
      </c>
      <c r="C2105">
        <v>53039452.600000001</v>
      </c>
      <c r="D2105">
        <v>1</v>
      </c>
      <c r="E2105">
        <v>16535801.869999999</v>
      </c>
      <c r="F2105">
        <v>-7881591.5999999996</v>
      </c>
      <c r="G2105">
        <v>1</v>
      </c>
      <c r="H2105">
        <v>2</v>
      </c>
      <c r="I2105">
        <v>4</v>
      </c>
      <c r="J2105">
        <v>1.9</v>
      </c>
      <c r="K2105" t="s">
        <v>1268</v>
      </c>
    </row>
    <row r="2106" spans="1:11" x14ac:dyDescent="0.35">
      <c r="A2106" t="s">
        <v>2117</v>
      </c>
      <c r="B2106">
        <v>5</v>
      </c>
      <c r="C2106">
        <v>81658161.079999998</v>
      </c>
      <c r="D2106">
        <v>1</v>
      </c>
      <c r="E2106">
        <v>21012796.23</v>
      </c>
      <c r="F2106">
        <v>-11303397.300000001</v>
      </c>
      <c r="G2106">
        <v>1</v>
      </c>
      <c r="H2106">
        <v>2</v>
      </c>
      <c r="I2106">
        <v>4</v>
      </c>
      <c r="J2106">
        <v>1.9</v>
      </c>
      <c r="K2106" t="s">
        <v>1268</v>
      </c>
    </row>
    <row r="2107" spans="1:11" x14ac:dyDescent="0.35">
      <c r="A2107" t="s">
        <v>2118</v>
      </c>
      <c r="B2107">
        <v>5</v>
      </c>
      <c r="C2107">
        <v>59785080.979999997</v>
      </c>
      <c r="D2107">
        <v>1</v>
      </c>
      <c r="E2107">
        <v>35940222.259999998</v>
      </c>
      <c r="F2107">
        <v>-9981715.3000000007</v>
      </c>
      <c r="G2107">
        <v>1</v>
      </c>
      <c r="H2107">
        <v>2</v>
      </c>
      <c r="I2107">
        <v>4</v>
      </c>
      <c r="J2107">
        <v>1.9</v>
      </c>
      <c r="K2107" t="s">
        <v>1268</v>
      </c>
    </row>
    <row r="2108" spans="1:11" x14ac:dyDescent="0.35">
      <c r="A2108" t="s">
        <v>2119</v>
      </c>
      <c r="B2108">
        <v>5</v>
      </c>
      <c r="C2108">
        <v>30683085.579999998</v>
      </c>
      <c r="D2108">
        <v>1</v>
      </c>
      <c r="E2108">
        <v>24881168.48</v>
      </c>
      <c r="F2108">
        <v>-15724859.699999999</v>
      </c>
      <c r="G2108">
        <v>1</v>
      </c>
      <c r="H2108">
        <v>2</v>
      </c>
      <c r="I2108">
        <v>4</v>
      </c>
      <c r="J2108">
        <v>1.9</v>
      </c>
      <c r="K2108" t="s">
        <v>1268</v>
      </c>
    </row>
    <row r="2109" spans="1:11" x14ac:dyDescent="0.35">
      <c r="A2109" t="s">
        <v>2120</v>
      </c>
      <c r="B2109">
        <v>5</v>
      </c>
      <c r="C2109">
        <v>128836095</v>
      </c>
      <c r="D2109">
        <v>1</v>
      </c>
      <c r="E2109">
        <v>40737361.740000002</v>
      </c>
      <c r="F2109">
        <v>-52118846.200000003</v>
      </c>
      <c r="G2109">
        <v>1</v>
      </c>
      <c r="H2109">
        <v>2</v>
      </c>
      <c r="I2109">
        <v>4</v>
      </c>
      <c r="J2109">
        <v>1.9</v>
      </c>
      <c r="K2109" t="s">
        <v>1268</v>
      </c>
    </row>
    <row r="2110" spans="1:11" x14ac:dyDescent="0.35">
      <c r="A2110" t="s">
        <v>2121</v>
      </c>
      <c r="B2110">
        <v>5</v>
      </c>
      <c r="C2110">
        <v>42929376.899999999</v>
      </c>
      <c r="D2110">
        <v>1</v>
      </c>
      <c r="E2110">
        <v>28639073.100000001</v>
      </c>
      <c r="F2110">
        <v>-51351917.899999999</v>
      </c>
      <c r="G2110">
        <v>1</v>
      </c>
      <c r="H2110">
        <v>2</v>
      </c>
      <c r="I2110">
        <v>4</v>
      </c>
      <c r="J2110">
        <v>1.9</v>
      </c>
      <c r="K2110" t="s">
        <v>1268</v>
      </c>
    </row>
    <row r="2111" spans="1:11" x14ac:dyDescent="0.35">
      <c r="A2111" t="s">
        <v>2122</v>
      </c>
      <c r="B2111">
        <v>5</v>
      </c>
      <c r="C2111">
        <v>80957129.159999996</v>
      </c>
      <c r="D2111">
        <v>1</v>
      </c>
      <c r="E2111">
        <v>29873342.809999999</v>
      </c>
      <c r="F2111">
        <v>-68161362.700000003</v>
      </c>
      <c r="G2111">
        <v>1</v>
      </c>
      <c r="H2111">
        <v>2</v>
      </c>
      <c r="I2111">
        <v>4</v>
      </c>
      <c r="J2111">
        <v>1.9</v>
      </c>
      <c r="K2111" t="s">
        <v>1268</v>
      </c>
    </row>
    <row r="2112" spans="1:11" x14ac:dyDescent="0.35">
      <c r="A2112" t="s">
        <v>2123</v>
      </c>
      <c r="B2112">
        <v>5</v>
      </c>
      <c r="C2112">
        <v>236080524.59999999</v>
      </c>
      <c r="D2112">
        <v>1</v>
      </c>
      <c r="E2112">
        <v>36838599.259999998</v>
      </c>
      <c r="F2112">
        <v>-55154962.200000003</v>
      </c>
      <c r="G2112">
        <v>1</v>
      </c>
      <c r="H2112">
        <v>2</v>
      </c>
      <c r="I2112">
        <v>4</v>
      </c>
      <c r="J2112">
        <v>1.9</v>
      </c>
      <c r="K2112" t="s">
        <v>1268</v>
      </c>
    </row>
    <row r="2113" spans="1:11" x14ac:dyDescent="0.35">
      <c r="A2113" t="s">
        <v>2124</v>
      </c>
      <c r="B2113">
        <v>5</v>
      </c>
      <c r="C2113">
        <v>75241968.840000004</v>
      </c>
      <c r="D2113">
        <v>1</v>
      </c>
      <c r="E2113">
        <v>44054525.380000003</v>
      </c>
      <c r="F2113">
        <v>-57452971</v>
      </c>
      <c r="G2113">
        <v>1</v>
      </c>
      <c r="H2113">
        <v>2</v>
      </c>
      <c r="I2113">
        <v>4</v>
      </c>
      <c r="J2113">
        <v>1.9</v>
      </c>
      <c r="K2113" t="s">
        <v>1268</v>
      </c>
    </row>
    <row r="2114" spans="1:11" x14ac:dyDescent="0.35">
      <c r="A2114" t="s">
        <v>2125</v>
      </c>
      <c r="B2114">
        <v>5</v>
      </c>
      <c r="C2114">
        <v>31322903.600000001</v>
      </c>
      <c r="D2114">
        <v>1</v>
      </c>
      <c r="E2114">
        <v>8673784.8049999997</v>
      </c>
      <c r="F2114">
        <v>13078793.4</v>
      </c>
      <c r="G2114">
        <v>2</v>
      </c>
      <c r="H2114">
        <v>1</v>
      </c>
      <c r="I2114">
        <v>3</v>
      </c>
      <c r="J2114">
        <v>1.9</v>
      </c>
      <c r="K2114" t="s">
        <v>1268</v>
      </c>
    </row>
    <row r="2115" spans="1:11" x14ac:dyDescent="0.35">
      <c r="A2115" t="s">
        <v>2126</v>
      </c>
      <c r="B2115">
        <v>5</v>
      </c>
      <c r="C2115">
        <v>8404161.5800000001</v>
      </c>
      <c r="D2115">
        <v>0.8</v>
      </c>
      <c r="E2115">
        <v>8200176.4979999997</v>
      </c>
      <c r="F2115">
        <v>14782800</v>
      </c>
      <c r="G2115">
        <v>2</v>
      </c>
      <c r="H2115">
        <v>1</v>
      </c>
      <c r="I2115">
        <v>3</v>
      </c>
      <c r="J2115">
        <v>1.9</v>
      </c>
      <c r="K2115" t="s">
        <v>1268</v>
      </c>
    </row>
    <row r="2116" spans="1:11" x14ac:dyDescent="0.35">
      <c r="A2116" t="s">
        <v>2127</v>
      </c>
      <c r="B2116">
        <v>5</v>
      </c>
      <c r="C2116">
        <v>19073874.920000002</v>
      </c>
      <c r="D2116">
        <v>1</v>
      </c>
      <c r="E2116">
        <v>5672607.9780000001</v>
      </c>
      <c r="F2116">
        <v>14562958.5</v>
      </c>
      <c r="G2116">
        <v>2</v>
      </c>
      <c r="H2116">
        <v>1</v>
      </c>
      <c r="I2116">
        <v>3</v>
      </c>
      <c r="J2116">
        <v>1.9</v>
      </c>
      <c r="K2116" t="s">
        <v>1268</v>
      </c>
    </row>
    <row r="2117" spans="1:11" x14ac:dyDescent="0.35">
      <c r="A2117" t="s">
        <v>2128</v>
      </c>
      <c r="B2117">
        <v>5</v>
      </c>
      <c r="C2117">
        <v>16471093.939999999</v>
      </c>
      <c r="D2117">
        <v>1</v>
      </c>
      <c r="E2117">
        <v>6986321.5800000001</v>
      </c>
      <c r="F2117">
        <v>13856720.4</v>
      </c>
      <c r="G2117">
        <v>2</v>
      </c>
      <c r="H2117">
        <v>1</v>
      </c>
      <c r="I2117">
        <v>3</v>
      </c>
      <c r="J2117">
        <v>1.9</v>
      </c>
      <c r="K2117" t="s">
        <v>1268</v>
      </c>
    </row>
    <row r="2118" spans="1:11" x14ac:dyDescent="0.35">
      <c r="A2118" t="s">
        <v>2129</v>
      </c>
      <c r="B2118">
        <v>5</v>
      </c>
      <c r="C2118">
        <v>72876211.519999996</v>
      </c>
      <c r="D2118">
        <v>1</v>
      </c>
      <c r="E2118">
        <v>6864618.6109999996</v>
      </c>
      <c r="F2118">
        <v>16521530.1</v>
      </c>
      <c r="G2118">
        <v>2</v>
      </c>
      <c r="H2118">
        <v>1</v>
      </c>
      <c r="I2118">
        <v>3</v>
      </c>
      <c r="J2118">
        <v>1.9</v>
      </c>
      <c r="K2118" t="s">
        <v>1268</v>
      </c>
    </row>
    <row r="2119" spans="1:11" x14ac:dyDescent="0.35">
      <c r="A2119" t="s">
        <v>2130</v>
      </c>
      <c r="B2119">
        <v>5</v>
      </c>
      <c r="C2119">
        <v>11628750.199999999</v>
      </c>
      <c r="D2119">
        <v>1</v>
      </c>
      <c r="E2119">
        <v>8125536.477</v>
      </c>
      <c r="F2119">
        <v>15398318.699999999</v>
      </c>
      <c r="G2119">
        <v>2</v>
      </c>
      <c r="H2119">
        <v>1</v>
      </c>
      <c r="I2119">
        <v>3</v>
      </c>
      <c r="J2119">
        <v>1.9</v>
      </c>
      <c r="K2119" t="s">
        <v>1268</v>
      </c>
    </row>
    <row r="2120" spans="1:11" x14ac:dyDescent="0.35">
      <c r="A2120" t="s">
        <v>2131</v>
      </c>
      <c r="B2120">
        <v>5</v>
      </c>
      <c r="C2120">
        <v>2894171.16</v>
      </c>
      <c r="D2120">
        <v>0.8</v>
      </c>
      <c r="E2120">
        <v>3400534.361</v>
      </c>
      <c r="F2120">
        <v>8813011.3000000007</v>
      </c>
      <c r="G2120">
        <v>2</v>
      </c>
      <c r="H2120">
        <v>1</v>
      </c>
      <c r="I2120">
        <v>3</v>
      </c>
      <c r="J2120">
        <v>1.9</v>
      </c>
      <c r="K2120" t="s">
        <v>1268</v>
      </c>
    </row>
    <row r="2121" spans="1:11" x14ac:dyDescent="0.35">
      <c r="A2121" t="s">
        <v>2132</v>
      </c>
      <c r="B2121">
        <v>5</v>
      </c>
      <c r="C2121">
        <v>35670861.020000003</v>
      </c>
      <c r="D2121">
        <v>1</v>
      </c>
      <c r="E2121">
        <v>4675894.0190000003</v>
      </c>
      <c r="F2121">
        <v>8490631.4000000004</v>
      </c>
      <c r="G2121">
        <v>2</v>
      </c>
      <c r="H2121">
        <v>1</v>
      </c>
      <c r="I2121">
        <v>3</v>
      </c>
      <c r="J2121">
        <v>1.9</v>
      </c>
      <c r="K2121" t="s">
        <v>1268</v>
      </c>
    </row>
    <row r="2122" spans="1:11" x14ac:dyDescent="0.35">
      <c r="A2122" t="s">
        <v>2133</v>
      </c>
      <c r="B2122">
        <v>5</v>
      </c>
      <c r="C2122">
        <v>3099776.08</v>
      </c>
      <c r="D2122">
        <v>0.8</v>
      </c>
      <c r="E2122">
        <v>4959217.6390000004</v>
      </c>
      <c r="F2122">
        <v>8476414.1999999993</v>
      </c>
      <c r="G2122">
        <v>2</v>
      </c>
      <c r="H2122">
        <v>1</v>
      </c>
      <c r="I2122">
        <v>3</v>
      </c>
      <c r="J2122">
        <v>1.9</v>
      </c>
      <c r="K2122" t="s">
        <v>1268</v>
      </c>
    </row>
    <row r="2123" spans="1:11" x14ac:dyDescent="0.35">
      <c r="A2123" t="s">
        <v>2134</v>
      </c>
      <c r="B2123">
        <v>5</v>
      </c>
      <c r="C2123">
        <v>2027298.7</v>
      </c>
      <c r="D2123">
        <v>0.8</v>
      </c>
      <c r="E2123">
        <v>9835380.3110000007</v>
      </c>
      <c r="F2123">
        <v>8623313.5</v>
      </c>
      <c r="G2123">
        <v>2</v>
      </c>
      <c r="H2123">
        <v>1</v>
      </c>
      <c r="I2123">
        <v>3</v>
      </c>
      <c r="J2123">
        <v>1.9</v>
      </c>
      <c r="K2123" t="s">
        <v>1268</v>
      </c>
    </row>
    <row r="2124" spans="1:11" x14ac:dyDescent="0.35">
      <c r="A2124" t="s">
        <v>2135</v>
      </c>
      <c r="B2124">
        <v>5</v>
      </c>
      <c r="C2124">
        <v>63364312.399999999</v>
      </c>
      <c r="D2124">
        <v>1</v>
      </c>
      <c r="E2124">
        <v>6169121.6059999997</v>
      </c>
      <c r="F2124">
        <v>9244037.6999999993</v>
      </c>
      <c r="G2124">
        <v>2</v>
      </c>
      <c r="H2124">
        <v>1</v>
      </c>
      <c r="I2124">
        <v>3</v>
      </c>
      <c r="J2124">
        <v>1.9</v>
      </c>
      <c r="K2124" t="s">
        <v>1268</v>
      </c>
    </row>
    <row r="2125" spans="1:11" x14ac:dyDescent="0.35">
      <c r="A2125" t="s">
        <v>2136</v>
      </c>
      <c r="B2125">
        <v>5</v>
      </c>
      <c r="C2125">
        <v>25135836.18</v>
      </c>
      <c r="D2125">
        <v>1</v>
      </c>
      <c r="E2125">
        <v>10734358.189999999</v>
      </c>
      <c r="F2125">
        <v>10167966.800000001</v>
      </c>
      <c r="G2125">
        <v>2</v>
      </c>
      <c r="H2125">
        <v>1</v>
      </c>
      <c r="I2125">
        <v>3</v>
      </c>
      <c r="J2125">
        <v>1.9</v>
      </c>
      <c r="K2125" t="s">
        <v>1268</v>
      </c>
    </row>
    <row r="2126" spans="1:11" x14ac:dyDescent="0.35">
      <c r="A2126" t="s">
        <v>2137</v>
      </c>
      <c r="B2126">
        <v>5</v>
      </c>
      <c r="C2126">
        <v>10596773.300000001</v>
      </c>
      <c r="D2126">
        <v>0.8</v>
      </c>
      <c r="E2126">
        <v>12061513.32</v>
      </c>
      <c r="F2126">
        <v>20364557.100000001</v>
      </c>
      <c r="G2126">
        <v>2</v>
      </c>
      <c r="H2126">
        <v>1</v>
      </c>
      <c r="I2126">
        <v>3</v>
      </c>
      <c r="J2126">
        <v>1.9</v>
      </c>
      <c r="K2126" t="s">
        <v>1268</v>
      </c>
    </row>
    <row r="2127" spans="1:11" x14ac:dyDescent="0.35">
      <c r="A2127" t="s">
        <v>2138</v>
      </c>
      <c r="B2127">
        <v>5</v>
      </c>
      <c r="C2127">
        <v>13717525.26</v>
      </c>
      <c r="D2127">
        <v>1</v>
      </c>
      <c r="E2127">
        <v>12128503.08</v>
      </c>
      <c r="F2127">
        <v>20005063.199999999</v>
      </c>
      <c r="G2127">
        <v>2</v>
      </c>
      <c r="H2127">
        <v>1</v>
      </c>
      <c r="I2127">
        <v>3</v>
      </c>
      <c r="J2127">
        <v>1.9</v>
      </c>
      <c r="K2127" t="s">
        <v>1268</v>
      </c>
    </row>
    <row r="2128" spans="1:11" x14ac:dyDescent="0.35">
      <c r="A2128" t="s">
        <v>2139</v>
      </c>
      <c r="B2128">
        <v>5</v>
      </c>
      <c r="C2128">
        <v>36900726.740000002</v>
      </c>
      <c r="D2128">
        <v>1</v>
      </c>
      <c r="E2128">
        <v>13790508.359999999</v>
      </c>
      <c r="F2128">
        <v>21854202.199999999</v>
      </c>
      <c r="G2128">
        <v>2</v>
      </c>
      <c r="H2128">
        <v>1</v>
      </c>
      <c r="I2128">
        <v>3</v>
      </c>
      <c r="J2128">
        <v>1.9</v>
      </c>
      <c r="K2128" t="s">
        <v>1268</v>
      </c>
    </row>
    <row r="2129" spans="1:11" x14ac:dyDescent="0.35">
      <c r="A2129" t="s">
        <v>2140</v>
      </c>
      <c r="B2129">
        <v>5</v>
      </c>
      <c r="C2129">
        <v>7546058.0800000001</v>
      </c>
      <c r="D2129">
        <v>0.8</v>
      </c>
      <c r="E2129">
        <v>12782165.48</v>
      </c>
      <c r="F2129">
        <v>21472757.399999999</v>
      </c>
      <c r="G2129">
        <v>2</v>
      </c>
      <c r="H2129">
        <v>1</v>
      </c>
      <c r="I2129">
        <v>3</v>
      </c>
      <c r="J2129">
        <v>1.9</v>
      </c>
      <c r="K2129" t="s">
        <v>1268</v>
      </c>
    </row>
    <row r="2130" spans="1:11" x14ac:dyDescent="0.35">
      <c r="A2130" t="s">
        <v>2141</v>
      </c>
      <c r="B2130">
        <v>5</v>
      </c>
      <c r="C2130">
        <v>40472502.719999999</v>
      </c>
      <c r="D2130">
        <v>1</v>
      </c>
      <c r="E2130">
        <v>14670801.84</v>
      </c>
      <c r="F2130">
        <v>25674880.399999999</v>
      </c>
      <c r="G2130">
        <v>2</v>
      </c>
      <c r="H2130">
        <v>1</v>
      </c>
      <c r="I2130">
        <v>3</v>
      </c>
      <c r="J2130">
        <v>1.9</v>
      </c>
      <c r="K2130" t="s">
        <v>1268</v>
      </c>
    </row>
    <row r="2131" spans="1:11" x14ac:dyDescent="0.35">
      <c r="A2131" t="s">
        <v>2142</v>
      </c>
      <c r="B2131">
        <v>5</v>
      </c>
      <c r="C2131">
        <v>28054622.16</v>
      </c>
      <c r="D2131">
        <v>1</v>
      </c>
      <c r="E2131">
        <v>12400134.800000001</v>
      </c>
      <c r="F2131">
        <v>24560488.899999999</v>
      </c>
      <c r="G2131">
        <v>2</v>
      </c>
      <c r="H2131">
        <v>1</v>
      </c>
      <c r="I2131">
        <v>3</v>
      </c>
      <c r="J2131">
        <v>1.9</v>
      </c>
      <c r="K2131" t="s">
        <v>1268</v>
      </c>
    </row>
    <row r="2132" spans="1:11" x14ac:dyDescent="0.35">
      <c r="A2132" t="s">
        <v>2143</v>
      </c>
      <c r="B2132">
        <v>5</v>
      </c>
      <c r="C2132">
        <v>287345975.10000002</v>
      </c>
      <c r="D2132">
        <v>1</v>
      </c>
      <c r="E2132">
        <v>159589773</v>
      </c>
      <c r="F2132">
        <v>211959114.09999999</v>
      </c>
      <c r="G2132">
        <v>1</v>
      </c>
      <c r="H2132">
        <v>4</v>
      </c>
      <c r="I2132">
        <v>1</v>
      </c>
      <c r="J2132">
        <v>1.9</v>
      </c>
      <c r="K2132" t="s">
        <v>1268</v>
      </c>
    </row>
    <row r="2133" spans="1:11" x14ac:dyDescent="0.35">
      <c r="A2133" t="s">
        <v>2144</v>
      </c>
      <c r="B2133">
        <v>5</v>
      </c>
      <c r="C2133">
        <v>394508160</v>
      </c>
      <c r="D2133">
        <v>1</v>
      </c>
      <c r="E2133">
        <v>185988694.80000001</v>
      </c>
      <c r="F2133">
        <v>209736227.30000001</v>
      </c>
      <c r="G2133">
        <v>1</v>
      </c>
      <c r="H2133">
        <v>4</v>
      </c>
      <c r="I2133">
        <v>1</v>
      </c>
      <c r="J2133">
        <v>1.9</v>
      </c>
      <c r="K2133" t="s">
        <v>1268</v>
      </c>
    </row>
    <row r="2134" spans="1:11" x14ac:dyDescent="0.35">
      <c r="A2134" t="s">
        <v>2145</v>
      </c>
      <c r="B2134">
        <v>5</v>
      </c>
      <c r="C2134">
        <v>391609625.80000001</v>
      </c>
      <c r="D2134">
        <v>1</v>
      </c>
      <c r="E2134">
        <v>164844605.80000001</v>
      </c>
      <c r="F2134">
        <v>207033504.80000001</v>
      </c>
      <c r="G2134">
        <v>1</v>
      </c>
      <c r="H2134">
        <v>4</v>
      </c>
      <c r="I2134">
        <v>1</v>
      </c>
      <c r="J2134">
        <v>1.9</v>
      </c>
      <c r="K2134" t="s">
        <v>1268</v>
      </c>
    </row>
    <row r="2135" spans="1:11" x14ac:dyDescent="0.35">
      <c r="A2135" t="s">
        <v>2146</v>
      </c>
      <c r="B2135">
        <v>5</v>
      </c>
      <c r="C2135">
        <v>684584342.89999998</v>
      </c>
      <c r="D2135">
        <v>1</v>
      </c>
      <c r="E2135">
        <v>184525956.69999999</v>
      </c>
      <c r="F2135">
        <v>203349266.90000001</v>
      </c>
      <c r="G2135">
        <v>1</v>
      </c>
      <c r="H2135">
        <v>4</v>
      </c>
      <c r="I2135">
        <v>1</v>
      </c>
      <c r="J2135">
        <v>1.9</v>
      </c>
      <c r="K2135" t="s">
        <v>1268</v>
      </c>
    </row>
    <row r="2136" spans="1:11" x14ac:dyDescent="0.35">
      <c r="A2136" t="s">
        <v>2147</v>
      </c>
      <c r="B2136">
        <v>5</v>
      </c>
      <c r="C2136">
        <v>287919919.5</v>
      </c>
      <c r="D2136">
        <v>1</v>
      </c>
      <c r="E2136">
        <v>145027049.90000001</v>
      </c>
      <c r="F2136">
        <v>201474194.30000001</v>
      </c>
      <c r="G2136">
        <v>1</v>
      </c>
      <c r="H2136">
        <v>4</v>
      </c>
      <c r="I2136">
        <v>1</v>
      </c>
      <c r="J2136">
        <v>1.9</v>
      </c>
      <c r="K2136" t="s">
        <v>1268</v>
      </c>
    </row>
    <row r="2137" spans="1:11" x14ac:dyDescent="0.35">
      <c r="A2137" t="s">
        <v>2148</v>
      </c>
      <c r="B2137">
        <v>5</v>
      </c>
      <c r="C2137">
        <v>1194512504</v>
      </c>
      <c r="D2137">
        <v>1</v>
      </c>
      <c r="E2137">
        <v>196081207.69999999</v>
      </c>
      <c r="F2137">
        <v>220997480</v>
      </c>
      <c r="G2137">
        <v>1</v>
      </c>
      <c r="H2137">
        <v>4</v>
      </c>
      <c r="I2137">
        <v>1</v>
      </c>
      <c r="J2137">
        <v>1.9</v>
      </c>
      <c r="K2137" t="s">
        <v>1268</v>
      </c>
    </row>
    <row r="2138" spans="1:11" x14ac:dyDescent="0.35">
      <c r="A2138" t="s">
        <v>2149</v>
      </c>
      <c r="B2138">
        <v>5</v>
      </c>
      <c r="C2138">
        <v>451932130.80000001</v>
      </c>
      <c r="D2138">
        <v>1</v>
      </c>
      <c r="E2138">
        <v>263822233</v>
      </c>
      <c r="F2138">
        <v>234543647.90000001</v>
      </c>
      <c r="G2138">
        <v>1</v>
      </c>
      <c r="H2138">
        <v>4</v>
      </c>
      <c r="I2138">
        <v>1</v>
      </c>
      <c r="J2138">
        <v>1.9</v>
      </c>
      <c r="K2138" t="s">
        <v>1268</v>
      </c>
    </row>
    <row r="2139" spans="1:11" x14ac:dyDescent="0.35">
      <c r="A2139" t="s">
        <v>2150</v>
      </c>
      <c r="B2139">
        <v>5</v>
      </c>
      <c r="C2139">
        <v>1107752457</v>
      </c>
      <c r="D2139">
        <v>1</v>
      </c>
      <c r="E2139">
        <v>233295482.40000001</v>
      </c>
      <c r="F2139">
        <v>230968464</v>
      </c>
      <c r="G2139">
        <v>1</v>
      </c>
      <c r="H2139">
        <v>4</v>
      </c>
      <c r="I2139">
        <v>1</v>
      </c>
      <c r="J2139">
        <v>1.9</v>
      </c>
      <c r="K2139" t="s">
        <v>1268</v>
      </c>
    </row>
    <row r="2140" spans="1:11" x14ac:dyDescent="0.35">
      <c r="A2140" t="s">
        <v>2151</v>
      </c>
      <c r="B2140">
        <v>5</v>
      </c>
      <c r="C2140">
        <v>363261557.80000001</v>
      </c>
      <c r="D2140">
        <v>1</v>
      </c>
      <c r="E2140">
        <v>142640992.90000001</v>
      </c>
      <c r="F2140">
        <v>243976475</v>
      </c>
      <c r="G2140">
        <v>1</v>
      </c>
      <c r="H2140">
        <v>4</v>
      </c>
      <c r="I2140">
        <v>1</v>
      </c>
      <c r="J2140">
        <v>1.9</v>
      </c>
      <c r="K2140" t="s">
        <v>1268</v>
      </c>
    </row>
    <row r="2141" spans="1:11" x14ac:dyDescent="0.35">
      <c r="A2141" t="s">
        <v>2152</v>
      </c>
      <c r="B2141">
        <v>5</v>
      </c>
      <c r="C2141">
        <v>239877854.59999999</v>
      </c>
      <c r="D2141">
        <v>1</v>
      </c>
      <c r="E2141">
        <v>135419011.5</v>
      </c>
      <c r="F2141">
        <v>265490743.90000001</v>
      </c>
      <c r="G2141">
        <v>1</v>
      </c>
      <c r="H2141">
        <v>4</v>
      </c>
      <c r="I2141">
        <v>1</v>
      </c>
      <c r="J2141">
        <v>1.9</v>
      </c>
      <c r="K2141" t="s">
        <v>1268</v>
      </c>
    </row>
    <row r="2142" spans="1:11" x14ac:dyDescent="0.35">
      <c r="A2142" t="s">
        <v>2153</v>
      </c>
      <c r="B2142">
        <v>5</v>
      </c>
      <c r="C2142">
        <v>155245482.80000001</v>
      </c>
      <c r="D2142">
        <v>1</v>
      </c>
      <c r="E2142">
        <v>133922030.09999999</v>
      </c>
      <c r="F2142">
        <v>263769784.09999999</v>
      </c>
      <c r="G2142">
        <v>1</v>
      </c>
      <c r="H2142">
        <v>4</v>
      </c>
      <c r="I2142">
        <v>1</v>
      </c>
      <c r="J2142">
        <v>1.9</v>
      </c>
      <c r="K2142" t="s">
        <v>1268</v>
      </c>
    </row>
    <row r="2143" spans="1:11" x14ac:dyDescent="0.35">
      <c r="A2143" t="s">
        <v>2154</v>
      </c>
      <c r="B2143">
        <v>5</v>
      </c>
      <c r="C2143">
        <v>442638847.39999998</v>
      </c>
      <c r="D2143">
        <v>1</v>
      </c>
      <c r="E2143">
        <v>194570755.30000001</v>
      </c>
      <c r="F2143">
        <v>262989521.09999999</v>
      </c>
      <c r="G2143">
        <v>1</v>
      </c>
      <c r="H2143">
        <v>4</v>
      </c>
      <c r="I2143">
        <v>1</v>
      </c>
      <c r="J2143">
        <v>1.9</v>
      </c>
      <c r="K2143" t="s">
        <v>1268</v>
      </c>
    </row>
    <row r="2144" spans="1:11" x14ac:dyDescent="0.35">
      <c r="A2144" t="s">
        <v>2155</v>
      </c>
      <c r="B2144">
        <v>5</v>
      </c>
      <c r="C2144">
        <v>252844919.5</v>
      </c>
      <c r="D2144">
        <v>1</v>
      </c>
      <c r="E2144">
        <v>144643661.5</v>
      </c>
      <c r="F2144">
        <v>254697311</v>
      </c>
      <c r="G2144">
        <v>1</v>
      </c>
      <c r="H2144">
        <v>4</v>
      </c>
      <c r="I2144">
        <v>1</v>
      </c>
      <c r="J2144">
        <v>1.9</v>
      </c>
      <c r="K2144" t="s">
        <v>1268</v>
      </c>
    </row>
    <row r="2145" spans="1:11" x14ac:dyDescent="0.35">
      <c r="A2145" t="s">
        <v>2156</v>
      </c>
      <c r="B2145">
        <v>5</v>
      </c>
      <c r="C2145">
        <v>2233919815</v>
      </c>
      <c r="D2145">
        <v>1</v>
      </c>
      <c r="E2145">
        <v>243807820.69999999</v>
      </c>
      <c r="F2145">
        <v>267270600</v>
      </c>
      <c r="G2145">
        <v>1</v>
      </c>
      <c r="H2145">
        <v>4</v>
      </c>
      <c r="I2145">
        <v>1</v>
      </c>
      <c r="J2145">
        <v>1.9</v>
      </c>
      <c r="K2145" t="s">
        <v>1268</v>
      </c>
    </row>
    <row r="2146" spans="1:11" x14ac:dyDescent="0.35">
      <c r="A2146" t="s">
        <v>2157</v>
      </c>
      <c r="B2146">
        <v>5</v>
      </c>
      <c r="C2146">
        <v>343461816.30000001</v>
      </c>
      <c r="D2146">
        <v>1</v>
      </c>
      <c r="E2146">
        <v>278927794.60000002</v>
      </c>
      <c r="F2146">
        <v>276640563.19999999</v>
      </c>
      <c r="G2146">
        <v>1</v>
      </c>
      <c r="H2146">
        <v>4</v>
      </c>
      <c r="I2146">
        <v>1</v>
      </c>
      <c r="J2146">
        <v>1.9</v>
      </c>
      <c r="K2146" t="s">
        <v>1268</v>
      </c>
    </row>
    <row r="2147" spans="1:11" x14ac:dyDescent="0.35">
      <c r="A2147" t="s">
        <v>2158</v>
      </c>
      <c r="B2147">
        <v>5</v>
      </c>
      <c r="C2147">
        <v>165592093.09999999</v>
      </c>
      <c r="D2147">
        <v>1</v>
      </c>
      <c r="E2147">
        <v>120447730.59999999</v>
      </c>
      <c r="F2147">
        <v>278131708.5</v>
      </c>
      <c r="G2147">
        <v>1</v>
      </c>
      <c r="H2147">
        <v>4</v>
      </c>
      <c r="I2147">
        <v>1</v>
      </c>
      <c r="J2147">
        <v>1.9</v>
      </c>
      <c r="K2147" t="s">
        <v>1268</v>
      </c>
    </row>
    <row r="2148" spans="1:11" x14ac:dyDescent="0.35">
      <c r="A2148" t="s">
        <v>2159</v>
      </c>
      <c r="B2148">
        <v>5</v>
      </c>
      <c r="C2148">
        <v>250895588.09999999</v>
      </c>
      <c r="D2148">
        <v>1</v>
      </c>
      <c r="E2148">
        <v>129722783.2</v>
      </c>
      <c r="F2148">
        <v>302755922.80000001</v>
      </c>
      <c r="G2148">
        <v>1</v>
      </c>
      <c r="H2148">
        <v>4</v>
      </c>
      <c r="I2148">
        <v>1</v>
      </c>
      <c r="J2148">
        <v>1.9</v>
      </c>
      <c r="K2148" t="s">
        <v>1268</v>
      </c>
    </row>
    <row r="2149" spans="1:11" x14ac:dyDescent="0.35">
      <c r="A2149" t="s">
        <v>2160</v>
      </c>
      <c r="B2149">
        <v>5</v>
      </c>
      <c r="C2149">
        <v>501413770.69999999</v>
      </c>
      <c r="D2149">
        <v>1</v>
      </c>
      <c r="E2149">
        <v>306090582</v>
      </c>
      <c r="F2149">
        <v>303605993.39999998</v>
      </c>
      <c r="G2149">
        <v>1</v>
      </c>
      <c r="H2149">
        <v>4</v>
      </c>
      <c r="I2149">
        <v>1</v>
      </c>
      <c r="J2149">
        <v>1.9</v>
      </c>
      <c r="K2149" t="s">
        <v>1268</v>
      </c>
    </row>
    <row r="2150" spans="1:11" x14ac:dyDescent="0.35">
      <c r="A2150" t="s">
        <v>2161</v>
      </c>
      <c r="B2150">
        <v>5</v>
      </c>
      <c r="C2150">
        <v>373180444.10000002</v>
      </c>
      <c r="D2150">
        <v>1</v>
      </c>
      <c r="E2150">
        <v>178044380.90000001</v>
      </c>
      <c r="F2150">
        <v>303029056.10000002</v>
      </c>
      <c r="G2150">
        <v>1</v>
      </c>
      <c r="H2150">
        <v>4</v>
      </c>
      <c r="I2150">
        <v>1</v>
      </c>
      <c r="J2150">
        <v>1.9</v>
      </c>
      <c r="K2150" t="s">
        <v>1268</v>
      </c>
    </row>
    <row r="2151" spans="1:11" x14ac:dyDescent="0.35">
      <c r="A2151" t="s">
        <v>2162</v>
      </c>
      <c r="B2151">
        <v>5</v>
      </c>
      <c r="C2151">
        <v>1270544065</v>
      </c>
      <c r="D2151">
        <v>1</v>
      </c>
      <c r="E2151">
        <v>308128237.30000001</v>
      </c>
      <c r="F2151">
        <v>299355255</v>
      </c>
      <c r="G2151">
        <v>1</v>
      </c>
      <c r="H2151">
        <v>4</v>
      </c>
      <c r="I2151">
        <v>1</v>
      </c>
      <c r="J2151">
        <v>1.9</v>
      </c>
      <c r="K2151" t="s">
        <v>1268</v>
      </c>
    </row>
    <row r="2152" spans="1:11" x14ac:dyDescent="0.35">
      <c r="A2152" t="s">
        <v>2163</v>
      </c>
      <c r="B2152">
        <v>5</v>
      </c>
      <c r="C2152">
        <v>238055016.19999999</v>
      </c>
      <c r="D2152">
        <v>1</v>
      </c>
      <c r="E2152">
        <v>172520813.90000001</v>
      </c>
      <c r="F2152">
        <v>399432735.60000002</v>
      </c>
      <c r="G2152">
        <v>1</v>
      </c>
      <c r="H2152">
        <v>4</v>
      </c>
      <c r="I2152">
        <v>1</v>
      </c>
      <c r="J2152">
        <v>1.9</v>
      </c>
      <c r="K2152" t="s">
        <v>1268</v>
      </c>
    </row>
    <row r="2153" spans="1:11" x14ac:dyDescent="0.35">
      <c r="A2153" t="s">
        <v>2164</v>
      </c>
      <c r="B2153">
        <v>5</v>
      </c>
      <c r="C2153">
        <v>659121835.70000005</v>
      </c>
      <c r="D2153">
        <v>1</v>
      </c>
      <c r="E2153">
        <v>158486383.5</v>
      </c>
      <c r="F2153">
        <v>403731331</v>
      </c>
      <c r="G2153">
        <v>1</v>
      </c>
      <c r="H2153">
        <v>4</v>
      </c>
      <c r="I2153">
        <v>1</v>
      </c>
      <c r="J2153">
        <v>1.9</v>
      </c>
      <c r="K2153" t="s">
        <v>1268</v>
      </c>
    </row>
    <row r="2154" spans="1:11" x14ac:dyDescent="0.35">
      <c r="A2154" t="s">
        <v>2165</v>
      </c>
      <c r="B2154">
        <v>5</v>
      </c>
      <c r="C2154">
        <v>449861783.69999999</v>
      </c>
      <c r="D2154">
        <v>1</v>
      </c>
      <c r="E2154">
        <v>232777252.30000001</v>
      </c>
      <c r="F2154">
        <v>400630555.69999999</v>
      </c>
      <c r="G2154">
        <v>1</v>
      </c>
      <c r="H2154">
        <v>4</v>
      </c>
      <c r="I2154">
        <v>1</v>
      </c>
      <c r="J2154">
        <v>1.9</v>
      </c>
      <c r="K2154" t="s">
        <v>1268</v>
      </c>
    </row>
    <row r="2155" spans="1:11" x14ac:dyDescent="0.35">
      <c r="A2155" t="s">
        <v>2166</v>
      </c>
      <c r="B2155">
        <v>5</v>
      </c>
      <c r="C2155">
        <v>974965133.89999998</v>
      </c>
      <c r="D2155">
        <v>1</v>
      </c>
      <c r="E2155">
        <v>153007976.5</v>
      </c>
      <c r="F2155">
        <v>371301664.19999999</v>
      </c>
      <c r="G2155">
        <v>1</v>
      </c>
      <c r="H2155">
        <v>4</v>
      </c>
      <c r="I2155">
        <v>1</v>
      </c>
      <c r="J2155">
        <v>1.9</v>
      </c>
      <c r="K2155" t="s">
        <v>1268</v>
      </c>
    </row>
    <row r="2156" spans="1:11" x14ac:dyDescent="0.35">
      <c r="A2156" t="s">
        <v>2167</v>
      </c>
      <c r="B2156">
        <v>5</v>
      </c>
      <c r="C2156">
        <v>302128729.89999998</v>
      </c>
      <c r="D2156">
        <v>1</v>
      </c>
      <c r="E2156">
        <v>149848821.59999999</v>
      </c>
      <c r="F2156">
        <v>370466191.80000001</v>
      </c>
      <c r="G2156">
        <v>1</v>
      </c>
      <c r="H2156">
        <v>4</v>
      </c>
      <c r="I2156">
        <v>1</v>
      </c>
      <c r="J2156">
        <v>1.9</v>
      </c>
      <c r="K2156" t="s">
        <v>1268</v>
      </c>
    </row>
    <row r="2157" spans="1:11" x14ac:dyDescent="0.35">
      <c r="A2157" t="s">
        <v>2168</v>
      </c>
      <c r="B2157">
        <v>5</v>
      </c>
      <c r="C2157">
        <v>1017671413</v>
      </c>
      <c r="D2157">
        <v>1</v>
      </c>
      <c r="E2157">
        <v>173550157.30000001</v>
      </c>
      <c r="F2157">
        <v>425794098.39999998</v>
      </c>
      <c r="G2157">
        <v>1</v>
      </c>
      <c r="H2157">
        <v>4</v>
      </c>
      <c r="I2157">
        <v>1</v>
      </c>
      <c r="J2157">
        <v>1.9</v>
      </c>
      <c r="K2157" t="s">
        <v>1268</v>
      </c>
    </row>
    <row r="2158" spans="1:11" x14ac:dyDescent="0.35">
      <c r="A2158" t="s">
        <v>2169</v>
      </c>
      <c r="B2158">
        <v>5</v>
      </c>
      <c r="C2158">
        <v>601571013.29999995</v>
      </c>
      <c r="D2158">
        <v>1</v>
      </c>
      <c r="E2158">
        <v>213404457.69999999</v>
      </c>
      <c r="F2158">
        <v>425785694.89999998</v>
      </c>
      <c r="G2158">
        <v>1</v>
      </c>
      <c r="H2158">
        <v>4</v>
      </c>
      <c r="I2158">
        <v>1</v>
      </c>
      <c r="J2158">
        <v>1.9</v>
      </c>
      <c r="K2158" t="s">
        <v>1268</v>
      </c>
    </row>
    <row r="2159" spans="1:11" x14ac:dyDescent="0.35">
      <c r="A2159" t="s">
        <v>2170</v>
      </c>
      <c r="B2159">
        <v>5</v>
      </c>
      <c r="C2159">
        <v>463483554.69999999</v>
      </c>
      <c r="D2159">
        <v>1</v>
      </c>
      <c r="E2159">
        <v>235764303.09999999</v>
      </c>
      <c r="F2159">
        <v>438723568.80000001</v>
      </c>
      <c r="G2159">
        <v>1</v>
      </c>
      <c r="H2159">
        <v>4</v>
      </c>
      <c r="I2159">
        <v>1</v>
      </c>
      <c r="J2159">
        <v>1.9</v>
      </c>
      <c r="K2159" t="s">
        <v>1268</v>
      </c>
    </row>
    <row r="2160" spans="1:11" x14ac:dyDescent="0.35">
      <c r="A2160" t="s">
        <v>2171</v>
      </c>
      <c r="B2160">
        <v>5</v>
      </c>
      <c r="C2160">
        <v>882296782.39999998</v>
      </c>
      <c r="D2160">
        <v>1</v>
      </c>
      <c r="E2160">
        <v>283447809.60000002</v>
      </c>
      <c r="F2160">
        <v>422141305.69999999</v>
      </c>
      <c r="G2160">
        <v>1</v>
      </c>
      <c r="H2160">
        <v>4</v>
      </c>
      <c r="I2160">
        <v>1</v>
      </c>
      <c r="J2160">
        <v>1.9</v>
      </c>
      <c r="K2160" t="s">
        <v>1268</v>
      </c>
    </row>
    <row r="2161" spans="1:11" x14ac:dyDescent="0.35">
      <c r="A2161" t="s">
        <v>2172</v>
      </c>
      <c r="B2161">
        <v>5</v>
      </c>
      <c r="C2161">
        <v>594249175.5</v>
      </c>
      <c r="D2161">
        <v>1</v>
      </c>
      <c r="E2161">
        <v>167555970.19999999</v>
      </c>
      <c r="F2161">
        <v>421140515.60000002</v>
      </c>
      <c r="G2161">
        <v>1</v>
      </c>
      <c r="H2161">
        <v>4</v>
      </c>
      <c r="I2161">
        <v>1</v>
      </c>
      <c r="J2161">
        <v>1.9</v>
      </c>
      <c r="K2161" t="s">
        <v>1268</v>
      </c>
    </row>
    <row r="2162" spans="1:11" x14ac:dyDescent="0.35">
      <c r="A2162" t="s">
        <v>2173</v>
      </c>
      <c r="B2162">
        <v>5</v>
      </c>
      <c r="C2162">
        <v>386545292.19999999</v>
      </c>
      <c r="D2162">
        <v>1</v>
      </c>
      <c r="E2162">
        <v>188259762</v>
      </c>
      <c r="F2162">
        <v>419893635.10000002</v>
      </c>
      <c r="G2162">
        <v>1</v>
      </c>
      <c r="H2162">
        <v>4</v>
      </c>
      <c r="I2162">
        <v>1</v>
      </c>
      <c r="J2162">
        <v>1.9</v>
      </c>
      <c r="K2162" t="s">
        <v>1268</v>
      </c>
    </row>
    <row r="2163" spans="1:11" x14ac:dyDescent="0.35">
      <c r="A2163" t="s">
        <v>2174</v>
      </c>
      <c r="B2163">
        <v>5</v>
      </c>
      <c r="C2163">
        <v>670464909.60000002</v>
      </c>
      <c r="D2163">
        <v>1</v>
      </c>
      <c r="E2163">
        <v>217154705</v>
      </c>
      <c r="F2163">
        <v>419229582.80000001</v>
      </c>
      <c r="G2163">
        <v>1</v>
      </c>
      <c r="H2163">
        <v>4</v>
      </c>
      <c r="I2163">
        <v>1</v>
      </c>
      <c r="J2163">
        <v>1.9</v>
      </c>
      <c r="K2163" t="s">
        <v>1268</v>
      </c>
    </row>
    <row r="2164" spans="1:11" x14ac:dyDescent="0.35">
      <c r="A2164" t="s">
        <v>2175</v>
      </c>
      <c r="B2164">
        <v>5</v>
      </c>
      <c r="C2164">
        <v>342013983.39999998</v>
      </c>
      <c r="D2164">
        <v>1</v>
      </c>
      <c r="E2164">
        <v>193218122.59999999</v>
      </c>
      <c r="F2164">
        <v>417733093.80000001</v>
      </c>
      <c r="G2164">
        <v>1</v>
      </c>
      <c r="H2164">
        <v>4</v>
      </c>
      <c r="I2164">
        <v>1</v>
      </c>
      <c r="J2164">
        <v>1.9</v>
      </c>
      <c r="K2164" t="s">
        <v>1268</v>
      </c>
    </row>
    <row r="2165" spans="1:11" x14ac:dyDescent="0.35">
      <c r="A2165" t="s">
        <v>2176</v>
      </c>
      <c r="B2165">
        <v>5</v>
      </c>
      <c r="C2165">
        <v>479009800.69999999</v>
      </c>
      <c r="D2165">
        <v>1</v>
      </c>
      <c r="E2165">
        <v>203185036.80000001</v>
      </c>
      <c r="F2165">
        <v>408127408.5</v>
      </c>
      <c r="G2165">
        <v>1</v>
      </c>
      <c r="H2165">
        <v>4</v>
      </c>
      <c r="I2165">
        <v>1</v>
      </c>
      <c r="J2165">
        <v>1.9</v>
      </c>
      <c r="K2165" t="s">
        <v>1268</v>
      </c>
    </row>
    <row r="2166" spans="1:11" x14ac:dyDescent="0.35">
      <c r="A2166" t="s">
        <v>2177</v>
      </c>
      <c r="B2166">
        <v>5</v>
      </c>
      <c r="C2166">
        <v>579082536.39999998</v>
      </c>
      <c r="D2166">
        <v>1</v>
      </c>
      <c r="E2166">
        <v>273326351.39999998</v>
      </c>
      <c r="F2166">
        <v>329810128.89999998</v>
      </c>
      <c r="G2166">
        <v>1</v>
      </c>
      <c r="H2166">
        <v>4</v>
      </c>
      <c r="I2166">
        <v>1</v>
      </c>
      <c r="J2166">
        <v>1.9</v>
      </c>
      <c r="K2166" t="s">
        <v>1268</v>
      </c>
    </row>
    <row r="2167" spans="1:11" x14ac:dyDescent="0.35">
      <c r="A2167" t="s">
        <v>2178</v>
      </c>
      <c r="B2167">
        <v>5</v>
      </c>
      <c r="C2167">
        <v>560720183.29999995</v>
      </c>
      <c r="D2167">
        <v>1</v>
      </c>
      <c r="E2167">
        <v>139518162.30000001</v>
      </c>
      <c r="F2167">
        <v>328858201.69999999</v>
      </c>
      <c r="G2167">
        <v>1</v>
      </c>
      <c r="H2167">
        <v>4</v>
      </c>
      <c r="I2167">
        <v>1</v>
      </c>
      <c r="J2167">
        <v>1.9</v>
      </c>
      <c r="K2167" t="s">
        <v>1268</v>
      </c>
    </row>
    <row r="2168" spans="1:11" x14ac:dyDescent="0.35">
      <c r="A2168" t="s">
        <v>2179</v>
      </c>
      <c r="B2168">
        <v>5</v>
      </c>
      <c r="C2168">
        <v>912484084.70000005</v>
      </c>
      <c r="D2168">
        <v>1</v>
      </c>
      <c r="E2168">
        <v>191903052.5</v>
      </c>
      <c r="F2168">
        <v>326225727.19999999</v>
      </c>
      <c r="G2168">
        <v>1</v>
      </c>
      <c r="H2168">
        <v>4</v>
      </c>
      <c r="I2168">
        <v>1</v>
      </c>
      <c r="J2168">
        <v>1.9</v>
      </c>
      <c r="K2168" t="s">
        <v>1268</v>
      </c>
    </row>
    <row r="2169" spans="1:11" x14ac:dyDescent="0.35">
      <c r="A2169" t="s">
        <v>2180</v>
      </c>
      <c r="B2169">
        <v>5</v>
      </c>
      <c r="C2169">
        <v>525137726.39999998</v>
      </c>
      <c r="D2169">
        <v>1</v>
      </c>
      <c r="E2169">
        <v>200827147.40000001</v>
      </c>
      <c r="F2169">
        <v>315257987</v>
      </c>
      <c r="G2169">
        <v>1</v>
      </c>
      <c r="H2169">
        <v>4</v>
      </c>
      <c r="I2169">
        <v>1</v>
      </c>
      <c r="J2169">
        <v>1.9</v>
      </c>
      <c r="K2169" t="s">
        <v>1268</v>
      </c>
    </row>
    <row r="2170" spans="1:11" x14ac:dyDescent="0.35">
      <c r="A2170" t="s">
        <v>2181</v>
      </c>
      <c r="B2170">
        <v>5</v>
      </c>
      <c r="C2170">
        <v>210171298.30000001</v>
      </c>
      <c r="D2170">
        <v>1</v>
      </c>
      <c r="E2170">
        <v>146304659.90000001</v>
      </c>
      <c r="F2170">
        <v>314537025.19999999</v>
      </c>
      <c r="G2170">
        <v>1</v>
      </c>
      <c r="H2170">
        <v>4</v>
      </c>
      <c r="I2170">
        <v>1</v>
      </c>
      <c r="J2170">
        <v>1.9</v>
      </c>
      <c r="K2170" t="s">
        <v>1268</v>
      </c>
    </row>
    <row r="2171" spans="1:11" x14ac:dyDescent="0.35">
      <c r="A2171" t="s">
        <v>2182</v>
      </c>
      <c r="B2171">
        <v>5</v>
      </c>
      <c r="C2171">
        <v>967993363.89999998</v>
      </c>
      <c r="D2171">
        <v>1</v>
      </c>
      <c r="E2171">
        <v>133552739.59999999</v>
      </c>
      <c r="F2171">
        <v>321290965.30000001</v>
      </c>
      <c r="G2171">
        <v>1</v>
      </c>
      <c r="H2171">
        <v>4</v>
      </c>
      <c r="I2171">
        <v>1</v>
      </c>
      <c r="J2171">
        <v>1.9</v>
      </c>
      <c r="K2171" t="s">
        <v>1268</v>
      </c>
    </row>
    <row r="2172" spans="1:11" x14ac:dyDescent="0.35">
      <c r="A2172" t="s">
        <v>2183</v>
      </c>
      <c r="B2172">
        <v>5</v>
      </c>
      <c r="C2172">
        <v>892766251</v>
      </c>
      <c r="D2172">
        <v>1</v>
      </c>
      <c r="E2172">
        <v>178374995.30000001</v>
      </c>
      <c r="F2172">
        <v>320910890.5</v>
      </c>
      <c r="G2172">
        <v>1</v>
      </c>
      <c r="H2172">
        <v>4</v>
      </c>
      <c r="I2172">
        <v>1</v>
      </c>
      <c r="J2172">
        <v>1.9</v>
      </c>
      <c r="K2172" t="s">
        <v>1268</v>
      </c>
    </row>
    <row r="2173" spans="1:11" x14ac:dyDescent="0.35">
      <c r="A2173" t="s">
        <v>2184</v>
      </c>
      <c r="B2173">
        <v>5</v>
      </c>
      <c r="C2173">
        <v>496979978.69999999</v>
      </c>
      <c r="D2173">
        <v>1</v>
      </c>
      <c r="E2173">
        <v>227545091.19999999</v>
      </c>
      <c r="F2173">
        <v>310793501.19999999</v>
      </c>
      <c r="G2173">
        <v>1</v>
      </c>
      <c r="H2173">
        <v>4</v>
      </c>
      <c r="I2173">
        <v>1</v>
      </c>
      <c r="J2173">
        <v>1.9</v>
      </c>
      <c r="K2173" t="s">
        <v>1268</v>
      </c>
    </row>
    <row r="2174" spans="1:11" x14ac:dyDescent="0.35">
      <c r="A2174" t="s">
        <v>2185</v>
      </c>
      <c r="B2174">
        <v>5</v>
      </c>
      <c r="C2174">
        <v>1449785219</v>
      </c>
      <c r="D2174">
        <v>1</v>
      </c>
      <c r="E2174">
        <v>247587567</v>
      </c>
      <c r="F2174">
        <v>308080080</v>
      </c>
      <c r="G2174">
        <v>1</v>
      </c>
      <c r="H2174">
        <v>4</v>
      </c>
      <c r="I2174">
        <v>1</v>
      </c>
      <c r="J2174">
        <v>1.9</v>
      </c>
      <c r="K2174" t="s">
        <v>1268</v>
      </c>
    </row>
    <row r="2175" spans="1:11" x14ac:dyDescent="0.35">
      <c r="A2175" t="s">
        <v>2186</v>
      </c>
      <c r="B2175">
        <v>5</v>
      </c>
      <c r="C2175">
        <v>1035836164</v>
      </c>
      <c r="D2175">
        <v>1</v>
      </c>
      <c r="E2175">
        <v>125435222.8</v>
      </c>
      <c r="F2175">
        <v>307094010.80000001</v>
      </c>
      <c r="G2175">
        <v>1</v>
      </c>
      <c r="H2175">
        <v>4</v>
      </c>
      <c r="I2175">
        <v>1</v>
      </c>
      <c r="J2175">
        <v>1.9</v>
      </c>
      <c r="K2175" t="s">
        <v>1268</v>
      </c>
    </row>
    <row r="2176" spans="1:11" x14ac:dyDescent="0.35">
      <c r="A2176" t="s">
        <v>2187</v>
      </c>
      <c r="B2176">
        <v>5</v>
      </c>
      <c r="C2176">
        <v>943571869.5</v>
      </c>
      <c r="D2176">
        <v>1</v>
      </c>
      <c r="E2176">
        <v>169485178.69999999</v>
      </c>
      <c r="F2176">
        <v>367548377.69999999</v>
      </c>
      <c r="G2176">
        <v>1</v>
      </c>
      <c r="H2176">
        <v>4</v>
      </c>
      <c r="I2176">
        <v>1</v>
      </c>
      <c r="J2176">
        <v>1.9</v>
      </c>
      <c r="K2176" t="s">
        <v>1268</v>
      </c>
    </row>
    <row r="2177" spans="1:11" x14ac:dyDescent="0.35">
      <c r="A2177" t="s">
        <v>2188</v>
      </c>
      <c r="B2177">
        <v>5</v>
      </c>
      <c r="C2177">
        <v>672821657.79999995</v>
      </c>
      <c r="D2177">
        <v>1</v>
      </c>
      <c r="E2177">
        <v>131992065</v>
      </c>
      <c r="F2177">
        <v>346953449.69999999</v>
      </c>
      <c r="G2177">
        <v>1</v>
      </c>
      <c r="H2177">
        <v>4</v>
      </c>
      <c r="I2177">
        <v>1</v>
      </c>
      <c r="J2177">
        <v>1.9</v>
      </c>
      <c r="K2177" t="s">
        <v>1268</v>
      </c>
    </row>
    <row r="2178" spans="1:11" x14ac:dyDescent="0.35">
      <c r="A2178" t="s">
        <v>2189</v>
      </c>
      <c r="B2178">
        <v>5</v>
      </c>
      <c r="C2178">
        <v>1227964194</v>
      </c>
      <c r="D2178">
        <v>1</v>
      </c>
      <c r="E2178">
        <v>328209806.10000002</v>
      </c>
      <c r="F2178">
        <v>676346093.20000005</v>
      </c>
      <c r="G2178">
        <v>1</v>
      </c>
      <c r="H2178">
        <v>4</v>
      </c>
      <c r="I2178">
        <v>1</v>
      </c>
      <c r="J2178">
        <v>1.9</v>
      </c>
      <c r="K2178" t="s">
        <v>1268</v>
      </c>
    </row>
    <row r="2179" spans="1:11" x14ac:dyDescent="0.35">
      <c r="A2179" t="s">
        <v>2190</v>
      </c>
      <c r="B2179">
        <v>5</v>
      </c>
      <c r="C2179">
        <v>777297671.79999995</v>
      </c>
      <c r="D2179">
        <v>1</v>
      </c>
      <c r="E2179">
        <v>263180916.90000001</v>
      </c>
      <c r="F2179">
        <v>644708301.70000005</v>
      </c>
      <c r="G2179">
        <v>1</v>
      </c>
      <c r="H2179">
        <v>4</v>
      </c>
      <c r="I2179">
        <v>1</v>
      </c>
      <c r="J2179">
        <v>1.9</v>
      </c>
      <c r="K2179" t="s">
        <v>1268</v>
      </c>
    </row>
    <row r="2180" spans="1:11" x14ac:dyDescent="0.35">
      <c r="A2180" t="s">
        <v>2191</v>
      </c>
      <c r="B2180">
        <v>5</v>
      </c>
      <c r="C2180">
        <v>496604392.39999998</v>
      </c>
      <c r="D2180">
        <v>1</v>
      </c>
      <c r="E2180">
        <v>282424918.5</v>
      </c>
      <c r="F2180">
        <v>639510979.20000005</v>
      </c>
      <c r="G2180">
        <v>1</v>
      </c>
      <c r="H2180">
        <v>4</v>
      </c>
      <c r="I2180">
        <v>1</v>
      </c>
      <c r="J2180">
        <v>1.9</v>
      </c>
      <c r="K2180" t="s">
        <v>1268</v>
      </c>
    </row>
    <row r="2181" spans="1:11" x14ac:dyDescent="0.35">
      <c r="A2181" t="s">
        <v>2192</v>
      </c>
      <c r="B2181">
        <v>5</v>
      </c>
      <c r="C2181">
        <v>373779231.80000001</v>
      </c>
      <c r="D2181">
        <v>1</v>
      </c>
      <c r="E2181">
        <v>260387652.5</v>
      </c>
      <c r="F2181">
        <v>537940716</v>
      </c>
      <c r="G2181">
        <v>1</v>
      </c>
      <c r="H2181">
        <v>4</v>
      </c>
      <c r="I2181">
        <v>1</v>
      </c>
      <c r="J2181">
        <v>1.9</v>
      </c>
      <c r="K2181" t="s">
        <v>1268</v>
      </c>
    </row>
    <row r="2182" spans="1:11" x14ac:dyDescent="0.35">
      <c r="A2182" t="s">
        <v>2193</v>
      </c>
      <c r="B2182">
        <v>5</v>
      </c>
      <c r="C2182">
        <v>584189913.10000002</v>
      </c>
      <c r="D2182">
        <v>1</v>
      </c>
      <c r="E2182">
        <v>305845910.10000002</v>
      </c>
      <c r="F2182">
        <v>607029346</v>
      </c>
      <c r="G2182">
        <v>1</v>
      </c>
      <c r="H2182">
        <v>4</v>
      </c>
      <c r="I2182">
        <v>1</v>
      </c>
      <c r="J2182">
        <v>1.9</v>
      </c>
      <c r="K2182" t="s">
        <v>1268</v>
      </c>
    </row>
    <row r="2183" spans="1:11" x14ac:dyDescent="0.35">
      <c r="A2183" t="s">
        <v>2194</v>
      </c>
      <c r="B2183">
        <v>5</v>
      </c>
      <c r="C2183">
        <v>906061117.70000005</v>
      </c>
      <c r="D2183">
        <v>1</v>
      </c>
      <c r="E2183">
        <v>269578135.89999998</v>
      </c>
      <c r="F2183">
        <v>600049469.20000005</v>
      </c>
      <c r="G2183">
        <v>1</v>
      </c>
      <c r="H2183">
        <v>4</v>
      </c>
      <c r="I2183">
        <v>1</v>
      </c>
      <c r="J2183">
        <v>1.9</v>
      </c>
      <c r="K2183" t="s">
        <v>1268</v>
      </c>
    </row>
    <row r="2184" spans="1:11" x14ac:dyDescent="0.35">
      <c r="A2184" t="s">
        <v>2195</v>
      </c>
      <c r="B2184">
        <v>5</v>
      </c>
      <c r="C2184">
        <v>855057755.70000005</v>
      </c>
      <c r="D2184">
        <v>1</v>
      </c>
      <c r="E2184">
        <v>242964642.40000001</v>
      </c>
      <c r="F2184">
        <v>462076695.89999998</v>
      </c>
      <c r="G2184">
        <v>1</v>
      </c>
      <c r="H2184">
        <v>4</v>
      </c>
      <c r="I2184">
        <v>1</v>
      </c>
      <c r="J2184">
        <v>1.9</v>
      </c>
      <c r="K2184" t="s">
        <v>1268</v>
      </c>
    </row>
    <row r="2185" spans="1:11" x14ac:dyDescent="0.35">
      <c r="A2185" t="s">
        <v>2196</v>
      </c>
      <c r="B2185">
        <v>5</v>
      </c>
      <c r="C2185">
        <v>491120958.10000002</v>
      </c>
      <c r="D2185">
        <v>1</v>
      </c>
      <c r="E2185">
        <v>190076244.80000001</v>
      </c>
      <c r="F2185">
        <v>442044881.10000002</v>
      </c>
      <c r="G2185">
        <v>1</v>
      </c>
      <c r="H2185">
        <v>4</v>
      </c>
      <c r="I2185">
        <v>1</v>
      </c>
      <c r="J2185">
        <v>1.9</v>
      </c>
      <c r="K2185" t="s">
        <v>1268</v>
      </c>
    </row>
    <row r="2186" spans="1:11" x14ac:dyDescent="0.35">
      <c r="A2186" t="s">
        <v>2197</v>
      </c>
      <c r="B2186">
        <v>5</v>
      </c>
      <c r="C2186">
        <v>788495722.20000005</v>
      </c>
      <c r="D2186">
        <v>1</v>
      </c>
      <c r="E2186">
        <v>292218447.69999999</v>
      </c>
      <c r="F2186">
        <v>446842350.80000001</v>
      </c>
      <c r="G2186">
        <v>1</v>
      </c>
      <c r="H2186">
        <v>4</v>
      </c>
      <c r="I2186">
        <v>1</v>
      </c>
      <c r="J2186">
        <v>1.9</v>
      </c>
      <c r="K2186" t="s">
        <v>1268</v>
      </c>
    </row>
    <row r="2187" spans="1:11" x14ac:dyDescent="0.35">
      <c r="A2187" t="s">
        <v>2198</v>
      </c>
      <c r="B2187">
        <v>5</v>
      </c>
      <c r="C2187">
        <v>2535461974</v>
      </c>
      <c r="D2187">
        <v>1</v>
      </c>
      <c r="E2187">
        <v>307170098.69999999</v>
      </c>
      <c r="F2187">
        <v>511372070</v>
      </c>
      <c r="G2187">
        <v>1</v>
      </c>
      <c r="H2187">
        <v>4</v>
      </c>
      <c r="I2187">
        <v>1</v>
      </c>
      <c r="J2187">
        <v>1.9</v>
      </c>
      <c r="K2187" t="s">
        <v>1268</v>
      </c>
    </row>
    <row r="2188" spans="1:11" x14ac:dyDescent="0.35">
      <c r="A2188" t="s">
        <v>2199</v>
      </c>
      <c r="B2188">
        <v>5</v>
      </c>
      <c r="C2188">
        <v>1064993342</v>
      </c>
      <c r="D2188">
        <v>1</v>
      </c>
      <c r="E2188">
        <v>219011427</v>
      </c>
      <c r="F2188">
        <v>506059098.10000002</v>
      </c>
      <c r="G2188">
        <v>1</v>
      </c>
      <c r="H2188">
        <v>4</v>
      </c>
      <c r="I2188">
        <v>1</v>
      </c>
      <c r="J2188">
        <v>1.9</v>
      </c>
      <c r="K2188" t="s">
        <v>1268</v>
      </c>
    </row>
    <row r="2189" spans="1:11" x14ac:dyDescent="0.35">
      <c r="A2189" t="s">
        <v>2200</v>
      </c>
      <c r="B2189">
        <v>5</v>
      </c>
      <c r="C2189">
        <v>87943535.459999993</v>
      </c>
      <c r="D2189">
        <v>1</v>
      </c>
      <c r="E2189">
        <v>78944599.659999996</v>
      </c>
      <c r="F2189">
        <v>199123735.90000001</v>
      </c>
      <c r="G2189">
        <v>1</v>
      </c>
      <c r="H2189">
        <v>3</v>
      </c>
      <c r="I2189">
        <v>2</v>
      </c>
      <c r="J2189">
        <v>1.8</v>
      </c>
      <c r="K2189" t="s">
        <v>1268</v>
      </c>
    </row>
    <row r="2190" spans="1:11" x14ac:dyDescent="0.35">
      <c r="A2190" t="s">
        <v>2201</v>
      </c>
      <c r="B2190">
        <v>5</v>
      </c>
      <c r="C2190">
        <v>194353572.40000001</v>
      </c>
      <c r="D2190">
        <v>1</v>
      </c>
      <c r="E2190">
        <v>84782032.370000005</v>
      </c>
      <c r="F2190">
        <v>194030621</v>
      </c>
      <c r="G2190">
        <v>1</v>
      </c>
      <c r="H2190">
        <v>3</v>
      </c>
      <c r="I2190">
        <v>2</v>
      </c>
      <c r="J2190">
        <v>1.8</v>
      </c>
      <c r="K2190" t="s">
        <v>1268</v>
      </c>
    </row>
    <row r="2191" spans="1:11" x14ac:dyDescent="0.35">
      <c r="A2191" t="s">
        <v>2202</v>
      </c>
      <c r="B2191">
        <v>5</v>
      </c>
      <c r="C2191">
        <v>164139591.09999999</v>
      </c>
      <c r="D2191">
        <v>1</v>
      </c>
      <c r="E2191">
        <v>107032899</v>
      </c>
      <c r="F2191">
        <v>151480465.09999999</v>
      </c>
      <c r="G2191">
        <v>1</v>
      </c>
      <c r="H2191">
        <v>3</v>
      </c>
      <c r="I2191">
        <v>2</v>
      </c>
      <c r="J2191">
        <v>1.8</v>
      </c>
      <c r="K2191" t="s">
        <v>1268</v>
      </c>
    </row>
    <row r="2192" spans="1:11" x14ac:dyDescent="0.35">
      <c r="A2192" t="s">
        <v>2203</v>
      </c>
      <c r="B2192">
        <v>5</v>
      </c>
      <c r="C2192">
        <v>481120325.69999999</v>
      </c>
      <c r="D2192">
        <v>1</v>
      </c>
      <c r="E2192">
        <v>83781571.819999993</v>
      </c>
      <c r="F2192">
        <v>151221492.59999999</v>
      </c>
      <c r="G2192">
        <v>1</v>
      </c>
      <c r="H2192">
        <v>3</v>
      </c>
      <c r="I2192">
        <v>2</v>
      </c>
      <c r="J2192">
        <v>1.8</v>
      </c>
      <c r="K2192" t="s">
        <v>1268</v>
      </c>
    </row>
    <row r="2193" spans="1:11" x14ac:dyDescent="0.35">
      <c r="A2193" t="s">
        <v>2204</v>
      </c>
      <c r="B2193">
        <v>5</v>
      </c>
      <c r="C2193">
        <v>97013911.120000005</v>
      </c>
      <c r="D2193">
        <v>1</v>
      </c>
      <c r="E2193">
        <v>74981533.950000003</v>
      </c>
      <c r="F2193">
        <v>157114575.59999999</v>
      </c>
      <c r="G2193">
        <v>1</v>
      </c>
      <c r="H2193">
        <v>3</v>
      </c>
      <c r="I2193">
        <v>2</v>
      </c>
      <c r="J2193">
        <v>1.8</v>
      </c>
      <c r="K2193" t="s">
        <v>1268</v>
      </c>
    </row>
    <row r="2194" spans="1:11" x14ac:dyDescent="0.35">
      <c r="A2194" t="s">
        <v>2205</v>
      </c>
      <c r="B2194">
        <v>5</v>
      </c>
      <c r="C2194">
        <v>147611737</v>
      </c>
      <c r="D2194">
        <v>1</v>
      </c>
      <c r="E2194">
        <v>76976640.799999997</v>
      </c>
      <c r="F2194">
        <v>170244406</v>
      </c>
      <c r="G2194">
        <v>1</v>
      </c>
      <c r="H2194">
        <v>3</v>
      </c>
      <c r="I2194">
        <v>2</v>
      </c>
      <c r="J2194">
        <v>1.8</v>
      </c>
      <c r="K2194" t="s">
        <v>1268</v>
      </c>
    </row>
    <row r="2195" spans="1:11" x14ac:dyDescent="0.35">
      <c r="A2195" t="s">
        <v>2206</v>
      </c>
      <c r="B2195">
        <v>5</v>
      </c>
      <c r="C2195">
        <v>100761214.59999999</v>
      </c>
      <c r="D2195">
        <v>1</v>
      </c>
      <c r="E2195">
        <v>80129611.670000002</v>
      </c>
      <c r="F2195">
        <v>166202448.19999999</v>
      </c>
      <c r="G2195">
        <v>1</v>
      </c>
      <c r="H2195">
        <v>3</v>
      </c>
      <c r="I2195">
        <v>2</v>
      </c>
      <c r="J2195">
        <v>1.8</v>
      </c>
      <c r="K2195" t="s">
        <v>1268</v>
      </c>
    </row>
    <row r="2196" spans="1:11" x14ac:dyDescent="0.35">
      <c r="A2196" t="s">
        <v>2207</v>
      </c>
      <c r="B2196">
        <v>5</v>
      </c>
      <c r="C2196">
        <v>613142164.70000005</v>
      </c>
      <c r="D2196">
        <v>1</v>
      </c>
      <c r="E2196">
        <v>68807882.150000006</v>
      </c>
      <c r="F2196">
        <v>165775881.40000001</v>
      </c>
      <c r="G2196">
        <v>1</v>
      </c>
      <c r="H2196">
        <v>3</v>
      </c>
      <c r="I2196">
        <v>2</v>
      </c>
      <c r="J2196">
        <v>1.8</v>
      </c>
      <c r="K2196" t="s">
        <v>1268</v>
      </c>
    </row>
    <row r="2197" spans="1:11" x14ac:dyDescent="0.35">
      <c r="A2197" t="s">
        <v>2208</v>
      </c>
      <c r="B2197">
        <v>5</v>
      </c>
      <c r="C2197">
        <v>414750493.19999999</v>
      </c>
      <c r="D2197">
        <v>1</v>
      </c>
      <c r="E2197">
        <v>75491202.430000007</v>
      </c>
      <c r="F2197">
        <v>165024966.59999999</v>
      </c>
      <c r="G2197">
        <v>1</v>
      </c>
      <c r="H2197">
        <v>3</v>
      </c>
      <c r="I2197">
        <v>2</v>
      </c>
      <c r="J2197">
        <v>1.8</v>
      </c>
      <c r="K2197" t="s">
        <v>1268</v>
      </c>
    </row>
    <row r="2198" spans="1:11" x14ac:dyDescent="0.35">
      <c r="A2198" t="s">
        <v>2209</v>
      </c>
      <c r="B2198">
        <v>5</v>
      </c>
      <c r="C2198">
        <v>468670609.60000002</v>
      </c>
      <c r="D2198">
        <v>1</v>
      </c>
      <c r="E2198">
        <v>85943137.269999996</v>
      </c>
      <c r="F2198">
        <v>163624705.40000001</v>
      </c>
      <c r="G2198">
        <v>1</v>
      </c>
      <c r="H2198">
        <v>3</v>
      </c>
      <c r="I2198">
        <v>2</v>
      </c>
      <c r="J2198">
        <v>1.8</v>
      </c>
      <c r="K2198" t="s">
        <v>1268</v>
      </c>
    </row>
    <row r="2199" spans="1:11" x14ac:dyDescent="0.35">
      <c r="A2199" t="s">
        <v>2210</v>
      </c>
      <c r="B2199">
        <v>5</v>
      </c>
      <c r="C2199">
        <v>168641013.09999999</v>
      </c>
      <c r="D2199">
        <v>1</v>
      </c>
      <c r="E2199">
        <v>81491527.810000002</v>
      </c>
      <c r="F2199">
        <v>137003214.30000001</v>
      </c>
      <c r="G2199">
        <v>1</v>
      </c>
      <c r="H2199">
        <v>3</v>
      </c>
      <c r="I2199">
        <v>2</v>
      </c>
      <c r="J2199">
        <v>1.8</v>
      </c>
      <c r="K2199" t="s">
        <v>1268</v>
      </c>
    </row>
    <row r="2200" spans="1:11" x14ac:dyDescent="0.35">
      <c r="A2200" t="s">
        <v>2211</v>
      </c>
      <c r="B2200">
        <v>5</v>
      </c>
      <c r="C2200">
        <v>132550249.2</v>
      </c>
      <c r="D2200">
        <v>1</v>
      </c>
      <c r="E2200">
        <v>60237274.380000003</v>
      </c>
      <c r="F2200">
        <v>136788002.80000001</v>
      </c>
      <c r="G2200">
        <v>1</v>
      </c>
      <c r="H2200">
        <v>3</v>
      </c>
      <c r="I2200">
        <v>2</v>
      </c>
      <c r="J2200">
        <v>1.8</v>
      </c>
      <c r="K2200" t="s">
        <v>1268</v>
      </c>
    </row>
    <row r="2201" spans="1:11" x14ac:dyDescent="0.35">
      <c r="A2201" t="s">
        <v>2212</v>
      </c>
      <c r="B2201">
        <v>5</v>
      </c>
      <c r="C2201">
        <v>382539646.19999999</v>
      </c>
      <c r="D2201">
        <v>1</v>
      </c>
      <c r="E2201">
        <v>83064737.319999993</v>
      </c>
      <c r="F2201">
        <v>139600088.59999999</v>
      </c>
      <c r="G2201">
        <v>1</v>
      </c>
      <c r="H2201">
        <v>3</v>
      </c>
      <c r="I2201">
        <v>2</v>
      </c>
      <c r="J2201">
        <v>1.8</v>
      </c>
      <c r="K2201" t="s">
        <v>1268</v>
      </c>
    </row>
    <row r="2202" spans="1:11" x14ac:dyDescent="0.35">
      <c r="A2202" t="s">
        <v>2213</v>
      </c>
      <c r="B2202">
        <v>5</v>
      </c>
      <c r="C2202">
        <v>361851865.39999998</v>
      </c>
      <c r="D2202">
        <v>1</v>
      </c>
      <c r="E2202">
        <v>71598051.780000001</v>
      </c>
      <c r="F2202">
        <v>139348442.90000001</v>
      </c>
      <c r="G2202">
        <v>1</v>
      </c>
      <c r="H2202">
        <v>3</v>
      </c>
      <c r="I2202">
        <v>2</v>
      </c>
      <c r="J2202">
        <v>1.8</v>
      </c>
      <c r="K2202" t="s">
        <v>1268</v>
      </c>
    </row>
    <row r="2203" spans="1:11" x14ac:dyDescent="0.35">
      <c r="A2203" t="s">
        <v>2214</v>
      </c>
      <c r="B2203">
        <v>5</v>
      </c>
      <c r="C2203">
        <v>109203282</v>
      </c>
      <c r="D2203">
        <v>1</v>
      </c>
      <c r="E2203">
        <v>61923741.859999999</v>
      </c>
      <c r="F2203">
        <v>128876506.09999999</v>
      </c>
      <c r="G2203">
        <v>1</v>
      </c>
      <c r="H2203">
        <v>3</v>
      </c>
      <c r="I2203">
        <v>2</v>
      </c>
      <c r="J2203">
        <v>1.8</v>
      </c>
      <c r="K2203" t="s">
        <v>1268</v>
      </c>
    </row>
    <row r="2204" spans="1:11" x14ac:dyDescent="0.35">
      <c r="A2204" t="s">
        <v>2215</v>
      </c>
      <c r="B2204">
        <v>5</v>
      </c>
      <c r="C2204">
        <v>225899933.30000001</v>
      </c>
      <c r="D2204">
        <v>1</v>
      </c>
      <c r="E2204">
        <v>73304822.640000001</v>
      </c>
      <c r="F2204">
        <v>132015194.40000001</v>
      </c>
      <c r="G2204">
        <v>1</v>
      </c>
      <c r="H2204">
        <v>3</v>
      </c>
      <c r="I2204">
        <v>2</v>
      </c>
      <c r="J2204">
        <v>1.8</v>
      </c>
      <c r="K2204" t="s">
        <v>1268</v>
      </c>
    </row>
    <row r="2205" spans="1:11" x14ac:dyDescent="0.35">
      <c r="A2205" t="s">
        <v>2216</v>
      </c>
      <c r="B2205">
        <v>5</v>
      </c>
      <c r="C2205">
        <v>440806270.39999998</v>
      </c>
      <c r="D2205">
        <v>1</v>
      </c>
      <c r="E2205">
        <v>84772121.010000005</v>
      </c>
      <c r="F2205">
        <v>150759223.30000001</v>
      </c>
      <c r="G2205">
        <v>1</v>
      </c>
      <c r="H2205">
        <v>3</v>
      </c>
      <c r="I2205">
        <v>2</v>
      </c>
      <c r="J2205">
        <v>1.8</v>
      </c>
      <c r="K2205" t="s">
        <v>1268</v>
      </c>
    </row>
    <row r="2206" spans="1:11" x14ac:dyDescent="0.35">
      <c r="A2206" t="s">
        <v>2217</v>
      </c>
      <c r="B2206">
        <v>5</v>
      </c>
      <c r="C2206">
        <v>101450967.40000001</v>
      </c>
      <c r="D2206">
        <v>1</v>
      </c>
      <c r="E2206">
        <v>63348282.460000001</v>
      </c>
      <c r="F2206">
        <v>148386316.69999999</v>
      </c>
      <c r="G2206">
        <v>1</v>
      </c>
      <c r="H2206">
        <v>3</v>
      </c>
      <c r="I2206">
        <v>2</v>
      </c>
      <c r="J2206">
        <v>1.8</v>
      </c>
      <c r="K2206" t="s">
        <v>1268</v>
      </c>
    </row>
    <row r="2207" spans="1:11" x14ac:dyDescent="0.35">
      <c r="A2207" t="s">
        <v>2218</v>
      </c>
      <c r="B2207">
        <v>5</v>
      </c>
      <c r="C2207">
        <v>720739874.39999998</v>
      </c>
      <c r="D2207">
        <v>1</v>
      </c>
      <c r="E2207">
        <v>110485539.2</v>
      </c>
      <c r="F2207">
        <v>143216449.19999999</v>
      </c>
      <c r="G2207">
        <v>1</v>
      </c>
      <c r="H2207">
        <v>3</v>
      </c>
      <c r="I2207">
        <v>2</v>
      </c>
      <c r="J2207">
        <v>1.8</v>
      </c>
      <c r="K2207" t="s">
        <v>1268</v>
      </c>
    </row>
    <row r="2208" spans="1:11" x14ac:dyDescent="0.35">
      <c r="A2208" t="s">
        <v>2219</v>
      </c>
      <c r="B2208">
        <v>5</v>
      </c>
      <c r="C2208">
        <v>639158240.20000005</v>
      </c>
      <c r="D2208">
        <v>1</v>
      </c>
      <c r="E2208">
        <v>56928700.350000001</v>
      </c>
      <c r="F2208">
        <v>141852450.59999999</v>
      </c>
      <c r="G2208">
        <v>1</v>
      </c>
      <c r="H2208">
        <v>3</v>
      </c>
      <c r="I2208">
        <v>2</v>
      </c>
      <c r="J2208">
        <v>1.8</v>
      </c>
      <c r="K2208" t="s">
        <v>1268</v>
      </c>
    </row>
    <row r="2209" spans="1:11" x14ac:dyDescent="0.35">
      <c r="A2209" t="s">
        <v>2220</v>
      </c>
      <c r="B2209">
        <v>5</v>
      </c>
      <c r="C2209">
        <v>103202511.09999999</v>
      </c>
      <c r="D2209">
        <v>1</v>
      </c>
      <c r="E2209">
        <v>59418485.57</v>
      </c>
      <c r="F2209">
        <v>141062071.19999999</v>
      </c>
      <c r="G2209">
        <v>1</v>
      </c>
      <c r="H2209">
        <v>3</v>
      </c>
      <c r="I2209">
        <v>2</v>
      </c>
      <c r="J2209">
        <v>1.8</v>
      </c>
      <c r="K2209" t="s">
        <v>1268</v>
      </c>
    </row>
    <row r="2210" spans="1:11" x14ac:dyDescent="0.35">
      <c r="A2210" t="s">
        <v>2221</v>
      </c>
      <c r="B2210">
        <v>5</v>
      </c>
      <c r="C2210">
        <v>51509969.899999999</v>
      </c>
      <c r="D2210">
        <v>1</v>
      </c>
      <c r="E2210">
        <v>50515404.240000002</v>
      </c>
      <c r="F2210">
        <v>26924927.600000001</v>
      </c>
      <c r="G2210">
        <v>1</v>
      </c>
      <c r="H2210">
        <v>3</v>
      </c>
      <c r="I2210">
        <v>2</v>
      </c>
      <c r="J2210">
        <v>1.8</v>
      </c>
      <c r="K2210" t="s">
        <v>1268</v>
      </c>
    </row>
    <row r="2211" spans="1:11" x14ac:dyDescent="0.35">
      <c r="A2211" t="s">
        <v>2222</v>
      </c>
      <c r="B2211">
        <v>5</v>
      </c>
      <c r="C2211">
        <v>93479086.040000007</v>
      </c>
      <c r="D2211">
        <v>1</v>
      </c>
      <c r="E2211">
        <v>48930659.850000001</v>
      </c>
      <c r="F2211">
        <v>27675377.5</v>
      </c>
      <c r="G2211">
        <v>1</v>
      </c>
      <c r="H2211">
        <v>3</v>
      </c>
      <c r="I2211">
        <v>2</v>
      </c>
      <c r="J2211">
        <v>1.8</v>
      </c>
      <c r="K2211" t="s">
        <v>1268</v>
      </c>
    </row>
    <row r="2212" spans="1:11" x14ac:dyDescent="0.35">
      <c r="A2212" t="s">
        <v>2223</v>
      </c>
      <c r="B2212">
        <v>5</v>
      </c>
      <c r="C2212">
        <v>269550455.80000001</v>
      </c>
      <c r="D2212">
        <v>1</v>
      </c>
      <c r="E2212">
        <v>88319970.349999994</v>
      </c>
      <c r="F2212">
        <v>37270685.399999999</v>
      </c>
      <c r="G2212">
        <v>1</v>
      </c>
      <c r="H2212">
        <v>3</v>
      </c>
      <c r="I2212">
        <v>2</v>
      </c>
      <c r="J2212">
        <v>1.8</v>
      </c>
      <c r="K2212" t="s">
        <v>1268</v>
      </c>
    </row>
    <row r="2213" spans="1:11" x14ac:dyDescent="0.35">
      <c r="A2213" t="s">
        <v>2224</v>
      </c>
      <c r="B2213">
        <v>5</v>
      </c>
      <c r="C2213">
        <v>188136708.19999999</v>
      </c>
      <c r="D2213">
        <v>1</v>
      </c>
      <c r="E2213">
        <v>62321332.399999999</v>
      </c>
      <c r="F2213">
        <v>37233218</v>
      </c>
      <c r="G2213">
        <v>1</v>
      </c>
      <c r="H2213">
        <v>3</v>
      </c>
      <c r="I2213">
        <v>2</v>
      </c>
      <c r="J2213">
        <v>1.8</v>
      </c>
      <c r="K2213" t="s">
        <v>1268</v>
      </c>
    </row>
    <row r="2214" spans="1:11" x14ac:dyDescent="0.35">
      <c r="A2214" t="s">
        <v>2225</v>
      </c>
      <c r="B2214">
        <v>5</v>
      </c>
      <c r="C2214">
        <v>256488686.69999999</v>
      </c>
      <c r="D2214">
        <v>1</v>
      </c>
      <c r="E2214">
        <v>96080024.730000004</v>
      </c>
      <c r="F2214">
        <v>35561656.799999997</v>
      </c>
      <c r="G2214">
        <v>1</v>
      </c>
      <c r="H2214">
        <v>3</v>
      </c>
      <c r="I2214">
        <v>2</v>
      </c>
      <c r="J2214">
        <v>1.8</v>
      </c>
      <c r="K2214" t="s">
        <v>1268</v>
      </c>
    </row>
    <row r="2215" spans="1:11" x14ac:dyDescent="0.35">
      <c r="A2215" t="s">
        <v>2226</v>
      </c>
      <c r="B2215">
        <v>5</v>
      </c>
      <c r="C2215">
        <v>652985477.39999998</v>
      </c>
      <c r="D2215">
        <v>1</v>
      </c>
      <c r="E2215">
        <v>105374544.5</v>
      </c>
      <c r="F2215">
        <v>34511390.200000003</v>
      </c>
      <c r="G2215">
        <v>1</v>
      </c>
      <c r="H2215">
        <v>3</v>
      </c>
      <c r="I2215">
        <v>2</v>
      </c>
      <c r="J2215">
        <v>1.8</v>
      </c>
      <c r="K2215" t="s">
        <v>1268</v>
      </c>
    </row>
    <row r="2216" spans="1:11" x14ac:dyDescent="0.35">
      <c r="A2216" t="s">
        <v>2227</v>
      </c>
      <c r="B2216">
        <v>5</v>
      </c>
      <c r="C2216">
        <v>134916109.30000001</v>
      </c>
      <c r="D2216">
        <v>1</v>
      </c>
      <c r="E2216">
        <v>48777447.390000001</v>
      </c>
      <c r="F2216">
        <v>32358647.199999999</v>
      </c>
      <c r="G2216">
        <v>1</v>
      </c>
      <c r="H2216">
        <v>3</v>
      </c>
      <c r="I2216">
        <v>2</v>
      </c>
      <c r="J2216">
        <v>1.8</v>
      </c>
      <c r="K2216" t="s">
        <v>1268</v>
      </c>
    </row>
    <row r="2217" spans="1:11" x14ac:dyDescent="0.35">
      <c r="A2217" t="s">
        <v>2228</v>
      </c>
      <c r="B2217">
        <v>5</v>
      </c>
      <c r="C2217">
        <v>267978672.59999999</v>
      </c>
      <c r="D2217">
        <v>1</v>
      </c>
      <c r="E2217">
        <v>60805455.909999996</v>
      </c>
      <c r="F2217">
        <v>41255876.299999997</v>
      </c>
      <c r="G2217">
        <v>1</v>
      </c>
      <c r="H2217">
        <v>3</v>
      </c>
      <c r="I2217">
        <v>2</v>
      </c>
      <c r="J2217">
        <v>1.8</v>
      </c>
      <c r="K2217" t="s">
        <v>1268</v>
      </c>
    </row>
    <row r="2218" spans="1:11" x14ac:dyDescent="0.35">
      <c r="A2218" t="s">
        <v>2229</v>
      </c>
      <c r="B2218">
        <v>5</v>
      </c>
      <c r="C2218">
        <v>246816255.09999999</v>
      </c>
      <c r="D2218">
        <v>1</v>
      </c>
      <c r="E2218">
        <v>58179121.490000002</v>
      </c>
      <c r="F2218">
        <v>42582251.5</v>
      </c>
      <c r="G2218">
        <v>1</v>
      </c>
      <c r="H2218">
        <v>3</v>
      </c>
      <c r="I2218">
        <v>2</v>
      </c>
      <c r="J2218">
        <v>1.8</v>
      </c>
      <c r="K2218" t="s">
        <v>1268</v>
      </c>
    </row>
    <row r="2219" spans="1:11" x14ac:dyDescent="0.35">
      <c r="A2219" t="s">
        <v>2230</v>
      </c>
      <c r="B2219">
        <v>5</v>
      </c>
      <c r="C2219">
        <v>238992799.5</v>
      </c>
      <c r="D2219">
        <v>1</v>
      </c>
      <c r="E2219">
        <v>100233705.5</v>
      </c>
      <c r="F2219">
        <v>44368245.899999999</v>
      </c>
      <c r="G2219">
        <v>1</v>
      </c>
      <c r="H2219">
        <v>3</v>
      </c>
      <c r="I2219">
        <v>2</v>
      </c>
      <c r="J2219">
        <v>1.8</v>
      </c>
      <c r="K2219" t="s">
        <v>1268</v>
      </c>
    </row>
    <row r="2220" spans="1:11" x14ac:dyDescent="0.35">
      <c r="A2220" t="s">
        <v>2231</v>
      </c>
      <c r="B2220">
        <v>5</v>
      </c>
      <c r="C2220">
        <v>173523831.30000001</v>
      </c>
      <c r="D2220">
        <v>1</v>
      </c>
      <c r="E2220">
        <v>59939391.619999997</v>
      </c>
      <c r="F2220">
        <v>47643742.399999999</v>
      </c>
      <c r="G2220">
        <v>1</v>
      </c>
      <c r="H2220">
        <v>3</v>
      </c>
      <c r="I2220">
        <v>2</v>
      </c>
      <c r="J2220">
        <v>1.8</v>
      </c>
      <c r="K2220" t="s">
        <v>1268</v>
      </c>
    </row>
    <row r="2221" spans="1:11" x14ac:dyDescent="0.35">
      <c r="A2221" t="s">
        <v>2232</v>
      </c>
      <c r="B2221">
        <v>5</v>
      </c>
      <c r="C2221">
        <v>870891677.39999998</v>
      </c>
      <c r="D2221">
        <v>1</v>
      </c>
      <c r="E2221">
        <v>93503510.689999998</v>
      </c>
      <c r="F2221">
        <v>50414988.799999997</v>
      </c>
      <c r="G2221">
        <v>1</v>
      </c>
      <c r="H2221">
        <v>3</v>
      </c>
      <c r="I2221">
        <v>2</v>
      </c>
      <c r="J2221">
        <v>1.8</v>
      </c>
      <c r="K2221" t="s">
        <v>1268</v>
      </c>
    </row>
    <row r="2222" spans="1:11" x14ac:dyDescent="0.35">
      <c r="A2222" t="s">
        <v>2233</v>
      </c>
      <c r="B2222">
        <v>5</v>
      </c>
      <c r="C2222">
        <v>138142505.40000001</v>
      </c>
      <c r="D2222">
        <v>1</v>
      </c>
      <c r="E2222">
        <v>71082114.950000003</v>
      </c>
      <c r="F2222">
        <v>49188915.799999997</v>
      </c>
      <c r="G2222">
        <v>1</v>
      </c>
      <c r="H2222">
        <v>3</v>
      </c>
      <c r="I2222">
        <v>2</v>
      </c>
      <c r="J2222">
        <v>1.8</v>
      </c>
      <c r="K2222" t="s">
        <v>1268</v>
      </c>
    </row>
    <row r="2223" spans="1:11" x14ac:dyDescent="0.35">
      <c r="A2223" t="s">
        <v>2234</v>
      </c>
      <c r="B2223">
        <v>5</v>
      </c>
      <c r="C2223">
        <v>115044737.09999999</v>
      </c>
      <c r="D2223">
        <v>1</v>
      </c>
      <c r="E2223">
        <v>66578209.859999999</v>
      </c>
      <c r="F2223">
        <v>70758327.200000003</v>
      </c>
      <c r="G2223">
        <v>1</v>
      </c>
      <c r="H2223">
        <v>3</v>
      </c>
      <c r="I2223">
        <v>2</v>
      </c>
      <c r="J2223">
        <v>1.8</v>
      </c>
      <c r="K2223" t="s">
        <v>1268</v>
      </c>
    </row>
    <row r="2224" spans="1:11" x14ac:dyDescent="0.35">
      <c r="A2224" t="s">
        <v>2235</v>
      </c>
      <c r="B2224">
        <v>5</v>
      </c>
      <c r="C2224">
        <v>284084869.30000001</v>
      </c>
      <c r="D2224">
        <v>1</v>
      </c>
      <c r="E2224">
        <v>60820970.420000002</v>
      </c>
      <c r="F2224">
        <v>70639336.5</v>
      </c>
      <c r="G2224">
        <v>1</v>
      </c>
      <c r="H2224">
        <v>3</v>
      </c>
      <c r="I2224">
        <v>2</v>
      </c>
      <c r="J2224">
        <v>1.8</v>
      </c>
      <c r="K2224" t="s">
        <v>1268</v>
      </c>
    </row>
    <row r="2225" spans="1:11" x14ac:dyDescent="0.35">
      <c r="A2225" t="s">
        <v>2236</v>
      </c>
      <c r="B2225">
        <v>5</v>
      </c>
      <c r="C2225">
        <v>98160629.579999998</v>
      </c>
      <c r="D2225">
        <v>1</v>
      </c>
      <c r="E2225">
        <v>52889930.380000003</v>
      </c>
      <c r="F2225">
        <v>71527280.299999997</v>
      </c>
      <c r="G2225">
        <v>1</v>
      </c>
      <c r="H2225">
        <v>3</v>
      </c>
      <c r="I2225">
        <v>2</v>
      </c>
      <c r="J2225">
        <v>1.8</v>
      </c>
      <c r="K2225" t="s">
        <v>1268</v>
      </c>
    </row>
    <row r="2226" spans="1:11" x14ac:dyDescent="0.35">
      <c r="A2226" t="s">
        <v>2237</v>
      </c>
      <c r="B2226">
        <v>5</v>
      </c>
      <c r="C2226">
        <v>751886829.79999995</v>
      </c>
      <c r="D2226">
        <v>1</v>
      </c>
      <c r="E2226">
        <v>108714810.7</v>
      </c>
      <c r="F2226">
        <v>57755478.899999999</v>
      </c>
      <c r="G2226">
        <v>1</v>
      </c>
      <c r="H2226">
        <v>3</v>
      </c>
      <c r="I2226">
        <v>2</v>
      </c>
      <c r="J2226">
        <v>1.8</v>
      </c>
      <c r="K2226" t="s">
        <v>1268</v>
      </c>
    </row>
    <row r="2227" spans="1:11" x14ac:dyDescent="0.35">
      <c r="A2227" t="s">
        <v>2238</v>
      </c>
      <c r="B2227">
        <v>5</v>
      </c>
      <c r="C2227">
        <v>81265403.340000004</v>
      </c>
      <c r="D2227">
        <v>1</v>
      </c>
      <c r="E2227">
        <v>63694055.130000003</v>
      </c>
      <c r="F2227">
        <v>56191841.5</v>
      </c>
      <c r="G2227">
        <v>1</v>
      </c>
      <c r="H2227">
        <v>3</v>
      </c>
      <c r="I2227">
        <v>2</v>
      </c>
      <c r="J2227">
        <v>1.8</v>
      </c>
      <c r="K2227" t="s">
        <v>1268</v>
      </c>
    </row>
    <row r="2228" spans="1:11" x14ac:dyDescent="0.35">
      <c r="A2228" t="s">
        <v>2239</v>
      </c>
      <c r="B2228">
        <v>5</v>
      </c>
      <c r="C2228">
        <v>320080325.10000002</v>
      </c>
      <c r="D2228">
        <v>1</v>
      </c>
      <c r="E2228">
        <v>64511896.240000002</v>
      </c>
      <c r="F2228">
        <v>56012593.899999999</v>
      </c>
      <c r="G2228">
        <v>1</v>
      </c>
      <c r="H2228">
        <v>3</v>
      </c>
      <c r="I2228">
        <v>2</v>
      </c>
      <c r="J2228">
        <v>1.8</v>
      </c>
      <c r="K2228" t="s">
        <v>1268</v>
      </c>
    </row>
    <row r="2229" spans="1:11" x14ac:dyDescent="0.35">
      <c r="A2229" t="s">
        <v>2240</v>
      </c>
      <c r="B2229">
        <v>5</v>
      </c>
      <c r="C2229">
        <v>230898679.19999999</v>
      </c>
      <c r="D2229">
        <v>1</v>
      </c>
      <c r="E2229">
        <v>59285830.009999998</v>
      </c>
      <c r="F2229">
        <v>96914784.400000006</v>
      </c>
      <c r="G2229">
        <v>1</v>
      </c>
      <c r="H2229">
        <v>3</v>
      </c>
      <c r="I2229">
        <v>2</v>
      </c>
      <c r="J2229">
        <v>1.8</v>
      </c>
      <c r="K2229" t="s">
        <v>1268</v>
      </c>
    </row>
    <row r="2230" spans="1:11" x14ac:dyDescent="0.35">
      <c r="A2230" t="s">
        <v>2241</v>
      </c>
      <c r="B2230">
        <v>5</v>
      </c>
      <c r="C2230">
        <v>555012440</v>
      </c>
      <c r="D2230">
        <v>1</v>
      </c>
      <c r="E2230">
        <v>78656930.569999993</v>
      </c>
      <c r="F2230">
        <v>98301264.599999994</v>
      </c>
      <c r="G2230">
        <v>1</v>
      </c>
      <c r="H2230">
        <v>3</v>
      </c>
      <c r="I2230">
        <v>2</v>
      </c>
      <c r="J2230">
        <v>1.8</v>
      </c>
      <c r="K2230" t="s">
        <v>1268</v>
      </c>
    </row>
    <row r="2231" spans="1:11" x14ac:dyDescent="0.35">
      <c r="A2231" t="s">
        <v>2242</v>
      </c>
      <c r="B2231">
        <v>5</v>
      </c>
      <c r="C2231">
        <v>241595867.80000001</v>
      </c>
      <c r="D2231">
        <v>1</v>
      </c>
      <c r="E2231">
        <v>105239798.5</v>
      </c>
      <c r="F2231">
        <v>107370150.5</v>
      </c>
      <c r="G2231">
        <v>1</v>
      </c>
      <c r="H2231">
        <v>3</v>
      </c>
      <c r="I2231">
        <v>2</v>
      </c>
      <c r="J2231">
        <v>1.8</v>
      </c>
      <c r="K2231" t="s">
        <v>1268</v>
      </c>
    </row>
    <row r="2232" spans="1:11" x14ac:dyDescent="0.35">
      <c r="A2232" t="s">
        <v>2243</v>
      </c>
      <c r="B2232">
        <v>5</v>
      </c>
      <c r="C2232">
        <v>377398078.19999999</v>
      </c>
      <c r="D2232">
        <v>1</v>
      </c>
      <c r="E2232">
        <v>91450554.019999996</v>
      </c>
      <c r="F2232">
        <v>108613925.40000001</v>
      </c>
      <c r="G2232">
        <v>1</v>
      </c>
      <c r="H2232">
        <v>3</v>
      </c>
      <c r="I2232">
        <v>2</v>
      </c>
      <c r="J2232">
        <v>1.8</v>
      </c>
      <c r="K2232" t="s">
        <v>1268</v>
      </c>
    </row>
    <row r="2233" spans="1:11" x14ac:dyDescent="0.35">
      <c r="A2233" t="s">
        <v>2244</v>
      </c>
      <c r="B2233">
        <v>5</v>
      </c>
      <c r="C2233">
        <v>182983940.5</v>
      </c>
      <c r="D2233">
        <v>1</v>
      </c>
      <c r="E2233">
        <v>45611256.509999998</v>
      </c>
      <c r="F2233">
        <v>109052733.3</v>
      </c>
      <c r="G2233">
        <v>1</v>
      </c>
      <c r="H2233">
        <v>3</v>
      </c>
      <c r="I2233">
        <v>2</v>
      </c>
      <c r="J2233">
        <v>1.8</v>
      </c>
      <c r="K2233" t="s">
        <v>1268</v>
      </c>
    </row>
    <row r="2234" spans="1:11" x14ac:dyDescent="0.35">
      <c r="A2234" t="s">
        <v>2245</v>
      </c>
      <c r="B2234">
        <v>5</v>
      </c>
      <c r="C2234">
        <v>163840504.59999999</v>
      </c>
      <c r="D2234">
        <v>1</v>
      </c>
      <c r="E2234">
        <v>53050182.850000001</v>
      </c>
      <c r="F2234">
        <v>118891638.40000001</v>
      </c>
      <c r="G2234">
        <v>1</v>
      </c>
      <c r="H2234">
        <v>3</v>
      </c>
      <c r="I2234">
        <v>2</v>
      </c>
      <c r="J2234">
        <v>1.8</v>
      </c>
      <c r="K2234" t="s">
        <v>1268</v>
      </c>
    </row>
    <row r="2235" spans="1:11" x14ac:dyDescent="0.35">
      <c r="A2235" t="s">
        <v>2246</v>
      </c>
      <c r="B2235">
        <v>5</v>
      </c>
      <c r="C2235">
        <v>531039124.19999999</v>
      </c>
      <c r="D2235">
        <v>1</v>
      </c>
      <c r="E2235">
        <v>58276730.109999999</v>
      </c>
      <c r="F2235">
        <v>121192271.59999999</v>
      </c>
      <c r="G2235">
        <v>1</v>
      </c>
      <c r="H2235">
        <v>3</v>
      </c>
      <c r="I2235">
        <v>2</v>
      </c>
      <c r="J2235">
        <v>1.8</v>
      </c>
      <c r="K2235" t="s">
        <v>1268</v>
      </c>
    </row>
    <row r="2236" spans="1:11" x14ac:dyDescent="0.35">
      <c r="A2236" t="s">
        <v>2247</v>
      </c>
      <c r="B2236">
        <v>5</v>
      </c>
      <c r="C2236">
        <v>147519594.80000001</v>
      </c>
      <c r="D2236">
        <v>1</v>
      </c>
      <c r="E2236">
        <v>99651234.930000007</v>
      </c>
      <c r="F2236">
        <v>126689309.59999999</v>
      </c>
      <c r="G2236">
        <v>1</v>
      </c>
      <c r="H2236">
        <v>3</v>
      </c>
      <c r="I2236">
        <v>2</v>
      </c>
      <c r="J2236">
        <v>1.8</v>
      </c>
      <c r="K2236" t="s">
        <v>1268</v>
      </c>
    </row>
    <row r="2237" spans="1:11" x14ac:dyDescent="0.35">
      <c r="A2237" t="s">
        <v>2248</v>
      </c>
      <c r="B2237">
        <v>5</v>
      </c>
      <c r="C2237">
        <v>95813036.379999995</v>
      </c>
      <c r="D2237">
        <v>1</v>
      </c>
      <c r="E2237">
        <v>52431655.729999997</v>
      </c>
      <c r="F2237">
        <v>127967119.90000001</v>
      </c>
      <c r="G2237">
        <v>1</v>
      </c>
      <c r="H2237">
        <v>3</v>
      </c>
      <c r="I2237">
        <v>2</v>
      </c>
      <c r="J2237">
        <v>1.8</v>
      </c>
      <c r="K2237" t="s">
        <v>1268</v>
      </c>
    </row>
    <row r="2238" spans="1:11" x14ac:dyDescent="0.35">
      <c r="A2238" t="s">
        <v>2249</v>
      </c>
      <c r="B2238">
        <v>5</v>
      </c>
      <c r="C2238">
        <v>194096814.90000001</v>
      </c>
      <c r="D2238">
        <v>1</v>
      </c>
      <c r="E2238">
        <v>72416679.060000002</v>
      </c>
      <c r="F2238">
        <v>113982973.5</v>
      </c>
      <c r="G2238">
        <v>1</v>
      </c>
      <c r="H2238">
        <v>3</v>
      </c>
      <c r="I2238">
        <v>2</v>
      </c>
      <c r="J2238">
        <v>1.8</v>
      </c>
      <c r="K2238" t="s">
        <v>1268</v>
      </c>
    </row>
    <row r="2239" spans="1:11" x14ac:dyDescent="0.35">
      <c r="A2239" t="s">
        <v>2250</v>
      </c>
      <c r="B2239">
        <v>5</v>
      </c>
      <c r="C2239">
        <v>173894104.40000001</v>
      </c>
      <c r="D2239">
        <v>1</v>
      </c>
      <c r="E2239">
        <v>100196226.59999999</v>
      </c>
      <c r="F2239">
        <v>117777656.8</v>
      </c>
      <c r="G2239">
        <v>1</v>
      </c>
      <c r="H2239">
        <v>3</v>
      </c>
      <c r="I2239">
        <v>2</v>
      </c>
      <c r="J2239">
        <v>1.8</v>
      </c>
      <c r="K2239" t="s">
        <v>1268</v>
      </c>
    </row>
    <row r="2240" spans="1:11" x14ac:dyDescent="0.35">
      <c r="A2240" t="s">
        <v>2251</v>
      </c>
      <c r="B2240">
        <v>5</v>
      </c>
      <c r="C2240">
        <v>485114742.30000001</v>
      </c>
      <c r="D2240">
        <v>1</v>
      </c>
      <c r="E2240">
        <v>48620022.75</v>
      </c>
      <c r="F2240">
        <v>111704257.8</v>
      </c>
      <c r="G2240">
        <v>1</v>
      </c>
      <c r="H2240">
        <v>3</v>
      </c>
      <c r="I2240">
        <v>2</v>
      </c>
      <c r="J2240">
        <v>1.8</v>
      </c>
      <c r="K2240" t="s">
        <v>1268</v>
      </c>
    </row>
    <row r="2241" spans="1:11" x14ac:dyDescent="0.35">
      <c r="A2241" t="s">
        <v>2252</v>
      </c>
      <c r="B2241">
        <v>5</v>
      </c>
      <c r="C2241">
        <v>209956291.09999999</v>
      </c>
      <c r="D2241">
        <v>1</v>
      </c>
      <c r="E2241">
        <v>95554870.430000007</v>
      </c>
      <c r="F2241">
        <v>81277884.900000006</v>
      </c>
      <c r="G2241">
        <v>1</v>
      </c>
      <c r="H2241">
        <v>3</v>
      </c>
      <c r="I2241">
        <v>2</v>
      </c>
      <c r="J2241">
        <v>1.8</v>
      </c>
      <c r="K2241" t="s">
        <v>1268</v>
      </c>
    </row>
    <row r="2242" spans="1:11" x14ac:dyDescent="0.35">
      <c r="A2242" t="s">
        <v>2253</v>
      </c>
      <c r="B2242">
        <v>5</v>
      </c>
      <c r="C2242">
        <v>72717550</v>
      </c>
      <c r="D2242">
        <v>1</v>
      </c>
      <c r="E2242">
        <v>56653588.200000003</v>
      </c>
      <c r="F2242">
        <v>78975434</v>
      </c>
      <c r="G2242">
        <v>1</v>
      </c>
      <c r="H2242">
        <v>3</v>
      </c>
      <c r="I2242">
        <v>2</v>
      </c>
      <c r="J2242">
        <v>1.8</v>
      </c>
      <c r="K2242" t="s">
        <v>1268</v>
      </c>
    </row>
    <row r="2243" spans="1:11" x14ac:dyDescent="0.35">
      <c r="A2243" t="s">
        <v>2254</v>
      </c>
      <c r="B2243">
        <v>5</v>
      </c>
      <c r="C2243">
        <v>108241829.3</v>
      </c>
      <c r="D2243">
        <v>1</v>
      </c>
      <c r="E2243">
        <v>58293183.710000001</v>
      </c>
      <c r="F2243">
        <v>78796379.5</v>
      </c>
      <c r="G2243">
        <v>1</v>
      </c>
      <c r="H2243">
        <v>3</v>
      </c>
      <c r="I2243">
        <v>2</v>
      </c>
      <c r="J2243">
        <v>1.8</v>
      </c>
      <c r="K2243" t="s">
        <v>1268</v>
      </c>
    </row>
    <row r="2244" spans="1:11" x14ac:dyDescent="0.35">
      <c r="A2244" t="s">
        <v>2255</v>
      </c>
      <c r="B2244">
        <v>5</v>
      </c>
      <c r="C2244">
        <v>116332354.90000001</v>
      </c>
      <c r="D2244">
        <v>1</v>
      </c>
      <c r="E2244">
        <v>68803546.079999998</v>
      </c>
      <c r="F2244">
        <v>78374777.200000003</v>
      </c>
      <c r="G2244">
        <v>1</v>
      </c>
      <c r="H2244">
        <v>3</v>
      </c>
      <c r="I2244">
        <v>2</v>
      </c>
      <c r="J2244">
        <v>1.8</v>
      </c>
      <c r="K2244" t="s">
        <v>1268</v>
      </c>
    </row>
    <row r="2245" spans="1:11" x14ac:dyDescent="0.35">
      <c r="A2245" t="s">
        <v>2256</v>
      </c>
      <c r="B2245">
        <v>5</v>
      </c>
      <c r="C2245">
        <v>108968112.8</v>
      </c>
      <c r="D2245">
        <v>1</v>
      </c>
      <c r="E2245">
        <v>64947057.25</v>
      </c>
      <c r="F2245">
        <v>74327767.299999997</v>
      </c>
      <c r="G2245">
        <v>1</v>
      </c>
      <c r="H2245">
        <v>3</v>
      </c>
      <c r="I2245">
        <v>2</v>
      </c>
      <c r="J2245">
        <v>1.8</v>
      </c>
      <c r="K2245" t="s">
        <v>1268</v>
      </c>
    </row>
    <row r="2246" spans="1:11" x14ac:dyDescent="0.35">
      <c r="A2246" t="s">
        <v>2257</v>
      </c>
      <c r="B2246">
        <v>5</v>
      </c>
      <c r="C2246">
        <v>229768050.90000001</v>
      </c>
      <c r="D2246">
        <v>1</v>
      </c>
      <c r="E2246">
        <v>68854653.569999993</v>
      </c>
      <c r="F2246">
        <v>77432068.299999997</v>
      </c>
      <c r="G2246">
        <v>1</v>
      </c>
      <c r="H2246">
        <v>3</v>
      </c>
      <c r="I2246">
        <v>2</v>
      </c>
      <c r="J2246">
        <v>1.8</v>
      </c>
      <c r="K2246" t="s">
        <v>1268</v>
      </c>
    </row>
    <row r="2247" spans="1:11" x14ac:dyDescent="0.35">
      <c r="A2247" t="s">
        <v>2258</v>
      </c>
      <c r="B2247">
        <v>5</v>
      </c>
      <c r="C2247">
        <v>294804717.39999998</v>
      </c>
      <c r="D2247">
        <v>1</v>
      </c>
      <c r="E2247">
        <v>46196669.149999999</v>
      </c>
      <c r="F2247">
        <v>86960340.900000006</v>
      </c>
      <c r="G2247">
        <v>1</v>
      </c>
      <c r="H2247">
        <v>3</v>
      </c>
      <c r="I2247">
        <v>2</v>
      </c>
      <c r="J2247">
        <v>1.8</v>
      </c>
      <c r="K2247" t="s">
        <v>1268</v>
      </c>
    </row>
    <row r="2248" spans="1:11" x14ac:dyDescent="0.35">
      <c r="A2248" t="s">
        <v>2259</v>
      </c>
      <c r="B2248">
        <v>5</v>
      </c>
      <c r="C2248">
        <v>91424596.780000001</v>
      </c>
      <c r="D2248">
        <v>1</v>
      </c>
      <c r="E2248">
        <v>45967134.600000001</v>
      </c>
      <c r="F2248">
        <v>88533988.700000003</v>
      </c>
      <c r="G2248">
        <v>1</v>
      </c>
      <c r="H2248">
        <v>3</v>
      </c>
      <c r="I2248">
        <v>2</v>
      </c>
      <c r="J2248">
        <v>1.8</v>
      </c>
      <c r="K2248" t="s">
        <v>1268</v>
      </c>
    </row>
    <row r="2249" spans="1:11" x14ac:dyDescent="0.35">
      <c r="A2249" t="s">
        <v>2260</v>
      </c>
      <c r="B2249">
        <v>5</v>
      </c>
      <c r="C2249">
        <v>48404640.259999998</v>
      </c>
      <c r="D2249">
        <v>1</v>
      </c>
      <c r="E2249">
        <v>12116832.869999999</v>
      </c>
      <c r="F2249">
        <v>32605019</v>
      </c>
      <c r="G2249">
        <v>2</v>
      </c>
      <c r="H2249">
        <v>1</v>
      </c>
      <c r="I2249">
        <v>2</v>
      </c>
      <c r="J2249">
        <v>1.7</v>
      </c>
      <c r="K2249" t="s">
        <v>1268</v>
      </c>
    </row>
    <row r="2250" spans="1:11" x14ac:dyDescent="0.35">
      <c r="A2250" t="s">
        <v>2261</v>
      </c>
      <c r="B2250">
        <v>5</v>
      </c>
      <c r="C2250">
        <v>31335059.539999999</v>
      </c>
      <c r="D2250">
        <v>1</v>
      </c>
      <c r="E2250">
        <v>15238668.25</v>
      </c>
      <c r="F2250">
        <v>36509814.299999997</v>
      </c>
      <c r="G2250">
        <v>2</v>
      </c>
      <c r="H2250">
        <v>1</v>
      </c>
      <c r="I2250">
        <v>2</v>
      </c>
      <c r="J2250">
        <v>1.7</v>
      </c>
      <c r="K2250" t="s">
        <v>1268</v>
      </c>
    </row>
    <row r="2251" spans="1:11" x14ac:dyDescent="0.35">
      <c r="A2251" t="s">
        <v>2262</v>
      </c>
      <c r="B2251">
        <v>5</v>
      </c>
      <c r="C2251">
        <v>55983500.640000001</v>
      </c>
      <c r="D2251">
        <v>1</v>
      </c>
      <c r="E2251">
        <v>15153928.02</v>
      </c>
      <c r="F2251">
        <v>27980381.399999999</v>
      </c>
      <c r="G2251">
        <v>2</v>
      </c>
      <c r="H2251">
        <v>1</v>
      </c>
      <c r="I2251">
        <v>2</v>
      </c>
      <c r="J2251">
        <v>1.7</v>
      </c>
      <c r="K2251" t="s">
        <v>1268</v>
      </c>
    </row>
    <row r="2252" spans="1:11" x14ac:dyDescent="0.35">
      <c r="A2252" t="s">
        <v>2263</v>
      </c>
      <c r="B2252">
        <v>5</v>
      </c>
      <c r="C2252">
        <v>69483123.680000007</v>
      </c>
      <c r="D2252">
        <v>1</v>
      </c>
      <c r="E2252">
        <v>13097607.539999999</v>
      </c>
      <c r="F2252">
        <v>27428651.199999999</v>
      </c>
      <c r="G2252">
        <v>2</v>
      </c>
      <c r="H2252">
        <v>1</v>
      </c>
      <c r="I2252">
        <v>2</v>
      </c>
      <c r="J2252">
        <v>1.7</v>
      </c>
      <c r="K2252" t="s">
        <v>1268</v>
      </c>
    </row>
    <row r="2253" spans="1:11" x14ac:dyDescent="0.35">
      <c r="A2253" t="s">
        <v>2264</v>
      </c>
      <c r="B2253">
        <v>5</v>
      </c>
      <c r="C2253">
        <v>209108873.40000001</v>
      </c>
      <c r="D2253">
        <v>1</v>
      </c>
      <c r="E2253">
        <v>37335582.939999998</v>
      </c>
      <c r="F2253">
        <v>25312969.399999999</v>
      </c>
      <c r="G2253">
        <v>1</v>
      </c>
      <c r="H2253">
        <v>2</v>
      </c>
      <c r="I2253">
        <v>3</v>
      </c>
      <c r="J2253">
        <v>1.7</v>
      </c>
      <c r="K2253" t="s">
        <v>1268</v>
      </c>
    </row>
    <row r="2254" spans="1:11" x14ac:dyDescent="0.35">
      <c r="A2254" t="s">
        <v>2265</v>
      </c>
      <c r="B2254">
        <v>5</v>
      </c>
      <c r="C2254">
        <v>102521353.2</v>
      </c>
      <c r="D2254">
        <v>1</v>
      </c>
      <c r="E2254">
        <v>44187745.380000003</v>
      </c>
      <c r="F2254">
        <v>23538983.899999999</v>
      </c>
      <c r="G2254">
        <v>1</v>
      </c>
      <c r="H2254">
        <v>2</v>
      </c>
      <c r="I2254">
        <v>3</v>
      </c>
      <c r="J2254">
        <v>1.7</v>
      </c>
      <c r="K2254" t="s">
        <v>1268</v>
      </c>
    </row>
    <row r="2255" spans="1:11" x14ac:dyDescent="0.35">
      <c r="A2255" t="s">
        <v>2266</v>
      </c>
      <c r="B2255">
        <v>5</v>
      </c>
      <c r="C2255">
        <v>39618758.840000004</v>
      </c>
      <c r="D2255">
        <v>1</v>
      </c>
      <c r="E2255">
        <v>22187211.890000001</v>
      </c>
      <c r="F2255">
        <v>24622156.600000001</v>
      </c>
      <c r="G2255">
        <v>1</v>
      </c>
      <c r="H2255">
        <v>2</v>
      </c>
      <c r="I2255">
        <v>3</v>
      </c>
      <c r="J2255">
        <v>1.7</v>
      </c>
      <c r="K2255" t="s">
        <v>1268</v>
      </c>
    </row>
    <row r="2256" spans="1:11" x14ac:dyDescent="0.35">
      <c r="A2256" t="s">
        <v>2267</v>
      </c>
      <c r="B2256">
        <v>5</v>
      </c>
      <c r="C2256">
        <v>39989351.539999999</v>
      </c>
      <c r="D2256">
        <v>1</v>
      </c>
      <c r="E2256">
        <v>18126463.23</v>
      </c>
      <c r="F2256">
        <v>26415875.699999999</v>
      </c>
      <c r="G2256">
        <v>1</v>
      </c>
      <c r="H2256">
        <v>2</v>
      </c>
      <c r="I2256">
        <v>3</v>
      </c>
      <c r="J2256">
        <v>1.7</v>
      </c>
      <c r="K2256" t="s">
        <v>1268</v>
      </c>
    </row>
    <row r="2257" spans="1:11" x14ac:dyDescent="0.35">
      <c r="A2257" t="s">
        <v>2268</v>
      </c>
      <c r="B2257">
        <v>5</v>
      </c>
      <c r="C2257">
        <v>83727456.579999998</v>
      </c>
      <c r="D2257">
        <v>1</v>
      </c>
      <c r="E2257">
        <v>20907361.75</v>
      </c>
      <c r="F2257">
        <v>20649844.300000001</v>
      </c>
      <c r="G2257">
        <v>1</v>
      </c>
      <c r="H2257">
        <v>2</v>
      </c>
      <c r="I2257">
        <v>3</v>
      </c>
      <c r="J2257">
        <v>1.7</v>
      </c>
      <c r="K2257" t="s">
        <v>1268</v>
      </c>
    </row>
    <row r="2258" spans="1:11" x14ac:dyDescent="0.35">
      <c r="A2258" t="s">
        <v>2269</v>
      </c>
      <c r="B2258">
        <v>5</v>
      </c>
      <c r="C2258">
        <v>282546544.10000002</v>
      </c>
      <c r="D2258">
        <v>1</v>
      </c>
      <c r="E2258">
        <v>29361372.640000001</v>
      </c>
      <c r="F2258">
        <v>9975097.1999999993</v>
      </c>
      <c r="G2258">
        <v>1</v>
      </c>
      <c r="H2258">
        <v>2</v>
      </c>
      <c r="I2258">
        <v>3</v>
      </c>
      <c r="J2258">
        <v>1.7</v>
      </c>
      <c r="K2258" t="s">
        <v>1268</v>
      </c>
    </row>
    <row r="2259" spans="1:11" x14ac:dyDescent="0.35">
      <c r="A2259" t="s">
        <v>2270</v>
      </c>
      <c r="B2259">
        <v>5</v>
      </c>
      <c r="C2259">
        <v>84559561.180000007</v>
      </c>
      <c r="D2259">
        <v>1</v>
      </c>
      <c r="E2259">
        <v>17126157.789999999</v>
      </c>
      <c r="F2259">
        <v>10358185.199999999</v>
      </c>
      <c r="G2259">
        <v>1</v>
      </c>
      <c r="H2259">
        <v>2</v>
      </c>
      <c r="I2259">
        <v>3</v>
      </c>
      <c r="J2259">
        <v>1.7</v>
      </c>
      <c r="K2259" t="s">
        <v>1268</v>
      </c>
    </row>
    <row r="2260" spans="1:11" x14ac:dyDescent="0.35">
      <c r="A2260" t="s">
        <v>2271</v>
      </c>
      <c r="B2260">
        <v>5</v>
      </c>
      <c r="C2260">
        <v>84888298</v>
      </c>
      <c r="D2260">
        <v>1</v>
      </c>
      <c r="E2260">
        <v>15791295.029999999</v>
      </c>
      <c r="F2260">
        <v>10861408</v>
      </c>
      <c r="G2260">
        <v>1</v>
      </c>
      <c r="H2260">
        <v>2</v>
      </c>
      <c r="I2260">
        <v>3</v>
      </c>
      <c r="J2260">
        <v>1.7</v>
      </c>
      <c r="K2260" t="s">
        <v>1268</v>
      </c>
    </row>
    <row r="2261" spans="1:11" x14ac:dyDescent="0.35">
      <c r="A2261" t="s">
        <v>2272</v>
      </c>
      <c r="B2261">
        <v>5</v>
      </c>
      <c r="C2261">
        <v>65562991.200000003</v>
      </c>
      <c r="D2261">
        <v>1</v>
      </c>
      <c r="E2261">
        <v>18235136.469999999</v>
      </c>
      <c r="F2261">
        <v>18762272.399999999</v>
      </c>
      <c r="G2261">
        <v>1</v>
      </c>
      <c r="H2261">
        <v>2</v>
      </c>
      <c r="I2261">
        <v>3</v>
      </c>
      <c r="J2261">
        <v>1.7</v>
      </c>
      <c r="K2261" t="s">
        <v>1268</v>
      </c>
    </row>
    <row r="2262" spans="1:11" x14ac:dyDescent="0.35">
      <c r="A2262" t="s">
        <v>2273</v>
      </c>
      <c r="B2262">
        <v>5</v>
      </c>
      <c r="C2262">
        <v>149030868.30000001</v>
      </c>
      <c r="D2262">
        <v>1</v>
      </c>
      <c r="E2262">
        <v>19634584.350000001</v>
      </c>
      <c r="F2262">
        <v>15121685.4</v>
      </c>
      <c r="G2262">
        <v>1</v>
      </c>
      <c r="H2262">
        <v>2</v>
      </c>
      <c r="I2262">
        <v>3</v>
      </c>
      <c r="J2262">
        <v>1.7</v>
      </c>
      <c r="K2262" t="s">
        <v>1268</v>
      </c>
    </row>
    <row r="2263" spans="1:11" x14ac:dyDescent="0.35">
      <c r="A2263" t="s">
        <v>2274</v>
      </c>
      <c r="B2263">
        <v>5</v>
      </c>
      <c r="C2263">
        <v>29365621.460000001</v>
      </c>
      <c r="D2263">
        <v>1</v>
      </c>
      <c r="E2263">
        <v>43052130.869999997</v>
      </c>
      <c r="F2263">
        <v>1711689.8</v>
      </c>
      <c r="G2263">
        <v>1</v>
      </c>
      <c r="H2263">
        <v>2</v>
      </c>
      <c r="I2263">
        <v>3</v>
      </c>
      <c r="J2263">
        <v>1.7</v>
      </c>
      <c r="K2263" t="s">
        <v>1268</v>
      </c>
    </row>
    <row r="2264" spans="1:11" x14ac:dyDescent="0.35">
      <c r="A2264" t="s">
        <v>2275</v>
      </c>
      <c r="B2264">
        <v>5</v>
      </c>
      <c r="C2264">
        <v>148251382.40000001</v>
      </c>
      <c r="D2264">
        <v>1</v>
      </c>
      <c r="E2264">
        <v>17910482.949999999</v>
      </c>
      <c r="F2264">
        <v>1303528.5</v>
      </c>
      <c r="G2264">
        <v>1</v>
      </c>
      <c r="H2264">
        <v>2</v>
      </c>
      <c r="I2264">
        <v>3</v>
      </c>
      <c r="J2264">
        <v>1.7</v>
      </c>
      <c r="K2264" t="s">
        <v>1268</v>
      </c>
    </row>
    <row r="2265" spans="1:11" x14ac:dyDescent="0.35">
      <c r="A2265" t="s">
        <v>2276</v>
      </c>
      <c r="B2265">
        <v>5</v>
      </c>
      <c r="C2265">
        <v>263897203.09999999</v>
      </c>
      <c r="D2265">
        <v>1</v>
      </c>
      <c r="E2265">
        <v>23633782.91</v>
      </c>
      <c r="F2265">
        <v>4783819.8</v>
      </c>
      <c r="G2265">
        <v>1</v>
      </c>
      <c r="H2265">
        <v>2</v>
      </c>
      <c r="I2265">
        <v>3</v>
      </c>
      <c r="J2265">
        <v>1.7</v>
      </c>
      <c r="K2265" t="s">
        <v>1268</v>
      </c>
    </row>
    <row r="2266" spans="1:11" x14ac:dyDescent="0.35">
      <c r="A2266" t="s">
        <v>2277</v>
      </c>
      <c r="B2266">
        <v>5</v>
      </c>
      <c r="C2266">
        <v>7438384.5999999996</v>
      </c>
      <c r="D2266">
        <v>1</v>
      </c>
      <c r="E2266">
        <v>4701892.32</v>
      </c>
      <c r="F2266">
        <v>-5300201.3</v>
      </c>
      <c r="G2266">
        <v>1</v>
      </c>
      <c r="H2266">
        <v>1</v>
      </c>
      <c r="I2266">
        <v>4</v>
      </c>
      <c r="J2266">
        <v>1.6</v>
      </c>
      <c r="K2266" t="s">
        <v>1268</v>
      </c>
    </row>
    <row r="2267" spans="1:11" x14ac:dyDescent="0.35">
      <c r="A2267" t="s">
        <v>2278</v>
      </c>
      <c r="B2267">
        <v>5</v>
      </c>
      <c r="C2267">
        <v>16618057.460000001</v>
      </c>
      <c r="D2267">
        <v>1</v>
      </c>
      <c r="E2267">
        <v>7595223.2580000004</v>
      </c>
      <c r="F2267">
        <v>-5539873.2999999998</v>
      </c>
      <c r="G2267">
        <v>1</v>
      </c>
      <c r="H2267">
        <v>1</v>
      </c>
      <c r="I2267">
        <v>4</v>
      </c>
      <c r="J2267">
        <v>1.6</v>
      </c>
      <c r="K2267" t="s">
        <v>1268</v>
      </c>
    </row>
    <row r="2268" spans="1:11" x14ac:dyDescent="0.35">
      <c r="A2268" t="s">
        <v>2279</v>
      </c>
      <c r="B2268">
        <v>5</v>
      </c>
      <c r="C2268">
        <v>7558900.6799999997</v>
      </c>
      <c r="D2268">
        <v>1</v>
      </c>
      <c r="E2268">
        <v>2209382.176</v>
      </c>
      <c r="F2268">
        <v>-5928129.5</v>
      </c>
      <c r="G2268">
        <v>1</v>
      </c>
      <c r="H2268">
        <v>1</v>
      </c>
      <c r="I2268">
        <v>4</v>
      </c>
      <c r="J2268">
        <v>1.6</v>
      </c>
      <c r="K2268" t="s">
        <v>1268</v>
      </c>
    </row>
    <row r="2269" spans="1:11" x14ac:dyDescent="0.35">
      <c r="A2269" t="s">
        <v>2280</v>
      </c>
      <c r="B2269">
        <v>5</v>
      </c>
      <c r="C2269">
        <v>65034097.899999999</v>
      </c>
      <c r="D2269">
        <v>1</v>
      </c>
      <c r="E2269">
        <v>14734677.310000001</v>
      </c>
      <c r="F2269">
        <v>-16941684.699999999</v>
      </c>
      <c r="G2269">
        <v>1</v>
      </c>
      <c r="H2269">
        <v>1</v>
      </c>
      <c r="I2269">
        <v>4</v>
      </c>
      <c r="J2269">
        <v>1.6</v>
      </c>
      <c r="K2269" t="s">
        <v>1268</v>
      </c>
    </row>
    <row r="2270" spans="1:11" x14ac:dyDescent="0.35">
      <c r="A2270" t="s">
        <v>2281</v>
      </c>
      <c r="B2270">
        <v>5</v>
      </c>
      <c r="C2270">
        <v>13224686.32</v>
      </c>
      <c r="D2270">
        <v>1</v>
      </c>
      <c r="E2270">
        <v>9463879.5539999995</v>
      </c>
      <c r="F2270">
        <v>-10939788.4</v>
      </c>
      <c r="G2270">
        <v>1</v>
      </c>
      <c r="H2270">
        <v>1</v>
      </c>
      <c r="I2270">
        <v>4</v>
      </c>
      <c r="J2270">
        <v>1.6</v>
      </c>
      <c r="K2270" t="s">
        <v>1268</v>
      </c>
    </row>
    <row r="2271" spans="1:11" x14ac:dyDescent="0.35">
      <c r="A2271" t="s">
        <v>2282</v>
      </c>
      <c r="B2271">
        <v>5</v>
      </c>
      <c r="C2271">
        <v>42438449.880000003</v>
      </c>
      <c r="D2271">
        <v>1</v>
      </c>
      <c r="E2271">
        <v>15238523.85</v>
      </c>
      <c r="F2271">
        <v>-11452319.699999999</v>
      </c>
      <c r="G2271">
        <v>1</v>
      </c>
      <c r="H2271">
        <v>1</v>
      </c>
      <c r="I2271">
        <v>4</v>
      </c>
      <c r="J2271">
        <v>1.6</v>
      </c>
      <c r="K2271" t="s">
        <v>1268</v>
      </c>
    </row>
    <row r="2272" spans="1:11" x14ac:dyDescent="0.35">
      <c r="A2272" t="s">
        <v>2283</v>
      </c>
      <c r="B2272">
        <v>5</v>
      </c>
      <c r="C2272">
        <v>49606369.979999997</v>
      </c>
      <c r="D2272">
        <v>1</v>
      </c>
      <c r="E2272">
        <v>14227446.02</v>
      </c>
      <c r="F2272">
        <v>-11922299.699999999</v>
      </c>
      <c r="G2272">
        <v>1</v>
      </c>
      <c r="H2272">
        <v>1</v>
      </c>
      <c r="I2272">
        <v>4</v>
      </c>
      <c r="J2272">
        <v>1.6</v>
      </c>
      <c r="K2272" t="s">
        <v>1268</v>
      </c>
    </row>
    <row r="2273" spans="1:11" x14ac:dyDescent="0.35">
      <c r="A2273" t="s">
        <v>2284</v>
      </c>
      <c r="B2273">
        <v>5</v>
      </c>
      <c r="C2273">
        <v>4840375.5</v>
      </c>
      <c r="D2273">
        <v>1</v>
      </c>
      <c r="E2273">
        <v>4838954.1919999998</v>
      </c>
      <c r="F2273">
        <v>-7749470.4000000004</v>
      </c>
      <c r="G2273">
        <v>1</v>
      </c>
      <c r="H2273">
        <v>1</v>
      </c>
      <c r="I2273">
        <v>4</v>
      </c>
      <c r="J2273">
        <v>1.6</v>
      </c>
      <c r="K2273" t="s">
        <v>1268</v>
      </c>
    </row>
    <row r="2274" spans="1:11" x14ac:dyDescent="0.35">
      <c r="A2274" t="s">
        <v>2285</v>
      </c>
      <c r="B2274">
        <v>5</v>
      </c>
      <c r="C2274">
        <v>8979465.2200000007</v>
      </c>
      <c r="D2274">
        <v>1</v>
      </c>
      <c r="E2274">
        <v>3704955.5830000001</v>
      </c>
      <c r="F2274">
        <v>-7271538.2000000002</v>
      </c>
      <c r="G2274">
        <v>1</v>
      </c>
      <c r="H2274">
        <v>1</v>
      </c>
      <c r="I2274">
        <v>4</v>
      </c>
      <c r="J2274">
        <v>1.6</v>
      </c>
      <c r="K2274" t="s">
        <v>1268</v>
      </c>
    </row>
    <row r="2275" spans="1:11" x14ac:dyDescent="0.35">
      <c r="A2275" t="s">
        <v>2286</v>
      </c>
      <c r="B2275">
        <v>5</v>
      </c>
      <c r="C2275">
        <v>22296946.260000002</v>
      </c>
      <c r="D2275">
        <v>1</v>
      </c>
      <c r="E2275">
        <v>15213387.689999999</v>
      </c>
      <c r="F2275">
        <v>-37499972.299999997</v>
      </c>
      <c r="G2275">
        <v>1</v>
      </c>
      <c r="H2275">
        <v>1</v>
      </c>
      <c r="I2275">
        <v>4</v>
      </c>
      <c r="J2275">
        <v>1.6</v>
      </c>
      <c r="K2275" t="s">
        <v>1268</v>
      </c>
    </row>
    <row r="2276" spans="1:11" x14ac:dyDescent="0.35">
      <c r="A2276" t="s">
        <v>2287</v>
      </c>
      <c r="B2276">
        <v>5</v>
      </c>
      <c r="C2276">
        <v>126790576.40000001</v>
      </c>
      <c r="D2276">
        <v>1</v>
      </c>
      <c r="E2276">
        <v>97172067.900000006</v>
      </c>
      <c r="F2276">
        <v>227200222.59999999</v>
      </c>
      <c r="G2276">
        <v>1</v>
      </c>
      <c r="H2276">
        <v>3</v>
      </c>
      <c r="I2276">
        <v>1</v>
      </c>
      <c r="J2276">
        <v>1.6</v>
      </c>
      <c r="K2276" t="s">
        <v>1268</v>
      </c>
    </row>
    <row r="2277" spans="1:11" x14ac:dyDescent="0.35">
      <c r="A2277" t="s">
        <v>2288</v>
      </c>
      <c r="B2277">
        <v>5</v>
      </c>
      <c r="C2277">
        <v>265612559.30000001</v>
      </c>
      <c r="D2277">
        <v>1</v>
      </c>
      <c r="E2277">
        <v>109182594.90000001</v>
      </c>
      <c r="F2277">
        <v>226471746.69999999</v>
      </c>
      <c r="G2277">
        <v>1</v>
      </c>
      <c r="H2277">
        <v>3</v>
      </c>
      <c r="I2277">
        <v>1</v>
      </c>
      <c r="J2277">
        <v>1.6</v>
      </c>
      <c r="K2277" t="s">
        <v>1268</v>
      </c>
    </row>
    <row r="2278" spans="1:11" x14ac:dyDescent="0.35">
      <c r="A2278" t="s">
        <v>2289</v>
      </c>
      <c r="B2278">
        <v>5</v>
      </c>
      <c r="C2278">
        <v>313036790.69999999</v>
      </c>
      <c r="D2278">
        <v>1</v>
      </c>
      <c r="E2278">
        <v>86790785.930000007</v>
      </c>
      <c r="F2278">
        <v>232755012.19999999</v>
      </c>
      <c r="G2278">
        <v>1</v>
      </c>
      <c r="H2278">
        <v>3</v>
      </c>
      <c r="I2278">
        <v>1</v>
      </c>
      <c r="J2278">
        <v>1.6</v>
      </c>
      <c r="K2278" t="s">
        <v>1268</v>
      </c>
    </row>
    <row r="2279" spans="1:11" x14ac:dyDescent="0.35">
      <c r="A2279" t="s">
        <v>2290</v>
      </c>
      <c r="B2279">
        <v>5</v>
      </c>
      <c r="C2279">
        <v>118986237.5</v>
      </c>
      <c r="D2279">
        <v>1</v>
      </c>
      <c r="E2279">
        <v>94145489.709999993</v>
      </c>
      <c r="F2279">
        <v>223305940.40000001</v>
      </c>
      <c r="G2279">
        <v>1</v>
      </c>
      <c r="H2279">
        <v>3</v>
      </c>
      <c r="I2279">
        <v>1</v>
      </c>
      <c r="J2279">
        <v>1.6</v>
      </c>
      <c r="K2279" t="s">
        <v>1268</v>
      </c>
    </row>
    <row r="2280" spans="1:11" x14ac:dyDescent="0.35">
      <c r="A2280" t="s">
        <v>2291</v>
      </c>
      <c r="B2280">
        <v>5</v>
      </c>
      <c r="C2280">
        <v>254266216</v>
      </c>
      <c r="D2280">
        <v>1</v>
      </c>
      <c r="E2280">
        <v>102879709.09999999</v>
      </c>
      <c r="F2280">
        <v>239858359.90000001</v>
      </c>
      <c r="G2280">
        <v>1</v>
      </c>
      <c r="H2280">
        <v>3</v>
      </c>
      <c r="I2280">
        <v>1</v>
      </c>
      <c r="J2280">
        <v>1.6</v>
      </c>
      <c r="K2280" t="s">
        <v>1268</v>
      </c>
    </row>
    <row r="2281" spans="1:11" x14ac:dyDescent="0.35">
      <c r="A2281" t="s">
        <v>2292</v>
      </c>
      <c r="B2281">
        <v>5</v>
      </c>
      <c r="C2281">
        <v>386777196.89999998</v>
      </c>
      <c r="D2281">
        <v>1</v>
      </c>
      <c r="E2281">
        <v>96143161.260000005</v>
      </c>
      <c r="F2281">
        <v>239293030.90000001</v>
      </c>
      <c r="G2281">
        <v>1</v>
      </c>
      <c r="H2281">
        <v>3</v>
      </c>
      <c r="I2281">
        <v>1</v>
      </c>
      <c r="J2281">
        <v>1.6</v>
      </c>
      <c r="K2281" t="s">
        <v>1268</v>
      </c>
    </row>
    <row r="2282" spans="1:11" x14ac:dyDescent="0.35">
      <c r="A2282" t="s">
        <v>2293</v>
      </c>
      <c r="B2282">
        <v>5</v>
      </c>
      <c r="C2282">
        <v>170301035.40000001</v>
      </c>
      <c r="D2282">
        <v>1</v>
      </c>
      <c r="E2282">
        <v>101733322.40000001</v>
      </c>
      <c r="F2282">
        <v>235116966.30000001</v>
      </c>
      <c r="G2282">
        <v>1</v>
      </c>
      <c r="H2282">
        <v>3</v>
      </c>
      <c r="I2282">
        <v>1</v>
      </c>
      <c r="J2282">
        <v>1.6</v>
      </c>
      <c r="K2282" t="s">
        <v>1268</v>
      </c>
    </row>
    <row r="2283" spans="1:11" x14ac:dyDescent="0.35">
      <c r="A2283" t="s">
        <v>2294</v>
      </c>
      <c r="B2283">
        <v>5</v>
      </c>
      <c r="C2283">
        <v>187477465.90000001</v>
      </c>
      <c r="D2283">
        <v>1</v>
      </c>
      <c r="E2283">
        <v>101295911.40000001</v>
      </c>
      <c r="F2283">
        <v>234866379.69999999</v>
      </c>
      <c r="G2283">
        <v>1</v>
      </c>
      <c r="H2283">
        <v>3</v>
      </c>
      <c r="I2283">
        <v>1</v>
      </c>
      <c r="J2283">
        <v>1.6</v>
      </c>
      <c r="K2283" t="s">
        <v>1268</v>
      </c>
    </row>
    <row r="2284" spans="1:11" x14ac:dyDescent="0.35">
      <c r="A2284" t="s">
        <v>2295</v>
      </c>
      <c r="B2284">
        <v>5</v>
      </c>
      <c r="C2284">
        <v>274796188.19999999</v>
      </c>
      <c r="D2284">
        <v>1</v>
      </c>
      <c r="E2284">
        <v>108544986.7</v>
      </c>
      <c r="F2284">
        <v>242797815.5</v>
      </c>
      <c r="G2284">
        <v>1</v>
      </c>
      <c r="H2284">
        <v>3</v>
      </c>
      <c r="I2284">
        <v>1</v>
      </c>
      <c r="J2284">
        <v>1.6</v>
      </c>
      <c r="K2284" t="s">
        <v>1268</v>
      </c>
    </row>
    <row r="2285" spans="1:11" x14ac:dyDescent="0.35">
      <c r="A2285" t="s">
        <v>2296</v>
      </c>
      <c r="B2285">
        <v>5</v>
      </c>
      <c r="C2285">
        <v>320557770.10000002</v>
      </c>
      <c r="D2285">
        <v>1</v>
      </c>
      <c r="E2285">
        <v>99247968.239999995</v>
      </c>
      <c r="F2285">
        <v>238162997.09999999</v>
      </c>
      <c r="G2285">
        <v>1</v>
      </c>
      <c r="H2285">
        <v>3</v>
      </c>
      <c r="I2285">
        <v>1</v>
      </c>
      <c r="J2285">
        <v>1.6</v>
      </c>
      <c r="K2285" t="s">
        <v>1268</v>
      </c>
    </row>
    <row r="2286" spans="1:11" x14ac:dyDescent="0.35">
      <c r="A2286" t="s">
        <v>2297</v>
      </c>
      <c r="B2286">
        <v>5</v>
      </c>
      <c r="C2286">
        <v>22607690.859999999</v>
      </c>
      <c r="D2286">
        <v>1</v>
      </c>
      <c r="E2286">
        <v>18531899.18</v>
      </c>
      <c r="F2286">
        <v>28163215.199999999</v>
      </c>
      <c r="G2286">
        <v>1</v>
      </c>
      <c r="H2286">
        <v>2</v>
      </c>
      <c r="I2286">
        <v>2</v>
      </c>
      <c r="J2286">
        <v>1.5</v>
      </c>
      <c r="K2286" t="s">
        <v>1268</v>
      </c>
    </row>
    <row r="2287" spans="1:11" x14ac:dyDescent="0.35">
      <c r="A2287" t="s">
        <v>2298</v>
      </c>
      <c r="B2287">
        <v>5</v>
      </c>
      <c r="C2287">
        <v>819181949.70000005</v>
      </c>
      <c r="D2287">
        <v>1</v>
      </c>
      <c r="E2287">
        <v>22104496.949999999</v>
      </c>
      <c r="F2287">
        <v>28066161.300000001</v>
      </c>
      <c r="G2287">
        <v>1</v>
      </c>
      <c r="H2287">
        <v>2</v>
      </c>
      <c r="I2287">
        <v>2</v>
      </c>
      <c r="J2287">
        <v>1.5</v>
      </c>
      <c r="K2287" t="s">
        <v>1268</v>
      </c>
    </row>
    <row r="2288" spans="1:11" x14ac:dyDescent="0.35">
      <c r="A2288" t="s">
        <v>2299</v>
      </c>
      <c r="B2288">
        <v>5</v>
      </c>
      <c r="C2288">
        <v>62271779.899999999</v>
      </c>
      <c r="D2288">
        <v>1</v>
      </c>
      <c r="E2288">
        <v>34976951.219999999</v>
      </c>
      <c r="F2288">
        <v>28891391.5</v>
      </c>
      <c r="G2288">
        <v>1</v>
      </c>
      <c r="H2288">
        <v>2</v>
      </c>
      <c r="I2288">
        <v>2</v>
      </c>
      <c r="J2288">
        <v>1.5</v>
      </c>
      <c r="K2288" t="s">
        <v>1268</v>
      </c>
    </row>
    <row r="2289" spans="1:11" x14ac:dyDescent="0.35">
      <c r="A2289" t="s">
        <v>2300</v>
      </c>
      <c r="B2289">
        <v>5</v>
      </c>
      <c r="C2289">
        <v>129342642.7</v>
      </c>
      <c r="D2289">
        <v>1</v>
      </c>
      <c r="E2289">
        <v>25347101.300000001</v>
      </c>
      <c r="F2289">
        <v>31071708.699999999</v>
      </c>
      <c r="G2289">
        <v>1</v>
      </c>
      <c r="H2289">
        <v>2</v>
      </c>
      <c r="I2289">
        <v>2</v>
      </c>
      <c r="J2289">
        <v>1.5</v>
      </c>
      <c r="K2289" t="s">
        <v>1268</v>
      </c>
    </row>
    <row r="2290" spans="1:11" x14ac:dyDescent="0.35">
      <c r="A2290" t="s">
        <v>2301</v>
      </c>
      <c r="B2290">
        <v>5</v>
      </c>
      <c r="C2290">
        <v>117239659.59999999</v>
      </c>
      <c r="D2290">
        <v>1</v>
      </c>
      <c r="E2290">
        <v>29776670.32</v>
      </c>
      <c r="F2290">
        <v>37327772.399999999</v>
      </c>
      <c r="G2290">
        <v>1</v>
      </c>
      <c r="H2290">
        <v>2</v>
      </c>
      <c r="I2290">
        <v>2</v>
      </c>
      <c r="J2290">
        <v>1.5</v>
      </c>
      <c r="K2290" t="s">
        <v>1268</v>
      </c>
    </row>
    <row r="2291" spans="1:11" x14ac:dyDescent="0.35">
      <c r="A2291" t="s">
        <v>2302</v>
      </c>
      <c r="B2291">
        <v>5</v>
      </c>
      <c r="C2291">
        <v>56015430.259999998</v>
      </c>
      <c r="D2291">
        <v>1</v>
      </c>
      <c r="E2291">
        <v>45224135.049999997</v>
      </c>
      <c r="F2291">
        <v>37217754.299999997</v>
      </c>
      <c r="G2291">
        <v>1</v>
      </c>
      <c r="H2291">
        <v>2</v>
      </c>
      <c r="I2291">
        <v>2</v>
      </c>
      <c r="J2291">
        <v>1.5</v>
      </c>
      <c r="K2291" t="s">
        <v>1268</v>
      </c>
    </row>
    <row r="2292" spans="1:11" x14ac:dyDescent="0.35">
      <c r="A2292" t="s">
        <v>2303</v>
      </c>
      <c r="B2292">
        <v>5</v>
      </c>
      <c r="C2292">
        <v>42707929.740000002</v>
      </c>
      <c r="D2292">
        <v>1</v>
      </c>
      <c r="E2292">
        <v>15405400.970000001</v>
      </c>
      <c r="F2292">
        <v>36939552.299999997</v>
      </c>
      <c r="G2292">
        <v>1</v>
      </c>
      <c r="H2292">
        <v>2</v>
      </c>
      <c r="I2292">
        <v>2</v>
      </c>
      <c r="J2292">
        <v>1.5</v>
      </c>
      <c r="K2292" t="s">
        <v>1268</v>
      </c>
    </row>
    <row r="2293" spans="1:11" x14ac:dyDescent="0.35">
      <c r="A2293" t="s">
        <v>2304</v>
      </c>
      <c r="B2293">
        <v>5</v>
      </c>
      <c r="C2293">
        <v>64524727.420000002</v>
      </c>
      <c r="D2293">
        <v>1</v>
      </c>
      <c r="E2293">
        <v>29051208.210000001</v>
      </c>
      <c r="F2293">
        <v>32491004.100000001</v>
      </c>
      <c r="G2293">
        <v>1</v>
      </c>
      <c r="H2293">
        <v>2</v>
      </c>
      <c r="I2293">
        <v>2</v>
      </c>
      <c r="J2293">
        <v>1.5</v>
      </c>
      <c r="K2293" t="s">
        <v>1268</v>
      </c>
    </row>
    <row r="2294" spans="1:11" x14ac:dyDescent="0.35">
      <c r="A2294" t="s">
        <v>2305</v>
      </c>
      <c r="B2294">
        <v>5</v>
      </c>
      <c r="C2294">
        <v>72634571.040000007</v>
      </c>
      <c r="D2294">
        <v>1</v>
      </c>
      <c r="E2294">
        <v>42877866.030000001</v>
      </c>
      <c r="F2294">
        <v>85994823.700000003</v>
      </c>
      <c r="G2294">
        <v>1</v>
      </c>
      <c r="H2294">
        <v>2</v>
      </c>
      <c r="I2294">
        <v>2</v>
      </c>
      <c r="J2294">
        <v>1.5</v>
      </c>
      <c r="K2294" t="s">
        <v>1268</v>
      </c>
    </row>
    <row r="2295" spans="1:11" x14ac:dyDescent="0.35">
      <c r="A2295" t="s">
        <v>2306</v>
      </c>
      <c r="B2295">
        <v>5</v>
      </c>
      <c r="C2295">
        <v>146175414.59999999</v>
      </c>
      <c r="D2295">
        <v>1</v>
      </c>
      <c r="E2295">
        <v>35503574.259999998</v>
      </c>
      <c r="F2295">
        <v>82700909.299999997</v>
      </c>
      <c r="G2295">
        <v>1</v>
      </c>
      <c r="H2295">
        <v>2</v>
      </c>
      <c r="I2295">
        <v>2</v>
      </c>
      <c r="J2295">
        <v>1.5</v>
      </c>
      <c r="K2295" t="s">
        <v>1268</v>
      </c>
    </row>
    <row r="2296" spans="1:11" x14ac:dyDescent="0.35">
      <c r="A2296" t="s">
        <v>2307</v>
      </c>
      <c r="B2296">
        <v>5</v>
      </c>
      <c r="C2296">
        <v>336475251.30000001</v>
      </c>
      <c r="D2296">
        <v>1</v>
      </c>
      <c r="E2296">
        <v>39979232</v>
      </c>
      <c r="F2296">
        <v>82179274.400000006</v>
      </c>
      <c r="G2296">
        <v>1</v>
      </c>
      <c r="H2296">
        <v>2</v>
      </c>
      <c r="I2296">
        <v>2</v>
      </c>
      <c r="J2296">
        <v>1.5</v>
      </c>
      <c r="K2296" t="s">
        <v>1268</v>
      </c>
    </row>
    <row r="2297" spans="1:11" x14ac:dyDescent="0.35">
      <c r="A2297" t="s">
        <v>2308</v>
      </c>
      <c r="B2297">
        <v>5</v>
      </c>
      <c r="C2297">
        <v>312998051.69999999</v>
      </c>
      <c r="D2297">
        <v>1</v>
      </c>
      <c r="E2297">
        <v>39518167.75</v>
      </c>
      <c r="F2297">
        <v>95194574.700000003</v>
      </c>
      <c r="G2297">
        <v>1</v>
      </c>
      <c r="H2297">
        <v>2</v>
      </c>
      <c r="I2297">
        <v>2</v>
      </c>
      <c r="J2297">
        <v>1.5</v>
      </c>
      <c r="K2297" t="s">
        <v>1268</v>
      </c>
    </row>
    <row r="2298" spans="1:11" x14ac:dyDescent="0.35">
      <c r="A2298" t="s">
        <v>2309</v>
      </c>
      <c r="B2298">
        <v>5</v>
      </c>
      <c r="C2298">
        <v>145224717.09999999</v>
      </c>
      <c r="D2298">
        <v>1</v>
      </c>
      <c r="E2298">
        <v>44791375.079999998</v>
      </c>
      <c r="F2298">
        <v>91064513.599999994</v>
      </c>
      <c r="G2298">
        <v>1</v>
      </c>
      <c r="H2298">
        <v>2</v>
      </c>
      <c r="I2298">
        <v>2</v>
      </c>
      <c r="J2298">
        <v>1.5</v>
      </c>
      <c r="K2298" t="s">
        <v>1268</v>
      </c>
    </row>
    <row r="2299" spans="1:11" x14ac:dyDescent="0.35">
      <c r="A2299" t="s">
        <v>2310</v>
      </c>
      <c r="B2299">
        <v>5</v>
      </c>
      <c r="C2299">
        <v>59403872.939999998</v>
      </c>
      <c r="D2299">
        <v>1</v>
      </c>
      <c r="E2299">
        <v>41682571.619999997</v>
      </c>
      <c r="F2299">
        <v>74779176</v>
      </c>
      <c r="G2299">
        <v>1</v>
      </c>
      <c r="H2299">
        <v>2</v>
      </c>
      <c r="I2299">
        <v>2</v>
      </c>
      <c r="J2299">
        <v>1.5</v>
      </c>
      <c r="K2299" t="s">
        <v>1268</v>
      </c>
    </row>
    <row r="2300" spans="1:11" x14ac:dyDescent="0.35">
      <c r="A2300" t="s">
        <v>2311</v>
      </c>
      <c r="B2300">
        <v>5</v>
      </c>
      <c r="C2300">
        <v>230773212.40000001</v>
      </c>
      <c r="D2300">
        <v>1</v>
      </c>
      <c r="E2300">
        <v>29314908.039999999</v>
      </c>
      <c r="F2300">
        <v>72638078.5</v>
      </c>
      <c r="G2300">
        <v>1</v>
      </c>
      <c r="H2300">
        <v>2</v>
      </c>
      <c r="I2300">
        <v>2</v>
      </c>
      <c r="J2300">
        <v>1.5</v>
      </c>
      <c r="K2300" t="s">
        <v>1268</v>
      </c>
    </row>
    <row r="2301" spans="1:11" x14ac:dyDescent="0.35">
      <c r="A2301" t="s">
        <v>2312</v>
      </c>
      <c r="B2301">
        <v>5</v>
      </c>
      <c r="C2301">
        <v>151695224.30000001</v>
      </c>
      <c r="D2301">
        <v>1</v>
      </c>
      <c r="E2301">
        <v>38419298.909999996</v>
      </c>
      <c r="F2301">
        <v>77870456.799999997</v>
      </c>
      <c r="G2301">
        <v>1</v>
      </c>
      <c r="H2301">
        <v>2</v>
      </c>
      <c r="I2301">
        <v>2</v>
      </c>
      <c r="J2301">
        <v>1.5</v>
      </c>
      <c r="K2301" t="s">
        <v>1268</v>
      </c>
    </row>
    <row r="2302" spans="1:11" x14ac:dyDescent="0.35">
      <c r="A2302" t="s">
        <v>2313</v>
      </c>
      <c r="B2302">
        <v>5</v>
      </c>
      <c r="C2302">
        <v>42331104.640000001</v>
      </c>
      <c r="D2302">
        <v>1</v>
      </c>
      <c r="E2302">
        <v>38553185.609999999</v>
      </c>
      <c r="F2302">
        <v>78804251.799999997</v>
      </c>
      <c r="G2302">
        <v>1</v>
      </c>
      <c r="H2302">
        <v>2</v>
      </c>
      <c r="I2302">
        <v>2</v>
      </c>
      <c r="J2302">
        <v>1.5</v>
      </c>
      <c r="K2302" t="s">
        <v>1268</v>
      </c>
    </row>
    <row r="2303" spans="1:11" x14ac:dyDescent="0.35">
      <c r="A2303" t="s">
        <v>2314</v>
      </c>
      <c r="B2303">
        <v>5</v>
      </c>
      <c r="C2303">
        <v>108929297.3</v>
      </c>
      <c r="D2303">
        <v>1</v>
      </c>
      <c r="E2303">
        <v>37703803.130000003</v>
      </c>
      <c r="F2303">
        <v>80168405.400000006</v>
      </c>
      <c r="G2303">
        <v>1</v>
      </c>
      <c r="H2303">
        <v>2</v>
      </c>
      <c r="I2303">
        <v>2</v>
      </c>
      <c r="J2303">
        <v>1.5</v>
      </c>
      <c r="K2303" t="s">
        <v>1268</v>
      </c>
    </row>
    <row r="2304" spans="1:11" x14ac:dyDescent="0.35">
      <c r="A2304" t="s">
        <v>2315</v>
      </c>
      <c r="B2304">
        <v>5</v>
      </c>
      <c r="C2304">
        <v>64247712.82</v>
      </c>
      <c r="D2304">
        <v>1</v>
      </c>
      <c r="E2304">
        <v>41200955.210000001</v>
      </c>
      <c r="F2304">
        <v>101407325.7</v>
      </c>
      <c r="G2304">
        <v>1</v>
      </c>
      <c r="H2304">
        <v>2</v>
      </c>
      <c r="I2304">
        <v>2</v>
      </c>
      <c r="J2304">
        <v>1.5</v>
      </c>
      <c r="K2304" t="s">
        <v>1268</v>
      </c>
    </row>
    <row r="2305" spans="1:11" x14ac:dyDescent="0.35">
      <c r="A2305" t="s">
        <v>2316</v>
      </c>
      <c r="B2305">
        <v>5</v>
      </c>
      <c r="C2305">
        <v>399270120.10000002</v>
      </c>
      <c r="D2305">
        <v>1</v>
      </c>
      <c r="E2305">
        <v>41472366.82</v>
      </c>
      <c r="F2305">
        <v>99943859.700000003</v>
      </c>
      <c r="G2305">
        <v>1</v>
      </c>
      <c r="H2305">
        <v>2</v>
      </c>
      <c r="I2305">
        <v>2</v>
      </c>
      <c r="J2305">
        <v>1.5</v>
      </c>
      <c r="K2305" t="s">
        <v>1268</v>
      </c>
    </row>
    <row r="2306" spans="1:11" x14ac:dyDescent="0.35">
      <c r="A2306" t="s">
        <v>2317</v>
      </c>
      <c r="B2306">
        <v>5</v>
      </c>
      <c r="C2306">
        <v>276471026</v>
      </c>
      <c r="D2306">
        <v>1</v>
      </c>
      <c r="E2306">
        <v>39245762.509999998</v>
      </c>
      <c r="F2306">
        <v>54618823.299999997</v>
      </c>
      <c r="G2306">
        <v>1</v>
      </c>
      <c r="H2306">
        <v>2</v>
      </c>
      <c r="I2306">
        <v>2</v>
      </c>
      <c r="J2306">
        <v>1.5</v>
      </c>
      <c r="K2306" t="s">
        <v>1268</v>
      </c>
    </row>
    <row r="2307" spans="1:11" x14ac:dyDescent="0.35">
      <c r="A2307" t="s">
        <v>2318</v>
      </c>
      <c r="B2307">
        <v>5</v>
      </c>
      <c r="C2307">
        <v>176320206.5</v>
      </c>
      <c r="D2307">
        <v>1</v>
      </c>
      <c r="E2307">
        <v>26883699.050000001</v>
      </c>
      <c r="F2307">
        <v>53548713.399999999</v>
      </c>
      <c r="G2307">
        <v>1</v>
      </c>
      <c r="H2307">
        <v>2</v>
      </c>
      <c r="I2307">
        <v>2</v>
      </c>
      <c r="J2307">
        <v>1.5</v>
      </c>
      <c r="K2307" t="s">
        <v>1268</v>
      </c>
    </row>
    <row r="2308" spans="1:11" x14ac:dyDescent="0.35">
      <c r="A2308" t="s">
        <v>2319</v>
      </c>
      <c r="B2308">
        <v>5</v>
      </c>
      <c r="C2308">
        <v>59164966.640000001</v>
      </c>
      <c r="D2308">
        <v>1</v>
      </c>
      <c r="E2308">
        <v>21785937.440000001</v>
      </c>
      <c r="F2308">
        <v>53479648.600000001</v>
      </c>
      <c r="G2308">
        <v>1</v>
      </c>
      <c r="H2308">
        <v>2</v>
      </c>
      <c r="I2308">
        <v>2</v>
      </c>
      <c r="J2308">
        <v>1.5</v>
      </c>
      <c r="K2308" t="s">
        <v>1268</v>
      </c>
    </row>
    <row r="2309" spans="1:11" x14ac:dyDescent="0.35">
      <c r="A2309" t="s">
        <v>2320</v>
      </c>
      <c r="B2309">
        <v>5</v>
      </c>
      <c r="C2309">
        <v>471434272.89999998</v>
      </c>
      <c r="D2309">
        <v>1</v>
      </c>
      <c r="E2309">
        <v>38010143.57</v>
      </c>
      <c r="F2309">
        <v>52218827.299999997</v>
      </c>
      <c r="G2309">
        <v>1</v>
      </c>
      <c r="H2309">
        <v>2</v>
      </c>
      <c r="I2309">
        <v>2</v>
      </c>
      <c r="J2309">
        <v>1.5</v>
      </c>
      <c r="K2309" t="s">
        <v>1268</v>
      </c>
    </row>
    <row r="2310" spans="1:11" x14ac:dyDescent="0.35">
      <c r="A2310" t="s">
        <v>2321</v>
      </c>
      <c r="B2310">
        <v>5</v>
      </c>
      <c r="C2310">
        <v>38713616.340000004</v>
      </c>
      <c r="D2310">
        <v>1</v>
      </c>
      <c r="E2310">
        <v>24443878.859999999</v>
      </c>
      <c r="F2310">
        <v>59421088.200000003</v>
      </c>
      <c r="G2310">
        <v>1</v>
      </c>
      <c r="H2310">
        <v>2</v>
      </c>
      <c r="I2310">
        <v>2</v>
      </c>
      <c r="J2310">
        <v>1.5</v>
      </c>
      <c r="K2310" t="s">
        <v>1268</v>
      </c>
    </row>
    <row r="2311" spans="1:11" x14ac:dyDescent="0.35">
      <c r="A2311" t="s">
        <v>2322</v>
      </c>
      <c r="B2311">
        <v>5</v>
      </c>
      <c r="C2311">
        <v>264306526.80000001</v>
      </c>
      <c r="D2311">
        <v>1</v>
      </c>
      <c r="E2311">
        <v>35093303.07</v>
      </c>
      <c r="F2311">
        <v>56340728.600000001</v>
      </c>
      <c r="G2311">
        <v>1</v>
      </c>
      <c r="H2311">
        <v>2</v>
      </c>
      <c r="I2311">
        <v>2</v>
      </c>
      <c r="J2311">
        <v>1.5</v>
      </c>
      <c r="K2311" t="s">
        <v>1268</v>
      </c>
    </row>
    <row r="2312" spans="1:11" x14ac:dyDescent="0.35">
      <c r="A2312" t="s">
        <v>2323</v>
      </c>
      <c r="B2312">
        <v>5</v>
      </c>
      <c r="C2312">
        <v>190217099.69999999</v>
      </c>
      <c r="D2312">
        <v>1</v>
      </c>
      <c r="E2312">
        <v>36133037.200000003</v>
      </c>
      <c r="F2312">
        <v>71337348.900000006</v>
      </c>
      <c r="G2312">
        <v>1</v>
      </c>
      <c r="H2312">
        <v>2</v>
      </c>
      <c r="I2312">
        <v>2</v>
      </c>
      <c r="J2312">
        <v>1.5</v>
      </c>
      <c r="K2312" t="s">
        <v>1268</v>
      </c>
    </row>
    <row r="2313" spans="1:11" x14ac:dyDescent="0.35">
      <c r="A2313" t="s">
        <v>2324</v>
      </c>
      <c r="B2313">
        <v>5</v>
      </c>
      <c r="C2313">
        <v>86910955.359999999</v>
      </c>
      <c r="D2313">
        <v>1</v>
      </c>
      <c r="E2313">
        <v>31050029.699999999</v>
      </c>
      <c r="F2313">
        <v>70942610.299999997</v>
      </c>
      <c r="G2313">
        <v>1</v>
      </c>
      <c r="H2313">
        <v>2</v>
      </c>
      <c r="I2313">
        <v>2</v>
      </c>
      <c r="J2313">
        <v>1.5</v>
      </c>
      <c r="K2313" t="s">
        <v>1268</v>
      </c>
    </row>
    <row r="2314" spans="1:11" x14ac:dyDescent="0.35">
      <c r="A2314" t="s">
        <v>2325</v>
      </c>
      <c r="B2314">
        <v>5</v>
      </c>
      <c r="C2314">
        <v>45268565.859999999</v>
      </c>
      <c r="D2314">
        <v>1</v>
      </c>
      <c r="E2314">
        <v>28420039.300000001</v>
      </c>
      <c r="F2314">
        <v>71955331.299999997</v>
      </c>
      <c r="G2314">
        <v>1</v>
      </c>
      <c r="H2314">
        <v>2</v>
      </c>
      <c r="I2314">
        <v>2</v>
      </c>
      <c r="J2314">
        <v>1.5</v>
      </c>
      <c r="K2314" t="s">
        <v>1268</v>
      </c>
    </row>
    <row r="2315" spans="1:11" x14ac:dyDescent="0.35">
      <c r="A2315" t="s">
        <v>2326</v>
      </c>
      <c r="B2315">
        <v>5</v>
      </c>
      <c r="C2315">
        <v>97977191.340000004</v>
      </c>
      <c r="D2315">
        <v>1</v>
      </c>
      <c r="E2315">
        <v>42407162.880000003</v>
      </c>
      <c r="F2315">
        <v>69954954.599999994</v>
      </c>
      <c r="G2315">
        <v>1</v>
      </c>
      <c r="H2315">
        <v>2</v>
      </c>
      <c r="I2315">
        <v>2</v>
      </c>
      <c r="J2315">
        <v>1.5</v>
      </c>
      <c r="K2315" t="s">
        <v>1268</v>
      </c>
    </row>
    <row r="2316" spans="1:11" x14ac:dyDescent="0.35">
      <c r="A2316" t="s">
        <v>2327</v>
      </c>
      <c r="B2316">
        <v>5</v>
      </c>
      <c r="C2316">
        <v>65435232.18</v>
      </c>
      <c r="D2316">
        <v>1</v>
      </c>
      <c r="E2316">
        <v>31852801.57</v>
      </c>
      <c r="F2316">
        <v>61005280.100000001</v>
      </c>
      <c r="G2316">
        <v>1</v>
      </c>
      <c r="H2316">
        <v>2</v>
      </c>
      <c r="I2316">
        <v>2</v>
      </c>
      <c r="J2316">
        <v>1.5</v>
      </c>
      <c r="K2316" t="s">
        <v>1268</v>
      </c>
    </row>
    <row r="2317" spans="1:11" x14ac:dyDescent="0.35">
      <c r="A2317" t="s">
        <v>2328</v>
      </c>
      <c r="B2317">
        <v>5</v>
      </c>
      <c r="C2317">
        <v>84618395.359999999</v>
      </c>
      <c r="D2317">
        <v>1</v>
      </c>
      <c r="E2317">
        <v>33417622.550000001</v>
      </c>
      <c r="F2317">
        <v>61397762.200000003</v>
      </c>
      <c r="G2317">
        <v>1</v>
      </c>
      <c r="H2317">
        <v>2</v>
      </c>
      <c r="I2317">
        <v>2</v>
      </c>
      <c r="J2317">
        <v>1.5</v>
      </c>
      <c r="K2317" t="s">
        <v>1268</v>
      </c>
    </row>
    <row r="2318" spans="1:11" x14ac:dyDescent="0.35">
      <c r="A2318" t="s">
        <v>2329</v>
      </c>
      <c r="B2318">
        <v>5</v>
      </c>
      <c r="C2318">
        <v>78399287.599999994</v>
      </c>
      <c r="D2318">
        <v>1</v>
      </c>
      <c r="E2318">
        <v>44868156.439999998</v>
      </c>
      <c r="F2318">
        <v>65071186.100000001</v>
      </c>
      <c r="G2318">
        <v>1</v>
      </c>
      <c r="H2318">
        <v>2</v>
      </c>
      <c r="I2318">
        <v>2</v>
      </c>
      <c r="J2318">
        <v>1.5</v>
      </c>
      <c r="K2318" t="s">
        <v>1268</v>
      </c>
    </row>
    <row r="2319" spans="1:11" x14ac:dyDescent="0.35">
      <c r="A2319" t="s">
        <v>2330</v>
      </c>
      <c r="B2319">
        <v>5</v>
      </c>
      <c r="C2319">
        <v>115006286.8</v>
      </c>
      <c r="D2319">
        <v>1</v>
      </c>
      <c r="E2319">
        <v>19620090.84</v>
      </c>
      <c r="F2319">
        <v>48321916.5</v>
      </c>
      <c r="G2319">
        <v>1</v>
      </c>
      <c r="H2319">
        <v>2</v>
      </c>
      <c r="I2319">
        <v>2</v>
      </c>
      <c r="J2319">
        <v>1.5</v>
      </c>
      <c r="K2319" t="s">
        <v>1268</v>
      </c>
    </row>
    <row r="2320" spans="1:11" x14ac:dyDescent="0.35">
      <c r="A2320" t="s">
        <v>2331</v>
      </c>
      <c r="B2320">
        <v>5</v>
      </c>
      <c r="C2320">
        <v>90278520.480000004</v>
      </c>
      <c r="D2320">
        <v>1</v>
      </c>
      <c r="E2320">
        <v>22597114.739999998</v>
      </c>
      <c r="F2320">
        <v>47845378.100000001</v>
      </c>
      <c r="G2320">
        <v>1</v>
      </c>
      <c r="H2320">
        <v>2</v>
      </c>
      <c r="I2320">
        <v>2</v>
      </c>
      <c r="J2320">
        <v>1.5</v>
      </c>
      <c r="K2320" t="s">
        <v>1268</v>
      </c>
    </row>
    <row r="2321" spans="1:11" x14ac:dyDescent="0.35">
      <c r="A2321" t="s">
        <v>2332</v>
      </c>
      <c r="B2321">
        <v>5</v>
      </c>
      <c r="C2321">
        <v>102857020.90000001</v>
      </c>
      <c r="D2321">
        <v>1</v>
      </c>
      <c r="E2321">
        <v>31649044.289999999</v>
      </c>
      <c r="F2321">
        <v>46792154.899999999</v>
      </c>
      <c r="G2321">
        <v>1</v>
      </c>
      <c r="H2321">
        <v>2</v>
      </c>
      <c r="I2321">
        <v>2</v>
      </c>
      <c r="J2321">
        <v>1.5</v>
      </c>
      <c r="K2321" t="s">
        <v>1268</v>
      </c>
    </row>
    <row r="2322" spans="1:11" x14ac:dyDescent="0.35">
      <c r="A2322" t="s">
        <v>2333</v>
      </c>
      <c r="B2322">
        <v>5</v>
      </c>
      <c r="C2322">
        <v>64150554.200000003</v>
      </c>
      <c r="D2322">
        <v>1</v>
      </c>
      <c r="E2322">
        <v>17876264.960000001</v>
      </c>
      <c r="F2322">
        <v>44801739.399999999</v>
      </c>
      <c r="G2322">
        <v>1</v>
      </c>
      <c r="H2322">
        <v>2</v>
      </c>
      <c r="I2322">
        <v>2</v>
      </c>
      <c r="J2322">
        <v>1.5</v>
      </c>
      <c r="K2322" t="s">
        <v>1268</v>
      </c>
    </row>
    <row r="2323" spans="1:11" x14ac:dyDescent="0.35">
      <c r="A2323" t="s">
        <v>2334</v>
      </c>
      <c r="B2323">
        <v>5</v>
      </c>
      <c r="C2323">
        <v>65684830.759999998</v>
      </c>
      <c r="D2323">
        <v>1</v>
      </c>
      <c r="E2323">
        <v>19719790.989999998</v>
      </c>
      <c r="F2323">
        <v>43872527.700000003</v>
      </c>
      <c r="G2323">
        <v>1</v>
      </c>
      <c r="H2323">
        <v>2</v>
      </c>
      <c r="I2323">
        <v>2</v>
      </c>
      <c r="J2323">
        <v>1.5</v>
      </c>
      <c r="K2323" t="s">
        <v>1268</v>
      </c>
    </row>
    <row r="2324" spans="1:11" x14ac:dyDescent="0.35">
      <c r="A2324" t="s">
        <v>2335</v>
      </c>
      <c r="B2324">
        <v>5</v>
      </c>
      <c r="C2324">
        <v>242339716.69999999</v>
      </c>
      <c r="D2324">
        <v>1</v>
      </c>
      <c r="E2324">
        <v>22330313.890000001</v>
      </c>
      <c r="F2324">
        <v>46153003.600000001</v>
      </c>
      <c r="G2324">
        <v>1</v>
      </c>
      <c r="H2324">
        <v>2</v>
      </c>
      <c r="I2324">
        <v>2</v>
      </c>
      <c r="J2324">
        <v>1.5</v>
      </c>
      <c r="K2324" t="s">
        <v>1268</v>
      </c>
    </row>
    <row r="2325" spans="1:11" x14ac:dyDescent="0.35">
      <c r="A2325" t="s">
        <v>2336</v>
      </c>
      <c r="B2325">
        <v>5</v>
      </c>
      <c r="C2325">
        <v>141647422.40000001</v>
      </c>
      <c r="D2325">
        <v>1</v>
      </c>
      <c r="E2325">
        <v>23713541.890000001</v>
      </c>
      <c r="F2325">
        <v>43725099</v>
      </c>
      <c r="G2325">
        <v>1</v>
      </c>
      <c r="H2325">
        <v>2</v>
      </c>
      <c r="I2325">
        <v>2</v>
      </c>
      <c r="J2325">
        <v>1.5</v>
      </c>
      <c r="K2325" t="s">
        <v>1268</v>
      </c>
    </row>
    <row r="2326" spans="1:11" x14ac:dyDescent="0.35">
      <c r="A2326" t="s">
        <v>2337</v>
      </c>
      <c r="B2326">
        <v>5</v>
      </c>
      <c r="C2326">
        <v>113770468.09999999</v>
      </c>
      <c r="D2326">
        <v>1</v>
      </c>
      <c r="E2326">
        <v>24251472.949999999</v>
      </c>
      <c r="F2326">
        <v>43719132.200000003</v>
      </c>
      <c r="G2326">
        <v>1</v>
      </c>
      <c r="H2326">
        <v>2</v>
      </c>
      <c r="I2326">
        <v>2</v>
      </c>
      <c r="J2326">
        <v>1.5</v>
      </c>
      <c r="K2326" t="s">
        <v>1268</v>
      </c>
    </row>
    <row r="2327" spans="1:11" x14ac:dyDescent="0.35">
      <c r="A2327" t="s">
        <v>2338</v>
      </c>
      <c r="B2327">
        <v>5</v>
      </c>
      <c r="C2327">
        <v>40643923.159999996</v>
      </c>
      <c r="D2327">
        <v>1</v>
      </c>
      <c r="E2327">
        <v>29027809.32</v>
      </c>
      <c r="F2327">
        <v>41974332.600000001</v>
      </c>
      <c r="G2327">
        <v>1</v>
      </c>
      <c r="H2327">
        <v>2</v>
      </c>
      <c r="I2327">
        <v>2</v>
      </c>
      <c r="J2327">
        <v>1.5</v>
      </c>
      <c r="K2327" t="s">
        <v>1268</v>
      </c>
    </row>
    <row r="2328" spans="1:11" x14ac:dyDescent="0.35">
      <c r="A2328" t="s">
        <v>2339</v>
      </c>
      <c r="B2328">
        <v>5</v>
      </c>
      <c r="C2328">
        <v>59051932.200000003</v>
      </c>
      <c r="D2328">
        <v>1</v>
      </c>
      <c r="E2328">
        <v>23407094.43</v>
      </c>
      <c r="F2328">
        <v>39600254.299999997</v>
      </c>
      <c r="G2328">
        <v>1</v>
      </c>
      <c r="H2328">
        <v>2</v>
      </c>
      <c r="I2328">
        <v>2</v>
      </c>
      <c r="J2328">
        <v>1.5</v>
      </c>
      <c r="K2328" t="s">
        <v>1268</v>
      </c>
    </row>
    <row r="2329" spans="1:11" x14ac:dyDescent="0.35">
      <c r="A2329" t="s">
        <v>2340</v>
      </c>
      <c r="B2329">
        <v>5</v>
      </c>
      <c r="C2329">
        <v>40905463.420000002</v>
      </c>
      <c r="D2329">
        <v>1</v>
      </c>
      <c r="E2329">
        <v>24750110.98</v>
      </c>
      <c r="F2329">
        <v>40360988.399999999</v>
      </c>
      <c r="G2329">
        <v>1</v>
      </c>
      <c r="H2329">
        <v>2</v>
      </c>
      <c r="I2329">
        <v>2</v>
      </c>
      <c r="J2329">
        <v>1.5</v>
      </c>
      <c r="K2329" t="s">
        <v>1268</v>
      </c>
    </row>
    <row r="2330" spans="1:11" x14ac:dyDescent="0.35">
      <c r="A2330" t="s">
        <v>2341</v>
      </c>
      <c r="B2330">
        <v>5</v>
      </c>
      <c r="C2330">
        <v>79859979.099999994</v>
      </c>
      <c r="D2330">
        <v>1</v>
      </c>
      <c r="E2330">
        <v>37286702.979999997</v>
      </c>
      <c r="F2330">
        <v>39939945.700000003</v>
      </c>
      <c r="G2330">
        <v>1</v>
      </c>
      <c r="H2330">
        <v>2</v>
      </c>
      <c r="I2330">
        <v>2</v>
      </c>
      <c r="J2330">
        <v>1.5</v>
      </c>
      <c r="K2330" t="s">
        <v>1268</v>
      </c>
    </row>
    <row r="2331" spans="1:11" x14ac:dyDescent="0.35">
      <c r="A2331" t="s">
        <v>2342</v>
      </c>
      <c r="B2331">
        <v>5</v>
      </c>
      <c r="C2331">
        <v>36810640.560000002</v>
      </c>
      <c r="D2331">
        <v>1</v>
      </c>
      <c r="E2331">
        <v>35400202.43</v>
      </c>
      <c r="F2331">
        <v>39760183.799999997</v>
      </c>
      <c r="G2331">
        <v>1</v>
      </c>
      <c r="H2331">
        <v>2</v>
      </c>
      <c r="I2331">
        <v>2</v>
      </c>
      <c r="J2331">
        <v>1.5</v>
      </c>
      <c r="K2331" t="s">
        <v>1268</v>
      </c>
    </row>
    <row r="2332" spans="1:11" x14ac:dyDescent="0.35">
      <c r="A2332" t="s">
        <v>2343</v>
      </c>
      <c r="B2332">
        <v>5</v>
      </c>
      <c r="C2332">
        <v>95466235.319999993</v>
      </c>
      <c r="D2332">
        <v>1</v>
      </c>
      <c r="E2332">
        <v>12465070</v>
      </c>
      <c r="F2332">
        <v>26543640.399999999</v>
      </c>
      <c r="G2332">
        <v>1</v>
      </c>
      <c r="H2332">
        <v>1</v>
      </c>
      <c r="I2332">
        <v>3</v>
      </c>
      <c r="J2332">
        <v>1.4</v>
      </c>
      <c r="K2332" t="s">
        <v>1268</v>
      </c>
    </row>
    <row r="2333" spans="1:11" x14ac:dyDescent="0.35">
      <c r="A2333" t="s">
        <v>2344</v>
      </c>
      <c r="B2333">
        <v>5</v>
      </c>
      <c r="C2333">
        <v>27318526.920000002</v>
      </c>
      <c r="D2333">
        <v>1</v>
      </c>
      <c r="E2333">
        <v>11643975.82</v>
      </c>
      <c r="F2333">
        <v>19542587.100000001</v>
      </c>
      <c r="G2333">
        <v>1</v>
      </c>
      <c r="H2333">
        <v>1</v>
      </c>
      <c r="I2333">
        <v>3</v>
      </c>
      <c r="J2333">
        <v>1.4</v>
      </c>
      <c r="K2333" t="s">
        <v>1268</v>
      </c>
    </row>
    <row r="2334" spans="1:11" x14ac:dyDescent="0.35">
      <c r="A2334" t="s">
        <v>2345</v>
      </c>
      <c r="B2334">
        <v>5</v>
      </c>
      <c r="C2334">
        <v>56104092.5</v>
      </c>
      <c r="D2334">
        <v>1</v>
      </c>
      <c r="E2334">
        <v>9845026.6620000005</v>
      </c>
      <c r="F2334">
        <v>22812195.199999999</v>
      </c>
      <c r="G2334">
        <v>1</v>
      </c>
      <c r="H2334">
        <v>1</v>
      </c>
      <c r="I2334">
        <v>3</v>
      </c>
      <c r="J2334">
        <v>1.4</v>
      </c>
      <c r="K2334" t="s">
        <v>1268</v>
      </c>
    </row>
    <row r="2335" spans="1:11" x14ac:dyDescent="0.35">
      <c r="A2335" t="s">
        <v>2346</v>
      </c>
      <c r="B2335">
        <v>5</v>
      </c>
      <c r="C2335">
        <v>87119660.239999995</v>
      </c>
      <c r="D2335">
        <v>1</v>
      </c>
      <c r="E2335">
        <v>12357435.74</v>
      </c>
      <c r="F2335">
        <v>26284328.800000001</v>
      </c>
      <c r="G2335">
        <v>1</v>
      </c>
      <c r="H2335">
        <v>1</v>
      </c>
      <c r="I2335">
        <v>3</v>
      </c>
      <c r="J2335">
        <v>1.4</v>
      </c>
      <c r="K2335" t="s">
        <v>1268</v>
      </c>
    </row>
    <row r="2336" spans="1:11" x14ac:dyDescent="0.35">
      <c r="A2336" t="s">
        <v>2347</v>
      </c>
      <c r="B2336">
        <v>5</v>
      </c>
      <c r="C2336">
        <v>62468604.780000001</v>
      </c>
      <c r="D2336">
        <v>1</v>
      </c>
      <c r="E2336">
        <v>12600189.949999999</v>
      </c>
      <c r="F2336">
        <v>26174689.899999999</v>
      </c>
      <c r="G2336">
        <v>1</v>
      </c>
      <c r="H2336">
        <v>1</v>
      </c>
      <c r="I2336">
        <v>3</v>
      </c>
      <c r="J2336">
        <v>1.4</v>
      </c>
      <c r="K2336" t="s">
        <v>1268</v>
      </c>
    </row>
    <row r="2337" spans="1:11" x14ac:dyDescent="0.35">
      <c r="A2337" t="s">
        <v>2348</v>
      </c>
      <c r="B2337">
        <v>5</v>
      </c>
      <c r="C2337">
        <v>79527563.760000005</v>
      </c>
      <c r="D2337">
        <v>1</v>
      </c>
      <c r="E2337">
        <v>11574322.380000001</v>
      </c>
      <c r="F2337">
        <v>23351995.800000001</v>
      </c>
      <c r="G2337">
        <v>1</v>
      </c>
      <c r="H2337">
        <v>1</v>
      </c>
      <c r="I2337">
        <v>3</v>
      </c>
      <c r="J2337">
        <v>1.4</v>
      </c>
      <c r="K2337" t="s">
        <v>1268</v>
      </c>
    </row>
    <row r="2338" spans="1:11" x14ac:dyDescent="0.35">
      <c r="A2338" t="s">
        <v>2349</v>
      </c>
      <c r="B2338">
        <v>5</v>
      </c>
      <c r="C2338">
        <v>47003627</v>
      </c>
      <c r="D2338">
        <v>1</v>
      </c>
      <c r="E2338">
        <v>15323364.199999999</v>
      </c>
      <c r="F2338">
        <v>24055081.699999999</v>
      </c>
      <c r="G2338">
        <v>1</v>
      </c>
      <c r="H2338">
        <v>1</v>
      </c>
      <c r="I2338">
        <v>3</v>
      </c>
      <c r="J2338">
        <v>1.4</v>
      </c>
      <c r="K2338" t="s">
        <v>1268</v>
      </c>
    </row>
    <row r="2339" spans="1:11" x14ac:dyDescent="0.35">
      <c r="A2339" t="s">
        <v>2350</v>
      </c>
      <c r="B2339">
        <v>5</v>
      </c>
      <c r="C2339">
        <v>14607661.539999999</v>
      </c>
      <c r="D2339">
        <v>1</v>
      </c>
      <c r="E2339">
        <v>7195600.4170000004</v>
      </c>
      <c r="F2339">
        <v>14812204.6</v>
      </c>
      <c r="G2339">
        <v>1</v>
      </c>
      <c r="H2339">
        <v>1</v>
      </c>
      <c r="I2339">
        <v>3</v>
      </c>
      <c r="J2339">
        <v>1.4</v>
      </c>
      <c r="K2339" t="s">
        <v>1268</v>
      </c>
    </row>
    <row r="2340" spans="1:11" x14ac:dyDescent="0.35">
      <c r="A2340" t="s">
        <v>2351</v>
      </c>
      <c r="B2340">
        <v>5</v>
      </c>
      <c r="C2340">
        <v>65361320.140000001</v>
      </c>
      <c r="D2340">
        <v>1</v>
      </c>
      <c r="E2340">
        <v>14077054.68</v>
      </c>
      <c r="F2340">
        <v>14454320.6</v>
      </c>
      <c r="G2340">
        <v>1</v>
      </c>
      <c r="H2340">
        <v>1</v>
      </c>
      <c r="I2340">
        <v>3</v>
      </c>
      <c r="J2340">
        <v>1.4</v>
      </c>
      <c r="K2340" t="s">
        <v>1268</v>
      </c>
    </row>
    <row r="2341" spans="1:11" x14ac:dyDescent="0.35">
      <c r="A2341" t="s">
        <v>2352</v>
      </c>
      <c r="B2341">
        <v>5</v>
      </c>
      <c r="C2341">
        <v>23628043.359999999</v>
      </c>
      <c r="D2341">
        <v>1</v>
      </c>
      <c r="E2341">
        <v>5244473.2790000001</v>
      </c>
      <c r="F2341">
        <v>13625763.5</v>
      </c>
      <c r="G2341">
        <v>1</v>
      </c>
      <c r="H2341">
        <v>1</v>
      </c>
      <c r="I2341">
        <v>3</v>
      </c>
      <c r="J2341">
        <v>1.4</v>
      </c>
      <c r="K2341" t="s">
        <v>1268</v>
      </c>
    </row>
    <row r="2342" spans="1:11" x14ac:dyDescent="0.35">
      <c r="A2342" t="s">
        <v>2353</v>
      </c>
      <c r="B2342">
        <v>5</v>
      </c>
      <c r="C2342">
        <v>9531740.6999999993</v>
      </c>
      <c r="D2342">
        <v>1</v>
      </c>
      <c r="E2342">
        <v>6183747.3820000002</v>
      </c>
      <c r="F2342">
        <v>12793426.199999999</v>
      </c>
      <c r="G2342">
        <v>1</v>
      </c>
      <c r="H2342">
        <v>1</v>
      </c>
      <c r="I2342">
        <v>3</v>
      </c>
      <c r="J2342">
        <v>1.4</v>
      </c>
      <c r="K2342" t="s">
        <v>1268</v>
      </c>
    </row>
    <row r="2343" spans="1:11" x14ac:dyDescent="0.35">
      <c r="A2343" t="s">
        <v>2354</v>
      </c>
      <c r="B2343">
        <v>5</v>
      </c>
      <c r="C2343">
        <v>13577439.08</v>
      </c>
      <c r="D2343">
        <v>1</v>
      </c>
      <c r="E2343">
        <v>7146965.9780000001</v>
      </c>
      <c r="F2343">
        <v>12728597.5</v>
      </c>
      <c r="G2343">
        <v>1</v>
      </c>
      <c r="H2343">
        <v>1</v>
      </c>
      <c r="I2343">
        <v>3</v>
      </c>
      <c r="J2343">
        <v>1.4</v>
      </c>
      <c r="K2343" t="s">
        <v>1268</v>
      </c>
    </row>
    <row r="2344" spans="1:11" x14ac:dyDescent="0.35">
      <c r="A2344" t="s">
        <v>2355</v>
      </c>
      <c r="B2344">
        <v>5</v>
      </c>
      <c r="C2344">
        <v>106149586.09999999</v>
      </c>
      <c r="D2344">
        <v>1</v>
      </c>
      <c r="E2344">
        <v>9576590.8739999998</v>
      </c>
      <c r="F2344">
        <v>19251826</v>
      </c>
      <c r="G2344">
        <v>1</v>
      </c>
      <c r="H2344">
        <v>1</v>
      </c>
      <c r="I2344">
        <v>3</v>
      </c>
      <c r="J2344">
        <v>1.4</v>
      </c>
      <c r="K2344" t="s">
        <v>1268</v>
      </c>
    </row>
    <row r="2345" spans="1:11" x14ac:dyDescent="0.35">
      <c r="A2345" t="s">
        <v>2356</v>
      </c>
      <c r="B2345">
        <v>5</v>
      </c>
      <c r="C2345">
        <v>33517342.859999999</v>
      </c>
      <c r="D2345">
        <v>1</v>
      </c>
      <c r="E2345">
        <v>10451070.369999999</v>
      </c>
      <c r="F2345">
        <v>19236580.800000001</v>
      </c>
      <c r="G2345">
        <v>1</v>
      </c>
      <c r="H2345">
        <v>1</v>
      </c>
      <c r="I2345">
        <v>3</v>
      </c>
      <c r="J2345">
        <v>1.4</v>
      </c>
      <c r="K2345" t="s">
        <v>1268</v>
      </c>
    </row>
    <row r="2346" spans="1:11" x14ac:dyDescent="0.35">
      <c r="A2346" t="s">
        <v>2357</v>
      </c>
      <c r="B2346">
        <v>5</v>
      </c>
      <c r="C2346">
        <v>7900262.5599999996</v>
      </c>
      <c r="D2346">
        <v>1</v>
      </c>
      <c r="E2346">
        <v>5614184.0700000003</v>
      </c>
      <c r="F2346">
        <v>15322101.199999999</v>
      </c>
      <c r="G2346">
        <v>1</v>
      </c>
      <c r="H2346">
        <v>1</v>
      </c>
      <c r="I2346">
        <v>3</v>
      </c>
      <c r="J2346">
        <v>1.4</v>
      </c>
      <c r="K2346" t="s">
        <v>1268</v>
      </c>
    </row>
    <row r="2347" spans="1:11" x14ac:dyDescent="0.35">
      <c r="A2347" t="s">
        <v>2358</v>
      </c>
      <c r="B2347">
        <v>5</v>
      </c>
      <c r="C2347">
        <v>9626658.2599999998</v>
      </c>
      <c r="D2347">
        <v>1</v>
      </c>
      <c r="E2347">
        <v>6590163.8729999997</v>
      </c>
      <c r="F2347">
        <v>15321492.5</v>
      </c>
      <c r="G2347">
        <v>1</v>
      </c>
      <c r="H2347">
        <v>1</v>
      </c>
      <c r="I2347">
        <v>3</v>
      </c>
      <c r="J2347">
        <v>1.4</v>
      </c>
      <c r="K2347" t="s">
        <v>1268</v>
      </c>
    </row>
    <row r="2348" spans="1:11" x14ac:dyDescent="0.35">
      <c r="A2348" t="s">
        <v>2359</v>
      </c>
      <c r="B2348">
        <v>5</v>
      </c>
      <c r="C2348">
        <v>14486881.74</v>
      </c>
      <c r="D2348">
        <v>1</v>
      </c>
      <c r="E2348">
        <v>8882328.8090000004</v>
      </c>
      <c r="F2348">
        <v>16231628.1</v>
      </c>
      <c r="G2348">
        <v>1</v>
      </c>
      <c r="H2348">
        <v>1</v>
      </c>
      <c r="I2348">
        <v>3</v>
      </c>
      <c r="J2348">
        <v>1.4</v>
      </c>
      <c r="K2348" t="s">
        <v>1268</v>
      </c>
    </row>
    <row r="2349" spans="1:11" x14ac:dyDescent="0.35">
      <c r="A2349" t="s">
        <v>2360</v>
      </c>
      <c r="B2349">
        <v>5</v>
      </c>
      <c r="C2349">
        <v>21915433.440000001</v>
      </c>
      <c r="D2349">
        <v>1</v>
      </c>
      <c r="E2349">
        <v>12318205.65</v>
      </c>
      <c r="F2349">
        <v>10836834.199999999</v>
      </c>
      <c r="G2349">
        <v>1</v>
      </c>
      <c r="H2349">
        <v>1</v>
      </c>
      <c r="I2349">
        <v>3</v>
      </c>
      <c r="J2349">
        <v>1.4</v>
      </c>
      <c r="K2349" t="s">
        <v>1268</v>
      </c>
    </row>
    <row r="2350" spans="1:11" x14ac:dyDescent="0.35">
      <c r="A2350" t="s">
        <v>2361</v>
      </c>
      <c r="B2350">
        <v>5</v>
      </c>
      <c r="C2350">
        <v>3827664.3</v>
      </c>
      <c r="D2350">
        <v>1</v>
      </c>
      <c r="E2350">
        <v>4373159.0180000002</v>
      </c>
      <c r="F2350">
        <v>10862327.199999999</v>
      </c>
      <c r="G2350">
        <v>1</v>
      </c>
      <c r="H2350">
        <v>1</v>
      </c>
      <c r="I2350">
        <v>3</v>
      </c>
      <c r="J2350">
        <v>1.4</v>
      </c>
      <c r="K2350" t="s">
        <v>1268</v>
      </c>
    </row>
    <row r="2351" spans="1:11" x14ac:dyDescent="0.35">
      <c r="A2351" t="s">
        <v>2362</v>
      </c>
      <c r="B2351">
        <v>5</v>
      </c>
      <c r="C2351">
        <v>6594068.7999999998</v>
      </c>
      <c r="D2351">
        <v>1</v>
      </c>
      <c r="E2351">
        <v>5289684.4939999999</v>
      </c>
      <c r="F2351">
        <v>10668420.5</v>
      </c>
      <c r="G2351">
        <v>1</v>
      </c>
      <c r="H2351">
        <v>1</v>
      </c>
      <c r="I2351">
        <v>3</v>
      </c>
      <c r="J2351">
        <v>1.4</v>
      </c>
      <c r="K2351" t="s">
        <v>1268</v>
      </c>
    </row>
    <row r="2352" spans="1:11" x14ac:dyDescent="0.35">
      <c r="A2352" t="s">
        <v>2363</v>
      </c>
      <c r="B2352">
        <v>5</v>
      </c>
      <c r="C2352">
        <v>68325478.5</v>
      </c>
      <c r="D2352">
        <v>1</v>
      </c>
      <c r="E2352">
        <v>9087457.9330000002</v>
      </c>
      <c r="F2352">
        <v>10486023.800000001</v>
      </c>
      <c r="G2352">
        <v>1</v>
      </c>
      <c r="H2352">
        <v>1</v>
      </c>
      <c r="I2352">
        <v>3</v>
      </c>
      <c r="J2352">
        <v>1.4</v>
      </c>
      <c r="K2352" t="s">
        <v>1268</v>
      </c>
    </row>
    <row r="2353" spans="1:11" x14ac:dyDescent="0.35">
      <c r="A2353" t="s">
        <v>2364</v>
      </c>
      <c r="B2353">
        <v>5</v>
      </c>
      <c r="C2353">
        <v>29219107.66</v>
      </c>
      <c r="D2353">
        <v>1</v>
      </c>
      <c r="E2353">
        <v>15087060.869999999</v>
      </c>
      <c r="F2353">
        <v>11731366.699999999</v>
      </c>
      <c r="G2353">
        <v>1</v>
      </c>
      <c r="H2353">
        <v>1</v>
      </c>
      <c r="I2353">
        <v>3</v>
      </c>
      <c r="J2353">
        <v>1.4</v>
      </c>
      <c r="K2353" t="s">
        <v>1268</v>
      </c>
    </row>
    <row r="2354" spans="1:11" x14ac:dyDescent="0.35">
      <c r="A2354" t="s">
        <v>2365</v>
      </c>
      <c r="B2354">
        <v>5</v>
      </c>
      <c r="C2354">
        <v>8971921.5399999991</v>
      </c>
      <c r="D2354">
        <v>1</v>
      </c>
      <c r="E2354">
        <v>5352009.1830000002</v>
      </c>
      <c r="F2354">
        <v>9069633.5</v>
      </c>
      <c r="G2354">
        <v>1</v>
      </c>
      <c r="H2354">
        <v>1</v>
      </c>
      <c r="I2354">
        <v>3</v>
      </c>
      <c r="J2354">
        <v>1.4</v>
      </c>
      <c r="K2354" t="s">
        <v>1268</v>
      </c>
    </row>
    <row r="2355" spans="1:11" x14ac:dyDescent="0.35">
      <c r="A2355" t="s">
        <v>2366</v>
      </c>
      <c r="B2355">
        <v>5</v>
      </c>
      <c r="C2355">
        <v>19473176.52</v>
      </c>
      <c r="D2355">
        <v>1</v>
      </c>
      <c r="E2355">
        <v>6502727.2609999999</v>
      </c>
      <c r="F2355">
        <v>9255274.0999999996</v>
      </c>
      <c r="G2355">
        <v>1</v>
      </c>
      <c r="H2355">
        <v>1</v>
      </c>
      <c r="I2355">
        <v>3</v>
      </c>
      <c r="J2355">
        <v>1.4</v>
      </c>
      <c r="K2355" t="s">
        <v>1268</v>
      </c>
    </row>
    <row r="2356" spans="1:11" x14ac:dyDescent="0.35">
      <c r="A2356" t="s">
        <v>2367</v>
      </c>
      <c r="B2356">
        <v>5</v>
      </c>
      <c r="C2356">
        <v>10684690.9</v>
      </c>
      <c r="D2356">
        <v>1</v>
      </c>
      <c r="E2356">
        <v>6097904.5039999997</v>
      </c>
      <c r="F2356">
        <v>8848056.0999999996</v>
      </c>
      <c r="G2356">
        <v>1</v>
      </c>
      <c r="H2356">
        <v>1</v>
      </c>
      <c r="I2356">
        <v>3</v>
      </c>
      <c r="J2356">
        <v>1.4</v>
      </c>
      <c r="K2356" t="s">
        <v>1268</v>
      </c>
    </row>
    <row r="2357" spans="1:11" x14ac:dyDescent="0.35">
      <c r="A2357" t="s">
        <v>2368</v>
      </c>
      <c r="B2357">
        <v>5</v>
      </c>
      <c r="C2357">
        <v>6647644.7999999998</v>
      </c>
      <c r="D2357">
        <v>1</v>
      </c>
      <c r="E2357">
        <v>4663274.3609999996</v>
      </c>
      <c r="F2357">
        <v>8202846.0999999996</v>
      </c>
      <c r="G2357">
        <v>1</v>
      </c>
      <c r="H2357">
        <v>1</v>
      </c>
      <c r="I2357">
        <v>3</v>
      </c>
      <c r="J2357">
        <v>1.4</v>
      </c>
      <c r="K2357" t="s">
        <v>1268</v>
      </c>
    </row>
    <row r="2358" spans="1:11" x14ac:dyDescent="0.35">
      <c r="A2358" t="s">
        <v>2369</v>
      </c>
      <c r="B2358">
        <v>5</v>
      </c>
      <c r="C2358">
        <v>19300511.18</v>
      </c>
      <c r="D2358">
        <v>1</v>
      </c>
      <c r="E2358">
        <v>5042538.6969999997</v>
      </c>
      <c r="F2358">
        <v>7532301</v>
      </c>
      <c r="G2358">
        <v>1</v>
      </c>
      <c r="H2358">
        <v>1</v>
      </c>
      <c r="I2358">
        <v>3</v>
      </c>
      <c r="J2358">
        <v>1.4</v>
      </c>
      <c r="K2358" t="s">
        <v>1268</v>
      </c>
    </row>
    <row r="2359" spans="1:11" x14ac:dyDescent="0.35">
      <c r="A2359" t="s">
        <v>2370</v>
      </c>
      <c r="B2359">
        <v>5</v>
      </c>
      <c r="C2359">
        <v>11518570.74</v>
      </c>
      <c r="D2359">
        <v>1</v>
      </c>
      <c r="E2359">
        <v>6766847.9759999998</v>
      </c>
      <c r="F2359">
        <v>-3524446.7</v>
      </c>
      <c r="G2359">
        <v>1</v>
      </c>
      <c r="H2359">
        <v>1</v>
      </c>
      <c r="I2359">
        <v>3</v>
      </c>
      <c r="J2359">
        <v>1.4</v>
      </c>
      <c r="K2359" t="s">
        <v>1268</v>
      </c>
    </row>
    <row r="2360" spans="1:11" x14ac:dyDescent="0.35">
      <c r="A2360" t="s">
        <v>2371</v>
      </c>
      <c r="B2360">
        <v>5</v>
      </c>
      <c r="C2360">
        <v>84417520.299999997</v>
      </c>
      <c r="D2360">
        <v>1</v>
      </c>
      <c r="E2360">
        <v>12269813.199999999</v>
      </c>
      <c r="F2360">
        <v>-3661852.3</v>
      </c>
      <c r="G2360">
        <v>1</v>
      </c>
      <c r="H2360">
        <v>1</v>
      </c>
      <c r="I2360">
        <v>3</v>
      </c>
      <c r="J2360">
        <v>1.4</v>
      </c>
      <c r="K2360" t="s">
        <v>1268</v>
      </c>
    </row>
    <row r="2361" spans="1:11" x14ac:dyDescent="0.35">
      <c r="A2361" t="s">
        <v>2372</v>
      </c>
      <c r="B2361">
        <v>5</v>
      </c>
      <c r="C2361">
        <v>9479579.6199999992</v>
      </c>
      <c r="D2361">
        <v>1</v>
      </c>
      <c r="E2361">
        <v>8084858.7529999996</v>
      </c>
      <c r="F2361">
        <v>-3913485.9</v>
      </c>
      <c r="G2361">
        <v>1</v>
      </c>
      <c r="H2361">
        <v>1</v>
      </c>
      <c r="I2361">
        <v>3</v>
      </c>
      <c r="J2361">
        <v>1.4</v>
      </c>
      <c r="K2361" t="s">
        <v>1268</v>
      </c>
    </row>
    <row r="2362" spans="1:11" x14ac:dyDescent="0.35">
      <c r="A2362" t="s">
        <v>2373</v>
      </c>
      <c r="B2362">
        <v>5</v>
      </c>
      <c r="C2362">
        <v>27462491.460000001</v>
      </c>
      <c r="D2362">
        <v>1</v>
      </c>
      <c r="E2362">
        <v>10365184.77</v>
      </c>
      <c r="F2362">
        <v>-1334835.2</v>
      </c>
      <c r="G2362">
        <v>1</v>
      </c>
      <c r="H2362">
        <v>1</v>
      </c>
      <c r="I2362">
        <v>3</v>
      </c>
      <c r="J2362">
        <v>1.4</v>
      </c>
      <c r="K2362" t="s">
        <v>1268</v>
      </c>
    </row>
    <row r="2363" spans="1:11" x14ac:dyDescent="0.35">
      <c r="A2363" t="s">
        <v>2374</v>
      </c>
      <c r="B2363">
        <v>5</v>
      </c>
      <c r="C2363">
        <v>47820569.039999999</v>
      </c>
      <c r="D2363">
        <v>1</v>
      </c>
      <c r="E2363">
        <v>4369583.5520000001</v>
      </c>
      <c r="F2363">
        <v>-870751.3</v>
      </c>
      <c r="G2363">
        <v>1</v>
      </c>
      <c r="H2363">
        <v>1</v>
      </c>
      <c r="I2363">
        <v>3</v>
      </c>
      <c r="J2363">
        <v>1.4</v>
      </c>
      <c r="K2363" t="s">
        <v>1268</v>
      </c>
    </row>
    <row r="2364" spans="1:11" x14ac:dyDescent="0.35">
      <c r="A2364" t="s">
        <v>2375</v>
      </c>
      <c r="B2364">
        <v>5</v>
      </c>
      <c r="C2364">
        <v>1749067.14</v>
      </c>
      <c r="D2364">
        <v>1</v>
      </c>
      <c r="E2364">
        <v>1037635.121</v>
      </c>
      <c r="F2364">
        <v>59145.599999999999</v>
      </c>
      <c r="G2364">
        <v>1</v>
      </c>
      <c r="H2364">
        <v>1</v>
      </c>
      <c r="I2364">
        <v>3</v>
      </c>
      <c r="J2364">
        <v>1.4</v>
      </c>
      <c r="K2364" t="s">
        <v>1268</v>
      </c>
    </row>
    <row r="2365" spans="1:11" x14ac:dyDescent="0.35">
      <c r="A2365" t="s">
        <v>2376</v>
      </c>
      <c r="B2365">
        <v>5</v>
      </c>
      <c r="C2365">
        <v>12282711.800000001</v>
      </c>
      <c r="D2365">
        <v>1</v>
      </c>
      <c r="E2365">
        <v>3672857.9249999998</v>
      </c>
      <c r="F2365">
        <v>39399.699999999997</v>
      </c>
      <c r="G2365">
        <v>1</v>
      </c>
      <c r="H2365">
        <v>1</v>
      </c>
      <c r="I2365">
        <v>3</v>
      </c>
      <c r="J2365">
        <v>1.4</v>
      </c>
      <c r="K2365" t="s">
        <v>1268</v>
      </c>
    </row>
    <row r="2366" spans="1:11" x14ac:dyDescent="0.35">
      <c r="A2366" t="s">
        <v>2377</v>
      </c>
      <c r="B2366">
        <v>5</v>
      </c>
      <c r="C2366">
        <v>43573863.979999997</v>
      </c>
      <c r="D2366">
        <v>1</v>
      </c>
      <c r="E2366">
        <v>7674908.7620000001</v>
      </c>
      <c r="F2366">
        <v>-472928.8</v>
      </c>
      <c r="G2366">
        <v>1</v>
      </c>
      <c r="H2366">
        <v>1</v>
      </c>
      <c r="I2366">
        <v>3</v>
      </c>
      <c r="J2366">
        <v>1.4</v>
      </c>
      <c r="K2366" t="s">
        <v>1268</v>
      </c>
    </row>
    <row r="2367" spans="1:11" x14ac:dyDescent="0.35">
      <c r="A2367" t="s">
        <v>2378</v>
      </c>
      <c r="B2367">
        <v>5</v>
      </c>
      <c r="C2367">
        <v>4378666.12</v>
      </c>
      <c r="D2367">
        <v>1</v>
      </c>
      <c r="E2367">
        <v>7700584.5099999998</v>
      </c>
      <c r="F2367">
        <v>-520663.5</v>
      </c>
      <c r="G2367">
        <v>1</v>
      </c>
      <c r="H2367">
        <v>1</v>
      </c>
      <c r="I2367">
        <v>3</v>
      </c>
      <c r="J2367">
        <v>1.4</v>
      </c>
      <c r="K2367" t="s">
        <v>1268</v>
      </c>
    </row>
    <row r="2368" spans="1:11" x14ac:dyDescent="0.35">
      <c r="A2368" t="s">
        <v>2379</v>
      </c>
      <c r="B2368">
        <v>5</v>
      </c>
      <c r="C2368">
        <v>5776885.7999999998</v>
      </c>
      <c r="D2368">
        <v>1</v>
      </c>
      <c r="E2368">
        <v>5130869.415</v>
      </c>
      <c r="F2368">
        <v>-586687.4</v>
      </c>
      <c r="G2368">
        <v>1</v>
      </c>
      <c r="H2368">
        <v>1</v>
      </c>
      <c r="I2368">
        <v>3</v>
      </c>
      <c r="J2368">
        <v>1.4</v>
      </c>
      <c r="K2368" t="s">
        <v>1268</v>
      </c>
    </row>
    <row r="2369" spans="1:11" x14ac:dyDescent="0.35">
      <c r="A2369" t="s">
        <v>2380</v>
      </c>
      <c r="B2369">
        <v>5</v>
      </c>
      <c r="C2369">
        <v>37007276.979999997</v>
      </c>
      <c r="D2369">
        <v>1</v>
      </c>
      <c r="E2369">
        <v>5651887.2580000004</v>
      </c>
      <c r="F2369">
        <v>-629688.9</v>
      </c>
      <c r="G2369">
        <v>1</v>
      </c>
      <c r="H2369">
        <v>1</v>
      </c>
      <c r="I2369">
        <v>3</v>
      </c>
      <c r="J2369">
        <v>1.4</v>
      </c>
      <c r="K2369" t="s">
        <v>1268</v>
      </c>
    </row>
    <row r="2370" spans="1:11" x14ac:dyDescent="0.35">
      <c r="A2370" t="s">
        <v>2381</v>
      </c>
      <c r="B2370">
        <v>5</v>
      </c>
      <c r="C2370">
        <v>16964114.440000001</v>
      </c>
      <c r="D2370">
        <v>1</v>
      </c>
      <c r="E2370">
        <v>4306841.9390000002</v>
      </c>
      <c r="F2370">
        <v>5171649.5</v>
      </c>
      <c r="G2370">
        <v>1</v>
      </c>
      <c r="H2370">
        <v>1</v>
      </c>
      <c r="I2370">
        <v>3</v>
      </c>
      <c r="J2370">
        <v>1.4</v>
      </c>
      <c r="K2370" t="s">
        <v>1268</v>
      </c>
    </row>
    <row r="2371" spans="1:11" x14ac:dyDescent="0.35">
      <c r="A2371" t="s">
        <v>2382</v>
      </c>
      <c r="B2371">
        <v>5</v>
      </c>
      <c r="C2371">
        <v>4047608.14</v>
      </c>
      <c r="D2371">
        <v>1</v>
      </c>
      <c r="E2371">
        <v>1701970.9879999999</v>
      </c>
      <c r="F2371">
        <v>4592818.4000000004</v>
      </c>
      <c r="G2371">
        <v>1</v>
      </c>
      <c r="H2371">
        <v>1</v>
      </c>
      <c r="I2371">
        <v>3</v>
      </c>
      <c r="J2371">
        <v>1.4</v>
      </c>
      <c r="K2371" t="s">
        <v>1268</v>
      </c>
    </row>
    <row r="2372" spans="1:11" x14ac:dyDescent="0.35">
      <c r="A2372" t="s">
        <v>2383</v>
      </c>
      <c r="B2372">
        <v>5</v>
      </c>
      <c r="C2372">
        <v>4237003.4800000004</v>
      </c>
      <c r="D2372">
        <v>1</v>
      </c>
      <c r="E2372">
        <v>1657501.594</v>
      </c>
      <c r="F2372">
        <v>3995374.1</v>
      </c>
      <c r="G2372">
        <v>1</v>
      </c>
      <c r="H2372">
        <v>1</v>
      </c>
      <c r="I2372">
        <v>3</v>
      </c>
      <c r="J2372">
        <v>1.4</v>
      </c>
      <c r="K2372" t="s">
        <v>1268</v>
      </c>
    </row>
    <row r="2373" spans="1:11" x14ac:dyDescent="0.35">
      <c r="A2373" t="s">
        <v>2384</v>
      </c>
      <c r="B2373">
        <v>5</v>
      </c>
      <c r="C2373">
        <v>8380840.6799999997</v>
      </c>
      <c r="D2373">
        <v>1</v>
      </c>
      <c r="E2373">
        <v>4894139.0719999997</v>
      </c>
      <c r="F2373">
        <v>4219308.4000000004</v>
      </c>
      <c r="G2373">
        <v>1</v>
      </c>
      <c r="H2373">
        <v>1</v>
      </c>
      <c r="I2373">
        <v>3</v>
      </c>
      <c r="J2373">
        <v>1.4</v>
      </c>
      <c r="K2373" t="s">
        <v>1268</v>
      </c>
    </row>
    <row r="2374" spans="1:11" x14ac:dyDescent="0.35">
      <c r="A2374" t="s">
        <v>2385</v>
      </c>
      <c r="B2374">
        <v>5</v>
      </c>
      <c r="C2374">
        <v>35888794.600000001</v>
      </c>
      <c r="D2374">
        <v>1</v>
      </c>
      <c r="E2374">
        <v>9373993.2489999998</v>
      </c>
      <c r="F2374">
        <v>6565928.4000000004</v>
      </c>
      <c r="G2374">
        <v>1</v>
      </c>
      <c r="H2374">
        <v>1</v>
      </c>
      <c r="I2374">
        <v>3</v>
      </c>
      <c r="J2374">
        <v>1.4</v>
      </c>
      <c r="K2374" t="s">
        <v>1268</v>
      </c>
    </row>
    <row r="2375" spans="1:11" x14ac:dyDescent="0.35">
      <c r="A2375" t="s">
        <v>2386</v>
      </c>
      <c r="B2375">
        <v>5</v>
      </c>
      <c r="C2375">
        <v>5205856.4800000004</v>
      </c>
      <c r="D2375">
        <v>1</v>
      </c>
      <c r="E2375">
        <v>3475714.5830000001</v>
      </c>
      <c r="F2375">
        <v>5665175.2000000002</v>
      </c>
      <c r="G2375">
        <v>1</v>
      </c>
      <c r="H2375">
        <v>1</v>
      </c>
      <c r="I2375">
        <v>3</v>
      </c>
      <c r="J2375">
        <v>1.4</v>
      </c>
      <c r="K2375" t="s">
        <v>1268</v>
      </c>
    </row>
    <row r="2376" spans="1:11" x14ac:dyDescent="0.35">
      <c r="A2376" t="s">
        <v>2387</v>
      </c>
      <c r="B2376">
        <v>5</v>
      </c>
      <c r="C2376">
        <v>7558595.6399999997</v>
      </c>
      <c r="D2376">
        <v>1</v>
      </c>
      <c r="E2376">
        <v>3093209.9079999998</v>
      </c>
      <c r="F2376">
        <v>5361764</v>
      </c>
      <c r="G2376">
        <v>1</v>
      </c>
      <c r="H2376">
        <v>1</v>
      </c>
      <c r="I2376">
        <v>3</v>
      </c>
      <c r="J2376">
        <v>1.4</v>
      </c>
      <c r="K2376" t="s">
        <v>1268</v>
      </c>
    </row>
    <row r="2377" spans="1:11" x14ac:dyDescent="0.35">
      <c r="A2377" t="s">
        <v>2388</v>
      </c>
      <c r="B2377">
        <v>5</v>
      </c>
      <c r="C2377">
        <v>6376016.2800000003</v>
      </c>
      <c r="D2377">
        <v>1</v>
      </c>
      <c r="E2377">
        <v>5233953.284</v>
      </c>
      <c r="F2377">
        <v>7025363.5999999996</v>
      </c>
      <c r="G2377">
        <v>1</v>
      </c>
      <c r="H2377">
        <v>1</v>
      </c>
      <c r="I2377">
        <v>3</v>
      </c>
      <c r="J2377">
        <v>1.4</v>
      </c>
      <c r="K2377" t="s">
        <v>1268</v>
      </c>
    </row>
    <row r="2378" spans="1:11" x14ac:dyDescent="0.35">
      <c r="A2378" t="s">
        <v>2389</v>
      </c>
      <c r="B2378">
        <v>5</v>
      </c>
      <c r="C2378">
        <v>10108091.18</v>
      </c>
      <c r="D2378">
        <v>1</v>
      </c>
      <c r="E2378">
        <v>5682044.1560000004</v>
      </c>
      <c r="F2378">
        <v>6709191.0999999996</v>
      </c>
      <c r="G2378">
        <v>1</v>
      </c>
      <c r="H2378">
        <v>1</v>
      </c>
      <c r="I2378">
        <v>3</v>
      </c>
      <c r="J2378">
        <v>1.4</v>
      </c>
      <c r="K2378" t="s">
        <v>1268</v>
      </c>
    </row>
    <row r="2379" spans="1:11" x14ac:dyDescent="0.35">
      <c r="A2379" t="s">
        <v>2390</v>
      </c>
      <c r="B2379">
        <v>5</v>
      </c>
      <c r="C2379">
        <v>2762769.4</v>
      </c>
      <c r="D2379">
        <v>1</v>
      </c>
      <c r="E2379">
        <v>817200.17169999995</v>
      </c>
      <c r="F2379">
        <v>1266378.8999999999</v>
      </c>
      <c r="G2379">
        <v>1</v>
      </c>
      <c r="H2379">
        <v>1</v>
      </c>
      <c r="I2379">
        <v>3</v>
      </c>
      <c r="J2379">
        <v>1.4</v>
      </c>
      <c r="K2379" t="s">
        <v>1268</v>
      </c>
    </row>
    <row r="2380" spans="1:11" x14ac:dyDescent="0.35">
      <c r="A2380" t="s">
        <v>2391</v>
      </c>
      <c r="B2380">
        <v>5</v>
      </c>
      <c r="C2380">
        <v>24944063.100000001</v>
      </c>
      <c r="D2380">
        <v>1</v>
      </c>
      <c r="E2380">
        <v>3142292.3280000002</v>
      </c>
      <c r="F2380">
        <v>1415242.4</v>
      </c>
      <c r="G2380">
        <v>1</v>
      </c>
      <c r="H2380">
        <v>1</v>
      </c>
      <c r="I2380">
        <v>3</v>
      </c>
      <c r="J2380">
        <v>1.4</v>
      </c>
      <c r="K2380" t="s">
        <v>1268</v>
      </c>
    </row>
    <row r="2381" spans="1:11" x14ac:dyDescent="0.35">
      <c r="A2381" t="s">
        <v>2392</v>
      </c>
      <c r="B2381">
        <v>5</v>
      </c>
      <c r="C2381">
        <v>74672760.400000006</v>
      </c>
      <c r="D2381">
        <v>1</v>
      </c>
      <c r="E2381">
        <v>15226389.449999999</v>
      </c>
      <c r="F2381">
        <v>1480170.7</v>
      </c>
      <c r="G2381">
        <v>1</v>
      </c>
      <c r="H2381">
        <v>1</v>
      </c>
      <c r="I2381">
        <v>3</v>
      </c>
      <c r="J2381">
        <v>1.4</v>
      </c>
      <c r="K2381" t="s">
        <v>1268</v>
      </c>
    </row>
    <row r="2382" spans="1:11" x14ac:dyDescent="0.35">
      <c r="A2382" t="s">
        <v>2393</v>
      </c>
      <c r="B2382">
        <v>5</v>
      </c>
      <c r="C2382">
        <v>16410461.76</v>
      </c>
      <c r="D2382">
        <v>1</v>
      </c>
      <c r="E2382">
        <v>832813.38540000003</v>
      </c>
      <c r="F2382">
        <v>483578.2</v>
      </c>
      <c r="G2382">
        <v>1</v>
      </c>
      <c r="H2382">
        <v>1</v>
      </c>
      <c r="I2382">
        <v>3</v>
      </c>
      <c r="J2382">
        <v>1.4</v>
      </c>
      <c r="K2382" t="s">
        <v>1268</v>
      </c>
    </row>
    <row r="2383" spans="1:11" x14ac:dyDescent="0.35">
      <c r="A2383" t="s">
        <v>2394</v>
      </c>
      <c r="B2383">
        <v>5</v>
      </c>
      <c r="C2383">
        <v>9052281.6999999993</v>
      </c>
      <c r="D2383">
        <v>1</v>
      </c>
      <c r="E2383">
        <v>2789856.4679999999</v>
      </c>
      <c r="F2383">
        <v>3186139.7</v>
      </c>
      <c r="G2383">
        <v>1</v>
      </c>
      <c r="H2383">
        <v>1</v>
      </c>
      <c r="I2383">
        <v>3</v>
      </c>
      <c r="J2383">
        <v>1.4</v>
      </c>
      <c r="K2383" t="s">
        <v>1268</v>
      </c>
    </row>
    <row r="2384" spans="1:11" x14ac:dyDescent="0.35">
      <c r="A2384" t="s">
        <v>2395</v>
      </c>
      <c r="B2384">
        <v>5</v>
      </c>
      <c r="C2384">
        <v>3330729.44</v>
      </c>
      <c r="D2384">
        <v>1</v>
      </c>
      <c r="E2384">
        <v>2089210.753</v>
      </c>
      <c r="F2384">
        <v>3076214.2</v>
      </c>
      <c r="G2384">
        <v>1</v>
      </c>
      <c r="H2384">
        <v>1</v>
      </c>
      <c r="I2384">
        <v>3</v>
      </c>
      <c r="J2384">
        <v>1.4</v>
      </c>
      <c r="K2384" t="s">
        <v>1268</v>
      </c>
    </row>
    <row r="2385" spans="1:11" x14ac:dyDescent="0.35">
      <c r="A2385" t="s">
        <v>2396</v>
      </c>
      <c r="B2385">
        <v>5</v>
      </c>
      <c r="C2385">
        <v>17322511.620000001</v>
      </c>
      <c r="D2385">
        <v>1</v>
      </c>
      <c r="E2385">
        <v>8469591.648</v>
      </c>
      <c r="F2385">
        <v>2436238.2000000002</v>
      </c>
      <c r="G2385">
        <v>1</v>
      </c>
      <c r="H2385">
        <v>1</v>
      </c>
      <c r="I2385">
        <v>3</v>
      </c>
      <c r="J2385">
        <v>1.4</v>
      </c>
      <c r="K2385" t="s">
        <v>1268</v>
      </c>
    </row>
    <row r="2386" spans="1:11" x14ac:dyDescent="0.35">
      <c r="A2386" t="s">
        <v>2397</v>
      </c>
      <c r="B2386">
        <v>5</v>
      </c>
      <c r="C2386">
        <v>9543942.7599999998</v>
      </c>
      <c r="D2386">
        <v>1</v>
      </c>
      <c r="E2386">
        <v>7640246.7850000001</v>
      </c>
      <c r="F2386">
        <v>2778379.4</v>
      </c>
      <c r="G2386">
        <v>1</v>
      </c>
      <c r="H2386">
        <v>1</v>
      </c>
      <c r="I2386">
        <v>3</v>
      </c>
      <c r="J2386">
        <v>1.4</v>
      </c>
      <c r="K2386" t="s">
        <v>1268</v>
      </c>
    </row>
    <row r="2387" spans="1:11" x14ac:dyDescent="0.35">
      <c r="A2387" t="s">
        <v>2398</v>
      </c>
      <c r="B2387">
        <v>5</v>
      </c>
      <c r="C2387">
        <v>5285902.62</v>
      </c>
      <c r="D2387">
        <v>1</v>
      </c>
      <c r="E2387">
        <v>2408905.9720000001</v>
      </c>
      <c r="F2387">
        <v>2593545.7000000002</v>
      </c>
      <c r="G2387">
        <v>1</v>
      </c>
      <c r="H2387">
        <v>1</v>
      </c>
      <c r="I2387">
        <v>3</v>
      </c>
      <c r="J2387">
        <v>1.4</v>
      </c>
      <c r="K2387" t="s">
        <v>1268</v>
      </c>
    </row>
    <row r="2388" spans="1:11" x14ac:dyDescent="0.35">
      <c r="A2388" t="s">
        <v>2399</v>
      </c>
      <c r="B2388">
        <v>5</v>
      </c>
      <c r="C2388">
        <v>43738694.799999997</v>
      </c>
      <c r="D2388">
        <v>1</v>
      </c>
      <c r="E2388">
        <v>14667496.789999999</v>
      </c>
      <c r="F2388">
        <v>38339956.299999997</v>
      </c>
      <c r="G2388">
        <v>1</v>
      </c>
      <c r="H2388">
        <v>1</v>
      </c>
      <c r="I2388">
        <v>2</v>
      </c>
      <c r="J2388">
        <v>1.2</v>
      </c>
      <c r="K2388" t="s">
        <v>1268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26F49D-B485-4000-A769-D5AF1E1BAED6}">
  <dimension ref="A1:Q2388"/>
  <sheetViews>
    <sheetView tabSelected="1" topLeftCell="J1" workbookViewId="0">
      <pane ySplit="1" topLeftCell="A18" activePane="bottomLeft" state="frozen"/>
      <selection activeCell="D1" sqref="D1"/>
      <selection pane="bottomLeft" activeCell="P30" sqref="P30"/>
    </sheetView>
  </sheetViews>
  <sheetFormatPr defaultRowHeight="14.5" x14ac:dyDescent="0.35"/>
  <cols>
    <col min="1" max="1" width="8.7265625" style="2"/>
    <col min="2" max="2" width="12.26953125" style="2" customWidth="1"/>
    <col min="3" max="3" width="16.54296875" style="2" customWidth="1"/>
    <col min="4" max="4" width="23.1796875" style="2" customWidth="1"/>
    <col min="5" max="5" width="20.90625" style="2" customWidth="1"/>
    <col min="6" max="6" width="15.90625" style="2" customWidth="1"/>
    <col min="7" max="7" width="14" style="2" customWidth="1"/>
    <col min="8" max="8" width="14.90625" style="2" customWidth="1"/>
    <col min="9" max="9" width="14.26953125" style="2" customWidth="1"/>
    <col min="10" max="10" width="16.453125" style="2" customWidth="1"/>
    <col min="11" max="11" width="18" style="2" customWidth="1"/>
    <col min="12" max="12" width="17" style="2" bestFit="1" customWidth="1"/>
    <col min="13" max="13" width="14.26953125" style="2" bestFit="1" customWidth="1"/>
    <col min="14" max="14" width="21.08984375" style="2" bestFit="1" customWidth="1"/>
    <col min="15" max="15" width="22.6328125" style="2" bestFit="1" customWidth="1"/>
    <col min="16" max="16" width="16" style="2" bestFit="1" customWidth="1"/>
    <col min="17" max="17" width="25.1796875" style="2" bestFit="1" customWidth="1"/>
    <col min="18" max="16384" width="8.7265625" style="2"/>
  </cols>
  <sheetData>
    <row r="1" spans="1:17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2400</v>
      </c>
      <c r="M1" s="2" t="s">
        <v>2401</v>
      </c>
      <c r="N1" s="2" t="s">
        <v>2402</v>
      </c>
      <c r="O1" s="2" t="s">
        <v>2403</v>
      </c>
      <c r="P1" s="2" t="s">
        <v>2404</v>
      </c>
      <c r="Q1" s="2" t="s">
        <v>2405</v>
      </c>
    </row>
    <row r="2" spans="1:17" x14ac:dyDescent="0.35">
      <c r="A2" s="2" t="s">
        <v>11</v>
      </c>
      <c r="B2" s="2">
        <v>5</v>
      </c>
      <c r="C2" s="2">
        <v>-558131886.79999995</v>
      </c>
      <c r="D2" s="2">
        <v>0</v>
      </c>
      <c r="E2" s="2">
        <v>532565227.80000001</v>
      </c>
      <c r="F2" s="2">
        <v>-255644805.09999999</v>
      </c>
      <c r="G2" s="2">
        <v>5</v>
      </c>
      <c r="H2" s="2">
        <v>5</v>
      </c>
      <c r="I2" s="2">
        <v>5</v>
      </c>
      <c r="J2" s="2">
        <v>5</v>
      </c>
      <c r="K2" s="2" t="s">
        <v>12</v>
      </c>
      <c r="L2" s="2" t="str">
        <f>IF(C2&gt;0,"Profitable","Loss Making")</f>
        <v>Loss Making</v>
      </c>
      <c r="M2" s="2" t="str">
        <f t="shared" ref="M2:M65" si="0">IF(C2&gt;500000000,"High Volatility","Stable Earnings")</f>
        <v>Stable Earnings</v>
      </c>
      <c r="N2" s="2" t="str">
        <f t="shared" ref="N2:N65" si="1">IF(G2&gt;=7,"High Quality",IF(G2&gt;=4,"Moderate","Low Quality"))</f>
        <v>Moderate</v>
      </c>
      <c r="O2" s="4" t="str">
        <f t="shared" ref="O2:O65" si="2">IF(AND(F2&gt;0,D2&gt;0.6),"Operational Growth","Accounting Risk")</f>
        <v>Accounting Risk</v>
      </c>
      <c r="P2" s="4" t="str">
        <f t="shared" ref="P2:P65" si="3">IF(G2&gt;=7,"High Quality", IF(G2&gt;=4,"Moderate","Low Quality"))</f>
        <v>Moderate</v>
      </c>
      <c r="Q2" s="4" t="str">
        <f t="shared" ref="Q2:Q65" si="4">IF(I2&gt;=4,"Strong Long-Term Growth",IF(I2&gt;=2,"Moderate Growth","Weak Growth"))</f>
        <v>Strong Long-Term Growth</v>
      </c>
    </row>
    <row r="3" spans="1:17" x14ac:dyDescent="0.35">
      <c r="A3" s="2" t="s">
        <v>13</v>
      </c>
      <c r="B3" s="2">
        <v>5</v>
      </c>
      <c r="C3" s="2">
        <v>-513733836.60000002</v>
      </c>
      <c r="D3" s="2">
        <v>0</v>
      </c>
      <c r="E3" s="2">
        <v>653276814.5</v>
      </c>
      <c r="F3" s="2">
        <v>-378802004.39999998</v>
      </c>
      <c r="G3" s="2">
        <v>5</v>
      </c>
      <c r="H3" s="2">
        <v>5</v>
      </c>
      <c r="I3" s="2">
        <v>5</v>
      </c>
      <c r="J3" s="2">
        <v>5</v>
      </c>
      <c r="K3" s="2" t="s">
        <v>12</v>
      </c>
      <c r="L3" s="2" t="str">
        <f t="shared" ref="L2:L65" si="5">IF(C3&gt;0,"Profitable","Loss Making")</f>
        <v>Loss Making</v>
      </c>
      <c r="M3" s="2" t="str">
        <f t="shared" si="0"/>
        <v>Stable Earnings</v>
      </c>
      <c r="N3" s="2" t="str">
        <f t="shared" si="1"/>
        <v>Moderate</v>
      </c>
      <c r="O3" s="4" t="str">
        <f t="shared" si="2"/>
        <v>Accounting Risk</v>
      </c>
      <c r="P3" s="4" t="str">
        <f t="shared" si="3"/>
        <v>Moderate</v>
      </c>
      <c r="Q3" s="4" t="str">
        <f t="shared" si="4"/>
        <v>Strong Long-Term Growth</v>
      </c>
    </row>
    <row r="4" spans="1:17" x14ac:dyDescent="0.35">
      <c r="A4" s="2" t="s">
        <v>14</v>
      </c>
      <c r="B4" s="2">
        <v>5</v>
      </c>
      <c r="C4" s="2">
        <v>-686998093.29999995</v>
      </c>
      <c r="D4" s="2">
        <v>0</v>
      </c>
      <c r="E4" s="2">
        <v>609032678.20000005</v>
      </c>
      <c r="F4" s="2">
        <v>-403672756.19999999</v>
      </c>
      <c r="G4" s="2">
        <v>5</v>
      </c>
      <c r="H4" s="2">
        <v>5</v>
      </c>
      <c r="I4" s="2">
        <v>5</v>
      </c>
      <c r="J4" s="2">
        <v>5</v>
      </c>
      <c r="K4" s="2" t="s">
        <v>12</v>
      </c>
      <c r="L4" s="2" t="str">
        <f t="shared" si="5"/>
        <v>Loss Making</v>
      </c>
      <c r="M4" s="2" t="str">
        <f t="shared" si="0"/>
        <v>Stable Earnings</v>
      </c>
      <c r="N4" s="2" t="str">
        <f t="shared" si="1"/>
        <v>Moderate</v>
      </c>
      <c r="O4" s="4" t="str">
        <f t="shared" si="2"/>
        <v>Accounting Risk</v>
      </c>
      <c r="P4" s="4" t="str">
        <f t="shared" si="3"/>
        <v>Moderate</v>
      </c>
      <c r="Q4" s="4" t="str">
        <f t="shared" si="4"/>
        <v>Strong Long-Term Growth</v>
      </c>
    </row>
    <row r="5" spans="1:17" x14ac:dyDescent="0.35">
      <c r="A5" s="2" t="s">
        <v>15</v>
      </c>
      <c r="B5" s="2">
        <v>5</v>
      </c>
      <c r="C5" s="2">
        <v>-1148847201</v>
      </c>
      <c r="D5" s="2">
        <v>0</v>
      </c>
      <c r="E5" s="2">
        <v>1573015665</v>
      </c>
      <c r="F5" s="2">
        <v>-695946804.20000005</v>
      </c>
      <c r="G5" s="2">
        <v>5</v>
      </c>
      <c r="H5" s="2">
        <v>5</v>
      </c>
      <c r="I5" s="2">
        <v>5</v>
      </c>
      <c r="J5" s="2">
        <v>5</v>
      </c>
      <c r="K5" s="2" t="s">
        <v>12</v>
      </c>
      <c r="L5" s="2" t="str">
        <f t="shared" si="5"/>
        <v>Loss Making</v>
      </c>
      <c r="M5" s="2" t="str">
        <f t="shared" si="0"/>
        <v>Stable Earnings</v>
      </c>
      <c r="N5" s="2" t="str">
        <f t="shared" si="1"/>
        <v>Moderate</v>
      </c>
      <c r="O5" s="4" t="str">
        <f t="shared" si="2"/>
        <v>Accounting Risk</v>
      </c>
      <c r="P5" s="4" t="str">
        <f t="shared" si="3"/>
        <v>Moderate</v>
      </c>
      <c r="Q5" s="4" t="str">
        <f t="shared" si="4"/>
        <v>Strong Long-Term Growth</v>
      </c>
    </row>
    <row r="6" spans="1:17" x14ac:dyDescent="0.35">
      <c r="A6" s="2" t="s">
        <v>16</v>
      </c>
      <c r="B6" s="2">
        <v>5</v>
      </c>
      <c r="C6" s="2">
        <v>-392230695.30000001</v>
      </c>
      <c r="D6" s="2">
        <v>0</v>
      </c>
      <c r="E6" s="2">
        <v>466350852.89999998</v>
      </c>
      <c r="F6" s="2">
        <v>-781667441.89999998</v>
      </c>
      <c r="G6" s="2">
        <v>5</v>
      </c>
      <c r="H6" s="2">
        <v>5</v>
      </c>
      <c r="I6" s="2">
        <v>5</v>
      </c>
      <c r="J6" s="2">
        <v>5</v>
      </c>
      <c r="K6" s="2" t="s">
        <v>12</v>
      </c>
      <c r="L6" s="2" t="str">
        <f t="shared" si="5"/>
        <v>Loss Making</v>
      </c>
      <c r="M6" s="2" t="str">
        <f t="shared" si="0"/>
        <v>Stable Earnings</v>
      </c>
      <c r="N6" s="2" t="str">
        <f t="shared" si="1"/>
        <v>Moderate</v>
      </c>
      <c r="O6" s="4" t="str">
        <f t="shared" si="2"/>
        <v>Accounting Risk</v>
      </c>
      <c r="P6" s="4" t="str">
        <f t="shared" si="3"/>
        <v>Moderate</v>
      </c>
      <c r="Q6" s="4" t="str">
        <f t="shared" si="4"/>
        <v>Strong Long-Term Growth</v>
      </c>
    </row>
    <row r="7" spans="1:17" x14ac:dyDescent="0.35">
      <c r="A7" s="2" t="s">
        <v>17</v>
      </c>
      <c r="B7" s="2">
        <v>5</v>
      </c>
      <c r="C7" s="2">
        <v>-423429318</v>
      </c>
      <c r="D7" s="2">
        <v>0</v>
      </c>
      <c r="E7" s="2">
        <v>359416037.10000002</v>
      </c>
      <c r="F7" s="2">
        <v>-898199718.60000002</v>
      </c>
      <c r="G7" s="2">
        <v>5</v>
      </c>
      <c r="H7" s="2">
        <v>5</v>
      </c>
      <c r="I7" s="2">
        <v>5</v>
      </c>
      <c r="J7" s="2">
        <v>5</v>
      </c>
      <c r="K7" s="2" t="s">
        <v>12</v>
      </c>
      <c r="L7" s="2" t="str">
        <f t="shared" si="5"/>
        <v>Loss Making</v>
      </c>
      <c r="M7" s="2" t="str">
        <f t="shared" si="0"/>
        <v>Stable Earnings</v>
      </c>
      <c r="N7" s="2" t="str">
        <f t="shared" si="1"/>
        <v>Moderate</v>
      </c>
      <c r="O7" s="4" t="str">
        <f t="shared" si="2"/>
        <v>Accounting Risk</v>
      </c>
      <c r="P7" s="4" t="str">
        <f t="shared" si="3"/>
        <v>Moderate</v>
      </c>
      <c r="Q7" s="4" t="str">
        <f t="shared" si="4"/>
        <v>Strong Long-Term Growth</v>
      </c>
    </row>
    <row r="8" spans="1:17" x14ac:dyDescent="0.35">
      <c r="A8" s="2" t="s">
        <v>18</v>
      </c>
      <c r="B8" s="2">
        <v>5</v>
      </c>
      <c r="C8" s="2">
        <v>-927083736.60000002</v>
      </c>
      <c r="D8" s="2">
        <v>0</v>
      </c>
      <c r="E8" s="2">
        <v>1202655418</v>
      </c>
      <c r="F8" s="2">
        <v>-1096588825</v>
      </c>
      <c r="G8" s="2">
        <v>5</v>
      </c>
      <c r="H8" s="2">
        <v>5</v>
      </c>
      <c r="I8" s="2">
        <v>5</v>
      </c>
      <c r="J8" s="2">
        <v>5</v>
      </c>
      <c r="K8" s="2" t="s">
        <v>12</v>
      </c>
      <c r="L8" s="2" t="str">
        <f t="shared" si="5"/>
        <v>Loss Making</v>
      </c>
      <c r="M8" s="2" t="str">
        <f t="shared" si="0"/>
        <v>Stable Earnings</v>
      </c>
      <c r="N8" s="2" t="str">
        <f t="shared" si="1"/>
        <v>Moderate</v>
      </c>
      <c r="O8" s="4" t="str">
        <f t="shared" si="2"/>
        <v>Accounting Risk</v>
      </c>
      <c r="P8" s="4" t="str">
        <f t="shared" si="3"/>
        <v>Moderate</v>
      </c>
      <c r="Q8" s="4" t="str">
        <f t="shared" si="4"/>
        <v>Strong Long-Term Growth</v>
      </c>
    </row>
    <row r="9" spans="1:17" x14ac:dyDescent="0.35">
      <c r="A9" s="2" t="s">
        <v>19</v>
      </c>
      <c r="B9" s="2">
        <v>5</v>
      </c>
      <c r="C9" s="2">
        <v>-645391033.79999995</v>
      </c>
      <c r="D9" s="2">
        <v>0</v>
      </c>
      <c r="E9" s="2">
        <v>448963660.5</v>
      </c>
      <c r="F9" s="2">
        <v>-1235686486</v>
      </c>
      <c r="G9" s="2">
        <v>5</v>
      </c>
      <c r="H9" s="2">
        <v>5</v>
      </c>
      <c r="I9" s="2">
        <v>5</v>
      </c>
      <c r="J9" s="2">
        <v>5</v>
      </c>
      <c r="K9" s="2" t="s">
        <v>12</v>
      </c>
      <c r="L9" s="2" t="str">
        <f t="shared" si="5"/>
        <v>Loss Making</v>
      </c>
      <c r="M9" s="2" t="str">
        <f t="shared" si="0"/>
        <v>Stable Earnings</v>
      </c>
      <c r="N9" s="2" t="str">
        <f t="shared" si="1"/>
        <v>Moderate</v>
      </c>
      <c r="O9" s="4" t="str">
        <f t="shared" si="2"/>
        <v>Accounting Risk</v>
      </c>
      <c r="P9" s="4" t="str">
        <f t="shared" si="3"/>
        <v>Moderate</v>
      </c>
      <c r="Q9" s="4" t="str">
        <f t="shared" si="4"/>
        <v>Strong Long-Term Growth</v>
      </c>
    </row>
    <row r="10" spans="1:17" x14ac:dyDescent="0.35">
      <c r="A10" s="2" t="s">
        <v>20</v>
      </c>
      <c r="B10" s="2">
        <v>5</v>
      </c>
      <c r="C10" s="2">
        <v>-2484944567</v>
      </c>
      <c r="D10" s="2">
        <v>0</v>
      </c>
      <c r="E10" s="2">
        <v>1704229745</v>
      </c>
      <c r="F10" s="2">
        <v>-1457234896</v>
      </c>
      <c r="G10" s="2">
        <v>5</v>
      </c>
      <c r="H10" s="2">
        <v>5</v>
      </c>
      <c r="I10" s="2">
        <v>5</v>
      </c>
      <c r="J10" s="2">
        <v>5</v>
      </c>
      <c r="K10" s="2" t="s">
        <v>12</v>
      </c>
      <c r="L10" s="2" t="str">
        <f t="shared" si="5"/>
        <v>Loss Making</v>
      </c>
      <c r="M10" s="2" t="str">
        <f t="shared" si="0"/>
        <v>Stable Earnings</v>
      </c>
      <c r="N10" s="2" t="str">
        <f t="shared" si="1"/>
        <v>Moderate</v>
      </c>
      <c r="O10" s="4" t="str">
        <f t="shared" si="2"/>
        <v>Accounting Risk</v>
      </c>
      <c r="P10" s="4" t="str">
        <f t="shared" si="3"/>
        <v>Moderate</v>
      </c>
      <c r="Q10" s="4" t="str">
        <f t="shared" si="4"/>
        <v>Strong Long-Term Growth</v>
      </c>
    </row>
    <row r="11" spans="1:17" x14ac:dyDescent="0.35">
      <c r="A11" s="2" t="s">
        <v>21</v>
      </c>
      <c r="B11" s="2">
        <v>5</v>
      </c>
      <c r="C11" s="2">
        <v>-4626603152</v>
      </c>
      <c r="D11" s="2">
        <v>0</v>
      </c>
      <c r="E11" s="2">
        <v>4100787220</v>
      </c>
      <c r="F11" s="2">
        <v>-1633374858</v>
      </c>
      <c r="G11" s="2">
        <v>5</v>
      </c>
      <c r="H11" s="2">
        <v>5</v>
      </c>
      <c r="I11" s="2">
        <v>5</v>
      </c>
      <c r="J11" s="2">
        <v>5</v>
      </c>
      <c r="K11" s="2" t="s">
        <v>12</v>
      </c>
      <c r="L11" s="2" t="str">
        <f t="shared" si="5"/>
        <v>Loss Making</v>
      </c>
      <c r="M11" s="2" t="str">
        <f t="shared" si="0"/>
        <v>Stable Earnings</v>
      </c>
      <c r="N11" s="2" t="str">
        <f t="shared" si="1"/>
        <v>Moderate</v>
      </c>
      <c r="O11" s="4" t="str">
        <f t="shared" si="2"/>
        <v>Accounting Risk</v>
      </c>
      <c r="P11" s="4" t="str">
        <f t="shared" si="3"/>
        <v>Moderate</v>
      </c>
      <c r="Q11" s="4" t="str">
        <f t="shared" si="4"/>
        <v>Strong Long-Term Growth</v>
      </c>
    </row>
    <row r="12" spans="1:17" x14ac:dyDescent="0.35">
      <c r="A12" s="2" t="s">
        <v>22</v>
      </c>
      <c r="B12" s="2">
        <v>5</v>
      </c>
      <c r="C12" s="2">
        <v>-277323609.19999999</v>
      </c>
      <c r="D12" s="2">
        <v>0</v>
      </c>
      <c r="E12" s="2">
        <v>177039059.30000001</v>
      </c>
      <c r="F12" s="2">
        <v>-413559040.60000002</v>
      </c>
      <c r="G12" s="2">
        <v>5</v>
      </c>
      <c r="H12" s="2">
        <v>4</v>
      </c>
      <c r="I12" s="2">
        <v>5</v>
      </c>
      <c r="J12" s="2">
        <v>4.7</v>
      </c>
      <c r="K12" s="2" t="s">
        <v>12</v>
      </c>
      <c r="L12" s="2" t="str">
        <f t="shared" si="5"/>
        <v>Loss Making</v>
      </c>
      <c r="M12" s="2" t="str">
        <f t="shared" si="0"/>
        <v>Stable Earnings</v>
      </c>
      <c r="N12" s="2" t="str">
        <f t="shared" si="1"/>
        <v>Moderate</v>
      </c>
      <c r="O12" s="4" t="str">
        <f t="shared" si="2"/>
        <v>Accounting Risk</v>
      </c>
      <c r="P12" s="4" t="str">
        <f t="shared" si="3"/>
        <v>Moderate</v>
      </c>
      <c r="Q12" s="4" t="str">
        <f t="shared" si="4"/>
        <v>Strong Long-Term Growth</v>
      </c>
    </row>
    <row r="13" spans="1:17" x14ac:dyDescent="0.35">
      <c r="A13" s="2" t="s">
        <v>23</v>
      </c>
      <c r="B13" s="2">
        <v>5</v>
      </c>
      <c r="C13" s="2">
        <v>-374363160.5</v>
      </c>
      <c r="D13" s="2">
        <v>0</v>
      </c>
      <c r="E13" s="2">
        <v>218641711.09999999</v>
      </c>
      <c r="F13" s="2">
        <v>-415759193.19999999</v>
      </c>
      <c r="G13" s="2">
        <v>5</v>
      </c>
      <c r="H13" s="2">
        <v>4</v>
      </c>
      <c r="I13" s="2">
        <v>5</v>
      </c>
      <c r="J13" s="2">
        <v>4.7</v>
      </c>
      <c r="K13" s="2" t="s">
        <v>12</v>
      </c>
      <c r="L13" s="2" t="str">
        <f t="shared" si="5"/>
        <v>Loss Making</v>
      </c>
      <c r="M13" s="2" t="str">
        <f t="shared" si="0"/>
        <v>Stable Earnings</v>
      </c>
      <c r="N13" s="2" t="str">
        <f t="shared" si="1"/>
        <v>Moderate</v>
      </c>
      <c r="O13" s="4" t="str">
        <f t="shared" si="2"/>
        <v>Accounting Risk</v>
      </c>
      <c r="P13" s="4" t="str">
        <f t="shared" si="3"/>
        <v>Moderate</v>
      </c>
      <c r="Q13" s="4" t="str">
        <f t="shared" si="4"/>
        <v>Strong Long-Term Growth</v>
      </c>
    </row>
    <row r="14" spans="1:17" x14ac:dyDescent="0.35">
      <c r="A14" s="2" t="s">
        <v>24</v>
      </c>
      <c r="B14" s="2">
        <v>5</v>
      </c>
      <c r="C14" s="2">
        <v>-342110085.89999998</v>
      </c>
      <c r="D14" s="2">
        <v>0</v>
      </c>
      <c r="E14" s="2">
        <v>172032835.40000001</v>
      </c>
      <c r="F14" s="2">
        <v>-433678450.60000002</v>
      </c>
      <c r="G14" s="2">
        <v>5</v>
      </c>
      <c r="H14" s="2">
        <v>4</v>
      </c>
      <c r="I14" s="2">
        <v>5</v>
      </c>
      <c r="J14" s="2">
        <v>4.7</v>
      </c>
      <c r="K14" s="2" t="s">
        <v>12</v>
      </c>
      <c r="L14" s="2" t="str">
        <f t="shared" si="5"/>
        <v>Loss Making</v>
      </c>
      <c r="M14" s="2" t="str">
        <f t="shared" si="0"/>
        <v>Stable Earnings</v>
      </c>
      <c r="N14" s="2" t="str">
        <f t="shared" si="1"/>
        <v>Moderate</v>
      </c>
      <c r="O14" s="4" t="str">
        <f t="shared" si="2"/>
        <v>Accounting Risk</v>
      </c>
      <c r="P14" s="4" t="str">
        <f t="shared" si="3"/>
        <v>Moderate</v>
      </c>
      <c r="Q14" s="4" t="str">
        <f t="shared" si="4"/>
        <v>Strong Long-Term Growth</v>
      </c>
    </row>
    <row r="15" spans="1:17" x14ac:dyDescent="0.35">
      <c r="A15" s="2" t="s">
        <v>25</v>
      </c>
      <c r="B15" s="2">
        <v>5</v>
      </c>
      <c r="C15" s="2">
        <v>-197358377.19999999</v>
      </c>
      <c r="D15" s="2">
        <v>0</v>
      </c>
      <c r="E15" s="2">
        <v>170482245.80000001</v>
      </c>
      <c r="F15" s="2">
        <v>-409071846.60000002</v>
      </c>
      <c r="G15" s="2">
        <v>5</v>
      </c>
      <c r="H15" s="2">
        <v>4</v>
      </c>
      <c r="I15" s="2">
        <v>5</v>
      </c>
      <c r="J15" s="2">
        <v>4.7</v>
      </c>
      <c r="K15" s="2" t="s">
        <v>12</v>
      </c>
      <c r="L15" s="2" t="str">
        <f t="shared" si="5"/>
        <v>Loss Making</v>
      </c>
      <c r="M15" s="2" t="str">
        <f t="shared" si="0"/>
        <v>Stable Earnings</v>
      </c>
      <c r="N15" s="2" t="str">
        <f t="shared" si="1"/>
        <v>Moderate</v>
      </c>
      <c r="O15" s="4" t="str">
        <f t="shared" si="2"/>
        <v>Accounting Risk</v>
      </c>
      <c r="P15" s="4" t="str">
        <f t="shared" si="3"/>
        <v>Moderate</v>
      </c>
      <c r="Q15" s="4" t="str">
        <f t="shared" si="4"/>
        <v>Strong Long-Term Growth</v>
      </c>
    </row>
    <row r="16" spans="1:17" x14ac:dyDescent="0.35">
      <c r="A16" s="2" t="s">
        <v>26</v>
      </c>
      <c r="B16" s="2">
        <v>5</v>
      </c>
      <c r="C16" s="2">
        <v>-444801121.80000001</v>
      </c>
      <c r="D16" s="2">
        <v>0</v>
      </c>
      <c r="E16" s="2">
        <v>187857758.19999999</v>
      </c>
      <c r="F16" s="2">
        <v>-469262589.10000002</v>
      </c>
      <c r="G16" s="2">
        <v>5</v>
      </c>
      <c r="H16" s="2">
        <v>4</v>
      </c>
      <c r="I16" s="2">
        <v>5</v>
      </c>
      <c r="J16" s="2">
        <v>4.7</v>
      </c>
      <c r="K16" s="2" t="s">
        <v>12</v>
      </c>
      <c r="L16" s="2" t="str">
        <f t="shared" si="5"/>
        <v>Loss Making</v>
      </c>
      <c r="M16" s="2" t="str">
        <f t="shared" si="0"/>
        <v>Stable Earnings</v>
      </c>
      <c r="N16" s="2" t="str">
        <f t="shared" si="1"/>
        <v>Moderate</v>
      </c>
      <c r="O16" s="4" t="str">
        <f t="shared" si="2"/>
        <v>Accounting Risk</v>
      </c>
      <c r="P16" s="4" t="str">
        <f t="shared" si="3"/>
        <v>Moderate</v>
      </c>
      <c r="Q16" s="4" t="str">
        <f t="shared" si="4"/>
        <v>Strong Long-Term Growth</v>
      </c>
    </row>
    <row r="17" spans="1:17" x14ac:dyDescent="0.35">
      <c r="A17" s="2" t="s">
        <v>27</v>
      </c>
      <c r="B17" s="2">
        <v>5</v>
      </c>
      <c r="C17" s="2">
        <v>-162669901.80000001</v>
      </c>
      <c r="D17" s="2">
        <v>0</v>
      </c>
      <c r="E17" s="2">
        <v>242356540</v>
      </c>
      <c r="F17" s="2">
        <v>-562760947.10000002</v>
      </c>
      <c r="G17" s="2">
        <v>5</v>
      </c>
      <c r="H17" s="2">
        <v>4</v>
      </c>
      <c r="I17" s="2">
        <v>5</v>
      </c>
      <c r="J17" s="2">
        <v>4.7</v>
      </c>
      <c r="K17" s="2" t="s">
        <v>12</v>
      </c>
      <c r="L17" s="2" t="str">
        <f t="shared" si="5"/>
        <v>Loss Making</v>
      </c>
      <c r="M17" s="2" t="str">
        <f t="shared" si="0"/>
        <v>Stable Earnings</v>
      </c>
      <c r="N17" s="2" t="str">
        <f t="shared" si="1"/>
        <v>Moderate</v>
      </c>
      <c r="O17" s="4" t="str">
        <f t="shared" si="2"/>
        <v>Accounting Risk</v>
      </c>
      <c r="P17" s="4" t="str">
        <f t="shared" si="3"/>
        <v>Moderate</v>
      </c>
      <c r="Q17" s="4" t="str">
        <f t="shared" si="4"/>
        <v>Strong Long-Term Growth</v>
      </c>
    </row>
    <row r="18" spans="1:17" x14ac:dyDescent="0.35">
      <c r="A18" s="2" t="s">
        <v>28</v>
      </c>
      <c r="B18" s="2">
        <v>5</v>
      </c>
      <c r="C18" s="2">
        <v>-291015557.89999998</v>
      </c>
      <c r="D18" s="2">
        <v>0</v>
      </c>
      <c r="E18" s="2">
        <v>223743184.09999999</v>
      </c>
      <c r="F18" s="2">
        <v>-581161648</v>
      </c>
      <c r="G18" s="2">
        <v>5</v>
      </c>
      <c r="H18" s="2">
        <v>4</v>
      </c>
      <c r="I18" s="2">
        <v>5</v>
      </c>
      <c r="J18" s="2">
        <v>4.7</v>
      </c>
      <c r="K18" s="2" t="s">
        <v>12</v>
      </c>
      <c r="L18" s="2" t="str">
        <f t="shared" si="5"/>
        <v>Loss Making</v>
      </c>
      <c r="M18" s="2" t="str">
        <f t="shared" si="0"/>
        <v>Stable Earnings</v>
      </c>
      <c r="N18" s="2" t="str">
        <f t="shared" si="1"/>
        <v>Moderate</v>
      </c>
      <c r="O18" s="4" t="str">
        <f t="shared" si="2"/>
        <v>Accounting Risk</v>
      </c>
      <c r="P18" s="4" t="str">
        <f t="shared" si="3"/>
        <v>Moderate</v>
      </c>
      <c r="Q18" s="4" t="str">
        <f t="shared" si="4"/>
        <v>Strong Long-Term Growth</v>
      </c>
    </row>
    <row r="19" spans="1:17" x14ac:dyDescent="0.35">
      <c r="A19" s="2" t="s">
        <v>29</v>
      </c>
      <c r="B19" s="2">
        <v>5</v>
      </c>
      <c r="C19" s="2">
        <v>-490051368.60000002</v>
      </c>
      <c r="D19" s="2">
        <v>0</v>
      </c>
      <c r="E19" s="2">
        <v>266718352.90000001</v>
      </c>
      <c r="F19" s="2">
        <v>-593051187.29999995</v>
      </c>
      <c r="G19" s="2">
        <v>5</v>
      </c>
      <c r="H19" s="2">
        <v>4</v>
      </c>
      <c r="I19" s="2">
        <v>5</v>
      </c>
      <c r="J19" s="2">
        <v>4.7</v>
      </c>
      <c r="K19" s="2" t="s">
        <v>12</v>
      </c>
      <c r="L19" s="2" t="str">
        <f t="shared" si="5"/>
        <v>Loss Making</v>
      </c>
      <c r="M19" s="2" t="str">
        <f t="shared" si="0"/>
        <v>Stable Earnings</v>
      </c>
      <c r="N19" s="2" t="str">
        <f t="shared" si="1"/>
        <v>Moderate</v>
      </c>
      <c r="O19" s="4" t="str">
        <f t="shared" si="2"/>
        <v>Accounting Risk</v>
      </c>
      <c r="P19" s="4" t="str">
        <f t="shared" si="3"/>
        <v>Moderate</v>
      </c>
      <c r="Q19" s="4" t="str">
        <f t="shared" si="4"/>
        <v>Strong Long-Term Growth</v>
      </c>
    </row>
    <row r="20" spans="1:17" x14ac:dyDescent="0.35">
      <c r="A20" s="2" t="s">
        <v>30</v>
      </c>
      <c r="B20" s="2">
        <v>5</v>
      </c>
      <c r="C20" s="2">
        <v>-477573542.89999998</v>
      </c>
      <c r="D20" s="2">
        <v>0</v>
      </c>
      <c r="E20" s="2">
        <v>149425859</v>
      </c>
      <c r="F20" s="2">
        <v>-395504941.89999998</v>
      </c>
      <c r="G20" s="2">
        <v>5</v>
      </c>
      <c r="H20" s="2">
        <v>4</v>
      </c>
      <c r="I20" s="2">
        <v>5</v>
      </c>
      <c r="J20" s="2">
        <v>4.7</v>
      </c>
      <c r="K20" s="2" t="s">
        <v>12</v>
      </c>
      <c r="L20" s="2" t="str">
        <f t="shared" si="5"/>
        <v>Loss Making</v>
      </c>
      <c r="M20" s="2" t="str">
        <f t="shared" si="0"/>
        <v>Stable Earnings</v>
      </c>
      <c r="N20" s="2" t="str">
        <f t="shared" si="1"/>
        <v>Moderate</v>
      </c>
      <c r="O20" s="4" t="str">
        <f t="shared" si="2"/>
        <v>Accounting Risk</v>
      </c>
      <c r="P20" s="4" t="str">
        <f t="shared" si="3"/>
        <v>Moderate</v>
      </c>
      <c r="Q20" s="4" t="str">
        <f t="shared" si="4"/>
        <v>Strong Long-Term Growth</v>
      </c>
    </row>
    <row r="21" spans="1:17" x14ac:dyDescent="0.35">
      <c r="A21" s="2" t="s">
        <v>31</v>
      </c>
      <c r="B21" s="2">
        <v>5</v>
      </c>
      <c r="C21" s="2">
        <v>-204725891.09999999</v>
      </c>
      <c r="D21" s="2">
        <v>0</v>
      </c>
      <c r="E21" s="2">
        <v>150683190.59999999</v>
      </c>
      <c r="F21" s="2">
        <v>-387438892.30000001</v>
      </c>
      <c r="G21" s="2">
        <v>5</v>
      </c>
      <c r="H21" s="2">
        <v>4</v>
      </c>
      <c r="I21" s="2">
        <v>5</v>
      </c>
      <c r="J21" s="2">
        <v>4.7</v>
      </c>
      <c r="K21" s="2" t="s">
        <v>12</v>
      </c>
      <c r="L21" s="2" t="str">
        <f t="shared" si="5"/>
        <v>Loss Making</v>
      </c>
      <c r="M21" s="2" t="str">
        <f t="shared" si="0"/>
        <v>Stable Earnings</v>
      </c>
      <c r="N21" s="2" t="str">
        <f t="shared" si="1"/>
        <v>Moderate</v>
      </c>
      <c r="O21" s="4" t="str">
        <f t="shared" si="2"/>
        <v>Accounting Risk</v>
      </c>
      <c r="P21" s="4" t="str">
        <f t="shared" si="3"/>
        <v>Moderate</v>
      </c>
      <c r="Q21" s="4" t="str">
        <f t="shared" si="4"/>
        <v>Strong Long-Term Growth</v>
      </c>
    </row>
    <row r="22" spans="1:17" x14ac:dyDescent="0.35">
      <c r="A22" s="2" t="s">
        <v>32</v>
      </c>
      <c r="B22" s="2">
        <v>5</v>
      </c>
      <c r="C22" s="2">
        <v>-286661063.60000002</v>
      </c>
      <c r="D22" s="2">
        <v>0</v>
      </c>
      <c r="E22" s="2">
        <v>174310545</v>
      </c>
      <c r="F22" s="2">
        <v>-374392571.19999999</v>
      </c>
      <c r="G22" s="2">
        <v>5</v>
      </c>
      <c r="H22" s="2">
        <v>4</v>
      </c>
      <c r="I22" s="2">
        <v>5</v>
      </c>
      <c r="J22" s="2">
        <v>4.7</v>
      </c>
      <c r="K22" s="2" t="s">
        <v>12</v>
      </c>
      <c r="L22" s="2" t="str">
        <f t="shared" si="5"/>
        <v>Loss Making</v>
      </c>
      <c r="M22" s="2" t="str">
        <f t="shared" si="0"/>
        <v>Stable Earnings</v>
      </c>
      <c r="N22" s="2" t="str">
        <f t="shared" si="1"/>
        <v>Moderate</v>
      </c>
      <c r="O22" s="4" t="str">
        <f t="shared" si="2"/>
        <v>Accounting Risk</v>
      </c>
      <c r="P22" s="4" t="str">
        <f t="shared" si="3"/>
        <v>Moderate</v>
      </c>
      <c r="Q22" s="4" t="str">
        <f t="shared" si="4"/>
        <v>Strong Long-Term Growth</v>
      </c>
    </row>
    <row r="23" spans="1:17" x14ac:dyDescent="0.35">
      <c r="A23" s="2" t="s">
        <v>33</v>
      </c>
      <c r="B23" s="2">
        <v>5</v>
      </c>
      <c r="C23" s="2">
        <v>-191445892.80000001</v>
      </c>
      <c r="D23" s="2">
        <v>0</v>
      </c>
      <c r="E23" s="2">
        <v>161745680.59999999</v>
      </c>
      <c r="F23" s="2">
        <v>-326884236.60000002</v>
      </c>
      <c r="G23" s="2">
        <v>5</v>
      </c>
      <c r="H23" s="2">
        <v>4</v>
      </c>
      <c r="I23" s="2">
        <v>5</v>
      </c>
      <c r="J23" s="2">
        <v>4.7</v>
      </c>
      <c r="K23" s="2" t="s">
        <v>12</v>
      </c>
      <c r="L23" s="2" t="str">
        <f t="shared" si="5"/>
        <v>Loss Making</v>
      </c>
      <c r="M23" s="2" t="str">
        <f t="shared" si="0"/>
        <v>Stable Earnings</v>
      </c>
      <c r="N23" s="2" t="str">
        <f t="shared" si="1"/>
        <v>Moderate</v>
      </c>
      <c r="O23" s="4" t="str">
        <f t="shared" si="2"/>
        <v>Accounting Risk</v>
      </c>
      <c r="P23" s="4" t="str">
        <f t="shared" si="3"/>
        <v>Moderate</v>
      </c>
      <c r="Q23" s="4" t="str">
        <f t="shared" si="4"/>
        <v>Strong Long-Term Growth</v>
      </c>
    </row>
    <row r="24" spans="1:17" x14ac:dyDescent="0.35">
      <c r="A24" s="2" t="s">
        <v>34</v>
      </c>
      <c r="B24" s="2">
        <v>5</v>
      </c>
      <c r="C24" s="2">
        <v>-471077745</v>
      </c>
      <c r="D24" s="2">
        <v>0</v>
      </c>
      <c r="E24" s="2">
        <v>143282853.09999999</v>
      </c>
      <c r="F24" s="2">
        <v>-355839490.10000002</v>
      </c>
      <c r="G24" s="2">
        <v>5</v>
      </c>
      <c r="H24" s="2">
        <v>4</v>
      </c>
      <c r="I24" s="2">
        <v>5</v>
      </c>
      <c r="J24" s="2">
        <v>4.7</v>
      </c>
      <c r="K24" s="2" t="s">
        <v>12</v>
      </c>
      <c r="L24" s="2" t="str">
        <f t="shared" si="5"/>
        <v>Loss Making</v>
      </c>
      <c r="M24" s="2" t="str">
        <f t="shared" si="0"/>
        <v>Stable Earnings</v>
      </c>
      <c r="N24" s="2" t="str">
        <f t="shared" si="1"/>
        <v>Moderate</v>
      </c>
      <c r="O24" s="4" t="str">
        <f t="shared" si="2"/>
        <v>Accounting Risk</v>
      </c>
      <c r="P24" s="4" t="str">
        <f t="shared" si="3"/>
        <v>Moderate</v>
      </c>
      <c r="Q24" s="4" t="str">
        <f t="shared" si="4"/>
        <v>Strong Long-Term Growth</v>
      </c>
    </row>
    <row r="25" spans="1:17" x14ac:dyDescent="0.35">
      <c r="A25" s="2" t="s">
        <v>35</v>
      </c>
      <c r="B25" s="2">
        <v>5</v>
      </c>
      <c r="C25" s="2">
        <v>-228339799.80000001</v>
      </c>
      <c r="D25" s="2">
        <v>0</v>
      </c>
      <c r="E25" s="2">
        <v>154293816</v>
      </c>
      <c r="F25" s="2">
        <v>-282281669.39999998</v>
      </c>
      <c r="G25" s="2">
        <v>5</v>
      </c>
      <c r="H25" s="2">
        <v>4</v>
      </c>
      <c r="I25" s="2">
        <v>5</v>
      </c>
      <c r="J25" s="2">
        <v>4.7</v>
      </c>
      <c r="K25" s="2" t="s">
        <v>12</v>
      </c>
      <c r="L25" s="2" t="str">
        <f t="shared" si="5"/>
        <v>Loss Making</v>
      </c>
      <c r="M25" s="2" t="str">
        <f t="shared" si="0"/>
        <v>Stable Earnings</v>
      </c>
      <c r="N25" s="2" t="str">
        <f t="shared" si="1"/>
        <v>Moderate</v>
      </c>
      <c r="O25" s="4" t="str">
        <f t="shared" si="2"/>
        <v>Accounting Risk</v>
      </c>
      <c r="P25" s="4" t="str">
        <f t="shared" si="3"/>
        <v>Moderate</v>
      </c>
      <c r="Q25" s="4" t="str">
        <f t="shared" si="4"/>
        <v>Strong Long-Term Growth</v>
      </c>
    </row>
    <row r="26" spans="1:17" x14ac:dyDescent="0.35">
      <c r="A26" s="2" t="s">
        <v>36</v>
      </c>
      <c r="B26" s="2">
        <v>5</v>
      </c>
      <c r="C26" s="2">
        <v>-255678686.5</v>
      </c>
      <c r="D26" s="2">
        <v>0</v>
      </c>
      <c r="E26" s="2">
        <v>123221523.40000001</v>
      </c>
      <c r="F26" s="2">
        <v>-287691386</v>
      </c>
      <c r="G26" s="2">
        <v>5</v>
      </c>
      <c r="H26" s="2">
        <v>4</v>
      </c>
      <c r="I26" s="2">
        <v>5</v>
      </c>
      <c r="J26" s="2">
        <v>4.7</v>
      </c>
      <c r="K26" s="2" t="s">
        <v>12</v>
      </c>
      <c r="L26" s="2" t="str">
        <f t="shared" si="5"/>
        <v>Loss Making</v>
      </c>
      <c r="M26" s="2" t="str">
        <f t="shared" si="0"/>
        <v>Stable Earnings</v>
      </c>
      <c r="N26" s="2" t="str">
        <f t="shared" si="1"/>
        <v>Moderate</v>
      </c>
      <c r="O26" s="4" t="str">
        <f t="shared" si="2"/>
        <v>Accounting Risk</v>
      </c>
      <c r="P26" s="4" t="str">
        <f t="shared" si="3"/>
        <v>Moderate</v>
      </c>
      <c r="Q26" s="4" t="str">
        <f t="shared" si="4"/>
        <v>Strong Long-Term Growth</v>
      </c>
    </row>
    <row r="27" spans="1:17" x14ac:dyDescent="0.35">
      <c r="A27" s="2" t="s">
        <v>37</v>
      </c>
      <c r="B27" s="2">
        <v>5</v>
      </c>
      <c r="C27" s="2">
        <v>-206205473.69999999</v>
      </c>
      <c r="D27" s="2">
        <v>0</v>
      </c>
      <c r="E27" s="2">
        <v>120489469.09999999</v>
      </c>
      <c r="F27" s="2">
        <v>-295102705.19999999</v>
      </c>
      <c r="G27" s="2">
        <v>5</v>
      </c>
      <c r="H27" s="2">
        <v>4</v>
      </c>
      <c r="I27" s="2">
        <v>5</v>
      </c>
      <c r="J27" s="2">
        <v>4.7</v>
      </c>
      <c r="K27" s="2" t="s">
        <v>12</v>
      </c>
      <c r="L27" s="2" t="str">
        <f t="shared" si="5"/>
        <v>Loss Making</v>
      </c>
      <c r="M27" s="2" t="str">
        <f t="shared" si="0"/>
        <v>Stable Earnings</v>
      </c>
      <c r="N27" s="2" t="str">
        <f t="shared" si="1"/>
        <v>Moderate</v>
      </c>
      <c r="O27" s="4" t="str">
        <f t="shared" si="2"/>
        <v>Accounting Risk</v>
      </c>
      <c r="P27" s="4" t="str">
        <f t="shared" si="3"/>
        <v>Moderate</v>
      </c>
      <c r="Q27" s="4" t="str">
        <f t="shared" si="4"/>
        <v>Strong Long-Term Growth</v>
      </c>
    </row>
    <row r="28" spans="1:17" x14ac:dyDescent="0.35">
      <c r="A28" s="2" t="s">
        <v>38</v>
      </c>
      <c r="B28" s="2">
        <v>5</v>
      </c>
      <c r="C28" s="2">
        <v>-230512520.09999999</v>
      </c>
      <c r="D28" s="2">
        <v>0</v>
      </c>
      <c r="E28" s="2">
        <v>159050010.5</v>
      </c>
      <c r="F28" s="2">
        <v>-321675186.60000002</v>
      </c>
      <c r="G28" s="2">
        <v>5</v>
      </c>
      <c r="H28" s="2">
        <v>4</v>
      </c>
      <c r="I28" s="2">
        <v>5</v>
      </c>
      <c r="J28" s="2">
        <v>4.7</v>
      </c>
      <c r="K28" s="2" t="s">
        <v>12</v>
      </c>
      <c r="L28" s="2" t="str">
        <f t="shared" si="5"/>
        <v>Loss Making</v>
      </c>
      <c r="M28" s="2" t="str">
        <f t="shared" si="0"/>
        <v>Stable Earnings</v>
      </c>
      <c r="N28" s="2" t="str">
        <f t="shared" si="1"/>
        <v>Moderate</v>
      </c>
      <c r="O28" s="4" t="str">
        <f t="shared" si="2"/>
        <v>Accounting Risk</v>
      </c>
      <c r="P28" s="4" t="str">
        <f t="shared" si="3"/>
        <v>Moderate</v>
      </c>
      <c r="Q28" s="4" t="str">
        <f t="shared" si="4"/>
        <v>Strong Long-Term Growth</v>
      </c>
    </row>
    <row r="29" spans="1:17" x14ac:dyDescent="0.35">
      <c r="A29" s="2" t="s">
        <v>39</v>
      </c>
      <c r="B29" s="2">
        <v>5</v>
      </c>
      <c r="C29" s="2">
        <v>-509974708.30000001</v>
      </c>
      <c r="D29" s="2">
        <v>0</v>
      </c>
      <c r="E29" s="2">
        <v>325497046.10000002</v>
      </c>
      <c r="F29" s="2">
        <v>-140158928.40000001</v>
      </c>
      <c r="G29" s="2">
        <v>5</v>
      </c>
      <c r="H29" s="2">
        <v>4</v>
      </c>
      <c r="I29" s="2">
        <v>5</v>
      </c>
      <c r="J29" s="2">
        <v>4.7</v>
      </c>
      <c r="K29" s="2" t="s">
        <v>12</v>
      </c>
      <c r="L29" s="2" t="str">
        <f t="shared" si="5"/>
        <v>Loss Making</v>
      </c>
      <c r="M29" s="2" t="str">
        <f t="shared" si="0"/>
        <v>Stable Earnings</v>
      </c>
      <c r="N29" s="2" t="str">
        <f t="shared" si="1"/>
        <v>Moderate</v>
      </c>
      <c r="O29" s="4" t="str">
        <f t="shared" si="2"/>
        <v>Accounting Risk</v>
      </c>
      <c r="P29" s="4" t="str">
        <f t="shared" si="3"/>
        <v>Moderate</v>
      </c>
      <c r="Q29" s="4" t="str">
        <f t="shared" si="4"/>
        <v>Strong Long-Term Growth</v>
      </c>
    </row>
    <row r="30" spans="1:17" x14ac:dyDescent="0.35">
      <c r="A30" s="2" t="s">
        <v>40</v>
      </c>
      <c r="B30" s="2">
        <v>5</v>
      </c>
      <c r="C30" s="2">
        <v>-419180175.5</v>
      </c>
      <c r="D30" s="2">
        <v>0</v>
      </c>
      <c r="E30" s="2">
        <v>227266696.19999999</v>
      </c>
      <c r="F30" s="2">
        <v>-153618641.80000001</v>
      </c>
      <c r="G30" s="2">
        <v>5</v>
      </c>
      <c r="H30" s="2">
        <v>4</v>
      </c>
      <c r="I30" s="2">
        <v>5</v>
      </c>
      <c r="J30" s="2">
        <v>4.7</v>
      </c>
      <c r="K30" s="2" t="s">
        <v>12</v>
      </c>
      <c r="L30" s="2" t="str">
        <f t="shared" si="5"/>
        <v>Loss Making</v>
      </c>
      <c r="M30" s="2" t="str">
        <f t="shared" si="0"/>
        <v>Stable Earnings</v>
      </c>
      <c r="N30" s="2" t="str">
        <f t="shared" si="1"/>
        <v>Moderate</v>
      </c>
      <c r="O30" s="4" t="str">
        <f t="shared" si="2"/>
        <v>Accounting Risk</v>
      </c>
      <c r="P30" s="4" t="str">
        <f t="shared" si="3"/>
        <v>Moderate</v>
      </c>
      <c r="Q30" s="4" t="str">
        <f t="shared" si="4"/>
        <v>Strong Long-Term Growth</v>
      </c>
    </row>
    <row r="31" spans="1:17" x14ac:dyDescent="0.35">
      <c r="A31" s="2" t="s">
        <v>41</v>
      </c>
      <c r="B31" s="2">
        <v>5</v>
      </c>
      <c r="C31" s="2">
        <v>-195749790.59999999</v>
      </c>
      <c r="D31" s="2">
        <v>0</v>
      </c>
      <c r="E31" s="2">
        <v>134604172.90000001</v>
      </c>
      <c r="F31" s="2">
        <v>-173162426.80000001</v>
      </c>
      <c r="G31" s="2">
        <v>5</v>
      </c>
      <c r="H31" s="2">
        <v>4</v>
      </c>
      <c r="I31" s="2">
        <v>5</v>
      </c>
      <c r="J31" s="2">
        <v>4.7</v>
      </c>
      <c r="K31" s="2" t="s">
        <v>12</v>
      </c>
      <c r="L31" s="2" t="str">
        <f t="shared" si="5"/>
        <v>Loss Making</v>
      </c>
      <c r="M31" s="2" t="str">
        <f t="shared" si="0"/>
        <v>Stable Earnings</v>
      </c>
      <c r="N31" s="2" t="str">
        <f t="shared" si="1"/>
        <v>Moderate</v>
      </c>
      <c r="O31" s="4" t="str">
        <f t="shared" si="2"/>
        <v>Accounting Risk</v>
      </c>
      <c r="P31" s="4" t="str">
        <f t="shared" si="3"/>
        <v>Moderate</v>
      </c>
      <c r="Q31" s="4" t="str">
        <f t="shared" si="4"/>
        <v>Strong Long-Term Growth</v>
      </c>
    </row>
    <row r="32" spans="1:17" x14ac:dyDescent="0.35">
      <c r="A32" s="2" t="s">
        <v>42</v>
      </c>
      <c r="B32" s="2">
        <v>5</v>
      </c>
      <c r="C32" s="2">
        <v>-468423770.69999999</v>
      </c>
      <c r="D32" s="2">
        <v>0</v>
      </c>
      <c r="E32" s="2">
        <v>198064049.19999999</v>
      </c>
      <c r="F32" s="2">
        <v>-184187130.59999999</v>
      </c>
      <c r="G32" s="2">
        <v>5</v>
      </c>
      <c r="H32" s="2">
        <v>4</v>
      </c>
      <c r="I32" s="2">
        <v>5</v>
      </c>
      <c r="J32" s="2">
        <v>4.7</v>
      </c>
      <c r="K32" s="2" t="s">
        <v>12</v>
      </c>
      <c r="L32" s="2" t="str">
        <f t="shared" si="5"/>
        <v>Loss Making</v>
      </c>
      <c r="M32" s="2" t="str">
        <f t="shared" si="0"/>
        <v>Stable Earnings</v>
      </c>
      <c r="N32" s="2" t="str">
        <f t="shared" si="1"/>
        <v>Moderate</v>
      </c>
      <c r="O32" s="4" t="str">
        <f t="shared" si="2"/>
        <v>Accounting Risk</v>
      </c>
      <c r="P32" s="4" t="str">
        <f t="shared" si="3"/>
        <v>Moderate</v>
      </c>
      <c r="Q32" s="4" t="str">
        <f t="shared" si="4"/>
        <v>Strong Long-Term Growth</v>
      </c>
    </row>
    <row r="33" spans="1:17" x14ac:dyDescent="0.35">
      <c r="A33" s="2" t="s">
        <v>43</v>
      </c>
      <c r="B33" s="2">
        <v>5</v>
      </c>
      <c r="C33" s="2">
        <v>-287341135.69999999</v>
      </c>
      <c r="D33" s="2">
        <v>0</v>
      </c>
      <c r="E33" s="2">
        <v>269529630.89999998</v>
      </c>
      <c r="F33" s="2">
        <v>-210762026.69999999</v>
      </c>
      <c r="G33" s="2">
        <v>5</v>
      </c>
      <c r="H33" s="2">
        <v>4</v>
      </c>
      <c r="I33" s="2">
        <v>5</v>
      </c>
      <c r="J33" s="2">
        <v>4.7</v>
      </c>
      <c r="K33" s="2" t="s">
        <v>12</v>
      </c>
      <c r="L33" s="2" t="str">
        <f t="shared" si="5"/>
        <v>Loss Making</v>
      </c>
      <c r="M33" s="2" t="str">
        <f t="shared" si="0"/>
        <v>Stable Earnings</v>
      </c>
      <c r="N33" s="2" t="str">
        <f t="shared" si="1"/>
        <v>Moderate</v>
      </c>
      <c r="O33" s="4" t="str">
        <f t="shared" si="2"/>
        <v>Accounting Risk</v>
      </c>
      <c r="P33" s="4" t="str">
        <f t="shared" si="3"/>
        <v>Moderate</v>
      </c>
      <c r="Q33" s="4" t="str">
        <f t="shared" si="4"/>
        <v>Strong Long-Term Growth</v>
      </c>
    </row>
    <row r="34" spans="1:17" x14ac:dyDescent="0.35">
      <c r="A34" s="2" t="s">
        <v>44</v>
      </c>
      <c r="B34" s="2">
        <v>5</v>
      </c>
      <c r="C34" s="2">
        <v>-206142963.69999999</v>
      </c>
      <c r="D34" s="2">
        <v>0</v>
      </c>
      <c r="E34" s="2">
        <v>113929235.3</v>
      </c>
      <c r="F34" s="2">
        <v>-216073443.09999999</v>
      </c>
      <c r="G34" s="2">
        <v>5</v>
      </c>
      <c r="H34" s="2">
        <v>4</v>
      </c>
      <c r="I34" s="2">
        <v>5</v>
      </c>
      <c r="J34" s="2">
        <v>4.7</v>
      </c>
      <c r="K34" s="2" t="s">
        <v>12</v>
      </c>
      <c r="L34" s="2" t="str">
        <f t="shared" si="5"/>
        <v>Loss Making</v>
      </c>
      <c r="M34" s="2" t="str">
        <f t="shared" si="0"/>
        <v>Stable Earnings</v>
      </c>
      <c r="N34" s="2" t="str">
        <f t="shared" si="1"/>
        <v>Moderate</v>
      </c>
      <c r="O34" s="4" t="str">
        <f t="shared" si="2"/>
        <v>Accounting Risk</v>
      </c>
      <c r="P34" s="4" t="str">
        <f t="shared" si="3"/>
        <v>Moderate</v>
      </c>
      <c r="Q34" s="4" t="str">
        <f t="shared" si="4"/>
        <v>Strong Long-Term Growth</v>
      </c>
    </row>
    <row r="35" spans="1:17" x14ac:dyDescent="0.35">
      <c r="A35" s="2" t="s">
        <v>45</v>
      </c>
      <c r="B35" s="2">
        <v>5</v>
      </c>
      <c r="C35" s="2">
        <v>-134554472</v>
      </c>
      <c r="D35" s="2">
        <v>0</v>
      </c>
      <c r="E35" s="2">
        <v>130472236.2</v>
      </c>
      <c r="F35" s="2">
        <v>-218541692.69999999</v>
      </c>
      <c r="G35" s="2">
        <v>5</v>
      </c>
      <c r="H35" s="2">
        <v>4</v>
      </c>
      <c r="I35" s="2">
        <v>5</v>
      </c>
      <c r="J35" s="2">
        <v>4.7</v>
      </c>
      <c r="K35" s="2" t="s">
        <v>12</v>
      </c>
      <c r="L35" s="2" t="str">
        <f t="shared" si="5"/>
        <v>Loss Making</v>
      </c>
      <c r="M35" s="2" t="str">
        <f t="shared" si="0"/>
        <v>Stable Earnings</v>
      </c>
      <c r="N35" s="2" t="str">
        <f t="shared" si="1"/>
        <v>Moderate</v>
      </c>
      <c r="O35" s="4" t="str">
        <f t="shared" si="2"/>
        <v>Accounting Risk</v>
      </c>
      <c r="P35" s="4" t="str">
        <f t="shared" si="3"/>
        <v>Moderate</v>
      </c>
      <c r="Q35" s="4" t="str">
        <f t="shared" si="4"/>
        <v>Strong Long-Term Growth</v>
      </c>
    </row>
    <row r="36" spans="1:17" x14ac:dyDescent="0.35">
      <c r="A36" s="2" t="s">
        <v>46</v>
      </c>
      <c r="B36" s="2">
        <v>5</v>
      </c>
      <c r="C36" s="2">
        <v>-515959037.39999998</v>
      </c>
      <c r="D36" s="2">
        <v>0</v>
      </c>
      <c r="E36" s="2">
        <v>182836209.80000001</v>
      </c>
      <c r="F36" s="2">
        <v>-246222573.90000001</v>
      </c>
      <c r="G36" s="2">
        <v>5</v>
      </c>
      <c r="H36" s="2">
        <v>4</v>
      </c>
      <c r="I36" s="2">
        <v>5</v>
      </c>
      <c r="J36" s="2">
        <v>4.7</v>
      </c>
      <c r="K36" s="2" t="s">
        <v>12</v>
      </c>
      <c r="L36" s="2" t="str">
        <f t="shared" si="5"/>
        <v>Loss Making</v>
      </c>
      <c r="M36" s="2" t="str">
        <f t="shared" si="0"/>
        <v>Stable Earnings</v>
      </c>
      <c r="N36" s="2" t="str">
        <f t="shared" si="1"/>
        <v>Moderate</v>
      </c>
      <c r="O36" s="4" t="str">
        <f t="shared" si="2"/>
        <v>Accounting Risk</v>
      </c>
      <c r="P36" s="4" t="str">
        <f t="shared" si="3"/>
        <v>Moderate</v>
      </c>
      <c r="Q36" s="4" t="str">
        <f t="shared" si="4"/>
        <v>Strong Long-Term Growth</v>
      </c>
    </row>
    <row r="37" spans="1:17" x14ac:dyDescent="0.35">
      <c r="A37" s="2" t="s">
        <v>47</v>
      </c>
      <c r="B37" s="2">
        <v>5</v>
      </c>
      <c r="C37" s="2">
        <v>-208644486.80000001</v>
      </c>
      <c r="D37" s="2">
        <v>0</v>
      </c>
      <c r="E37" s="2">
        <v>187831568.80000001</v>
      </c>
      <c r="F37" s="2">
        <v>-120166995.2</v>
      </c>
      <c r="G37" s="2">
        <v>5</v>
      </c>
      <c r="H37" s="2">
        <v>4</v>
      </c>
      <c r="I37" s="2">
        <v>5</v>
      </c>
      <c r="J37" s="2">
        <v>4.7</v>
      </c>
      <c r="K37" s="2" t="s">
        <v>12</v>
      </c>
      <c r="L37" s="2" t="str">
        <f t="shared" si="5"/>
        <v>Loss Making</v>
      </c>
      <c r="M37" s="2" t="str">
        <f t="shared" si="0"/>
        <v>Stable Earnings</v>
      </c>
      <c r="N37" s="2" t="str">
        <f t="shared" si="1"/>
        <v>Moderate</v>
      </c>
      <c r="O37" s="4" t="str">
        <f t="shared" si="2"/>
        <v>Accounting Risk</v>
      </c>
      <c r="P37" s="4" t="str">
        <f t="shared" si="3"/>
        <v>Moderate</v>
      </c>
      <c r="Q37" s="4" t="str">
        <f t="shared" si="4"/>
        <v>Strong Long-Term Growth</v>
      </c>
    </row>
    <row r="38" spans="1:17" x14ac:dyDescent="0.35">
      <c r="A38" s="2" t="s">
        <v>48</v>
      </c>
      <c r="B38" s="2">
        <v>5</v>
      </c>
      <c r="C38" s="2">
        <v>-165012641.40000001</v>
      </c>
      <c r="D38" s="2">
        <v>0</v>
      </c>
      <c r="E38" s="2">
        <v>181384619.30000001</v>
      </c>
      <c r="F38" s="2">
        <v>-122700389.2</v>
      </c>
      <c r="G38" s="2">
        <v>5</v>
      </c>
      <c r="H38" s="2">
        <v>4</v>
      </c>
      <c r="I38" s="2">
        <v>5</v>
      </c>
      <c r="J38" s="2">
        <v>4.7</v>
      </c>
      <c r="K38" s="2" t="s">
        <v>12</v>
      </c>
      <c r="L38" s="2" t="str">
        <f t="shared" si="5"/>
        <v>Loss Making</v>
      </c>
      <c r="M38" s="2" t="str">
        <f t="shared" si="0"/>
        <v>Stable Earnings</v>
      </c>
      <c r="N38" s="2" t="str">
        <f t="shared" si="1"/>
        <v>Moderate</v>
      </c>
      <c r="O38" s="4" t="str">
        <f t="shared" si="2"/>
        <v>Accounting Risk</v>
      </c>
      <c r="P38" s="4" t="str">
        <f t="shared" si="3"/>
        <v>Moderate</v>
      </c>
      <c r="Q38" s="4" t="str">
        <f t="shared" si="4"/>
        <v>Strong Long-Term Growth</v>
      </c>
    </row>
    <row r="39" spans="1:17" x14ac:dyDescent="0.35">
      <c r="A39" s="2" t="s">
        <v>49</v>
      </c>
      <c r="B39" s="2">
        <v>5</v>
      </c>
      <c r="C39" s="2">
        <v>-158391916.90000001</v>
      </c>
      <c r="D39" s="2">
        <v>0</v>
      </c>
      <c r="E39" s="2">
        <v>170986830.09999999</v>
      </c>
      <c r="F39" s="2">
        <v>-51033637.5</v>
      </c>
      <c r="G39" s="2">
        <v>5</v>
      </c>
      <c r="H39" s="2">
        <v>4</v>
      </c>
      <c r="I39" s="2">
        <v>4</v>
      </c>
      <c r="J39" s="2">
        <v>4.5</v>
      </c>
      <c r="K39" s="2" t="s">
        <v>12</v>
      </c>
      <c r="L39" s="2" t="str">
        <f t="shared" si="5"/>
        <v>Loss Making</v>
      </c>
      <c r="M39" s="2" t="str">
        <f t="shared" si="0"/>
        <v>Stable Earnings</v>
      </c>
      <c r="N39" s="2" t="str">
        <f t="shared" si="1"/>
        <v>Moderate</v>
      </c>
      <c r="O39" s="4" t="str">
        <f t="shared" si="2"/>
        <v>Accounting Risk</v>
      </c>
      <c r="P39" s="4" t="str">
        <f t="shared" si="3"/>
        <v>Moderate</v>
      </c>
      <c r="Q39" s="4" t="str">
        <f t="shared" si="4"/>
        <v>Strong Long-Term Growth</v>
      </c>
    </row>
    <row r="40" spans="1:17" x14ac:dyDescent="0.35">
      <c r="A40" s="2" t="s">
        <v>50</v>
      </c>
      <c r="B40" s="2">
        <v>5</v>
      </c>
      <c r="C40" s="2">
        <v>-217593539.19999999</v>
      </c>
      <c r="D40" s="2">
        <v>0</v>
      </c>
      <c r="E40" s="2">
        <v>121649135.8</v>
      </c>
      <c r="F40" s="2">
        <v>-58909459.600000001</v>
      </c>
      <c r="G40" s="2">
        <v>5</v>
      </c>
      <c r="H40" s="2">
        <v>4</v>
      </c>
      <c r="I40" s="2">
        <v>4</v>
      </c>
      <c r="J40" s="2">
        <v>4.5</v>
      </c>
      <c r="K40" s="2" t="s">
        <v>12</v>
      </c>
      <c r="L40" s="2" t="str">
        <f t="shared" si="5"/>
        <v>Loss Making</v>
      </c>
      <c r="M40" s="2" t="str">
        <f t="shared" si="0"/>
        <v>Stable Earnings</v>
      </c>
      <c r="N40" s="2" t="str">
        <f t="shared" si="1"/>
        <v>Moderate</v>
      </c>
      <c r="O40" s="4" t="str">
        <f t="shared" si="2"/>
        <v>Accounting Risk</v>
      </c>
      <c r="P40" s="4" t="str">
        <f t="shared" si="3"/>
        <v>Moderate</v>
      </c>
      <c r="Q40" s="4" t="str">
        <f t="shared" si="4"/>
        <v>Strong Long-Term Growth</v>
      </c>
    </row>
    <row r="41" spans="1:17" x14ac:dyDescent="0.35">
      <c r="A41" s="2" t="s">
        <v>51</v>
      </c>
      <c r="B41" s="2">
        <v>5</v>
      </c>
      <c r="C41" s="2">
        <v>-1036173042</v>
      </c>
      <c r="D41" s="2">
        <v>0</v>
      </c>
      <c r="E41" s="2">
        <v>372288594.30000001</v>
      </c>
      <c r="F41" s="2">
        <v>-222811869</v>
      </c>
      <c r="G41" s="2">
        <v>4</v>
      </c>
      <c r="H41" s="2">
        <v>5</v>
      </c>
      <c r="I41" s="2">
        <v>5</v>
      </c>
      <c r="J41" s="2">
        <v>4.5</v>
      </c>
      <c r="K41" s="2" t="s">
        <v>12</v>
      </c>
      <c r="L41" s="2" t="str">
        <f t="shared" si="5"/>
        <v>Loss Making</v>
      </c>
      <c r="M41" s="2" t="str">
        <f t="shared" si="0"/>
        <v>Stable Earnings</v>
      </c>
      <c r="N41" s="2" t="str">
        <f t="shared" si="1"/>
        <v>Moderate</v>
      </c>
      <c r="O41" s="4" t="str">
        <f t="shared" si="2"/>
        <v>Accounting Risk</v>
      </c>
      <c r="P41" s="4" t="str">
        <f t="shared" si="3"/>
        <v>Moderate</v>
      </c>
      <c r="Q41" s="4" t="str">
        <f t="shared" si="4"/>
        <v>Strong Long-Term Growth</v>
      </c>
    </row>
    <row r="42" spans="1:17" x14ac:dyDescent="0.35">
      <c r="A42" s="2" t="s">
        <v>52</v>
      </c>
      <c r="B42" s="2">
        <v>5</v>
      </c>
      <c r="C42" s="2">
        <v>-343351126.19999999</v>
      </c>
      <c r="D42" s="2">
        <v>0.2</v>
      </c>
      <c r="E42" s="2">
        <v>387118277.19999999</v>
      </c>
      <c r="F42" s="2">
        <v>-170194962.69999999</v>
      </c>
      <c r="G42" s="2">
        <v>4</v>
      </c>
      <c r="H42" s="2">
        <v>5</v>
      </c>
      <c r="I42" s="2">
        <v>5</v>
      </c>
      <c r="J42" s="2">
        <v>4.5</v>
      </c>
      <c r="K42" s="2" t="s">
        <v>12</v>
      </c>
      <c r="L42" s="2" t="str">
        <f t="shared" si="5"/>
        <v>Loss Making</v>
      </c>
      <c r="M42" s="2" t="str">
        <f t="shared" si="0"/>
        <v>Stable Earnings</v>
      </c>
      <c r="N42" s="2" t="str">
        <f t="shared" si="1"/>
        <v>Moderate</v>
      </c>
      <c r="O42" s="4" t="str">
        <f t="shared" si="2"/>
        <v>Accounting Risk</v>
      </c>
      <c r="P42" s="4" t="str">
        <f t="shared" si="3"/>
        <v>Moderate</v>
      </c>
      <c r="Q42" s="4" t="str">
        <f t="shared" si="4"/>
        <v>Strong Long-Term Growth</v>
      </c>
    </row>
    <row r="43" spans="1:17" x14ac:dyDescent="0.35">
      <c r="A43" s="2" t="s">
        <v>53</v>
      </c>
      <c r="B43" s="2">
        <v>5</v>
      </c>
      <c r="C43" s="2">
        <v>-154620702.30000001</v>
      </c>
      <c r="D43" s="2">
        <v>0.4</v>
      </c>
      <c r="E43" s="2">
        <v>389934026.10000002</v>
      </c>
      <c r="F43" s="2">
        <v>-159133230.30000001</v>
      </c>
      <c r="G43" s="2">
        <v>4</v>
      </c>
      <c r="H43" s="2">
        <v>5</v>
      </c>
      <c r="I43" s="2">
        <v>5</v>
      </c>
      <c r="J43" s="2">
        <v>4.5</v>
      </c>
      <c r="K43" s="2" t="s">
        <v>12</v>
      </c>
      <c r="L43" s="2" t="str">
        <f t="shared" si="5"/>
        <v>Loss Making</v>
      </c>
      <c r="M43" s="2" t="str">
        <f t="shared" si="0"/>
        <v>Stable Earnings</v>
      </c>
      <c r="N43" s="2" t="str">
        <f t="shared" si="1"/>
        <v>Moderate</v>
      </c>
      <c r="O43" s="4" t="str">
        <f t="shared" si="2"/>
        <v>Accounting Risk</v>
      </c>
      <c r="P43" s="4" t="str">
        <f t="shared" si="3"/>
        <v>Moderate</v>
      </c>
      <c r="Q43" s="4" t="str">
        <f t="shared" si="4"/>
        <v>Strong Long-Term Growth</v>
      </c>
    </row>
    <row r="44" spans="1:17" x14ac:dyDescent="0.35">
      <c r="A44" s="2" t="s">
        <v>54</v>
      </c>
      <c r="B44" s="2">
        <v>5</v>
      </c>
      <c r="C44" s="2">
        <v>-2935262280</v>
      </c>
      <c r="D44" s="2">
        <v>0</v>
      </c>
      <c r="E44" s="2">
        <v>5875097576</v>
      </c>
      <c r="F44" s="2">
        <v>-123347593.8</v>
      </c>
      <c r="G44" s="2">
        <v>4</v>
      </c>
      <c r="H44" s="2">
        <v>5</v>
      </c>
      <c r="I44" s="2">
        <v>5</v>
      </c>
      <c r="J44" s="2">
        <v>4.5</v>
      </c>
      <c r="K44" s="2" t="s">
        <v>12</v>
      </c>
      <c r="L44" s="2" t="str">
        <f t="shared" si="5"/>
        <v>Loss Making</v>
      </c>
      <c r="M44" s="2" t="str">
        <f t="shared" si="0"/>
        <v>Stable Earnings</v>
      </c>
      <c r="N44" s="2" t="str">
        <f t="shared" si="1"/>
        <v>Moderate</v>
      </c>
      <c r="O44" s="4" t="str">
        <f t="shared" si="2"/>
        <v>Accounting Risk</v>
      </c>
      <c r="P44" s="4" t="str">
        <f t="shared" si="3"/>
        <v>Moderate</v>
      </c>
      <c r="Q44" s="4" t="str">
        <f t="shared" si="4"/>
        <v>Strong Long-Term Growth</v>
      </c>
    </row>
    <row r="45" spans="1:17" x14ac:dyDescent="0.35">
      <c r="A45" s="2" t="s">
        <v>55</v>
      </c>
      <c r="B45" s="2">
        <v>5</v>
      </c>
      <c r="C45" s="2">
        <v>-1952082794</v>
      </c>
      <c r="D45" s="2">
        <v>0.4</v>
      </c>
      <c r="E45" s="2">
        <v>3695998989</v>
      </c>
      <c r="F45" s="2">
        <v>-139062011</v>
      </c>
      <c r="G45" s="2">
        <v>4</v>
      </c>
      <c r="H45" s="2">
        <v>5</v>
      </c>
      <c r="I45" s="2">
        <v>5</v>
      </c>
      <c r="J45" s="2">
        <v>4.5</v>
      </c>
      <c r="K45" s="2" t="s">
        <v>12</v>
      </c>
      <c r="L45" s="2" t="str">
        <f t="shared" si="5"/>
        <v>Loss Making</v>
      </c>
      <c r="M45" s="2" t="str">
        <f t="shared" si="0"/>
        <v>Stable Earnings</v>
      </c>
      <c r="N45" s="2" t="str">
        <f t="shared" si="1"/>
        <v>Moderate</v>
      </c>
      <c r="O45" s="4" t="str">
        <f t="shared" si="2"/>
        <v>Accounting Risk</v>
      </c>
      <c r="P45" s="4" t="str">
        <f t="shared" si="3"/>
        <v>Moderate</v>
      </c>
      <c r="Q45" s="4" t="str">
        <f t="shared" si="4"/>
        <v>Strong Long-Term Growth</v>
      </c>
    </row>
    <row r="46" spans="1:17" x14ac:dyDescent="0.35">
      <c r="A46" s="2" t="s">
        <v>56</v>
      </c>
      <c r="B46" s="2">
        <v>5</v>
      </c>
      <c r="C46" s="2">
        <v>-98315633.620000005</v>
      </c>
      <c r="D46" s="2">
        <v>0.4</v>
      </c>
      <c r="E46" s="2">
        <v>1807975644</v>
      </c>
      <c r="F46" s="2">
        <v>-339517911.39999998</v>
      </c>
      <c r="G46" s="2">
        <v>4</v>
      </c>
      <c r="H46" s="2">
        <v>5</v>
      </c>
      <c r="I46" s="2">
        <v>5</v>
      </c>
      <c r="J46" s="2">
        <v>4.5</v>
      </c>
      <c r="K46" s="2" t="s">
        <v>12</v>
      </c>
      <c r="L46" s="2" t="str">
        <f t="shared" si="5"/>
        <v>Loss Making</v>
      </c>
      <c r="M46" s="2" t="str">
        <f t="shared" si="0"/>
        <v>Stable Earnings</v>
      </c>
      <c r="N46" s="2" t="str">
        <f t="shared" si="1"/>
        <v>Moderate</v>
      </c>
      <c r="O46" s="4" t="str">
        <f t="shared" si="2"/>
        <v>Accounting Risk</v>
      </c>
      <c r="P46" s="4" t="str">
        <f t="shared" si="3"/>
        <v>Moderate</v>
      </c>
      <c r="Q46" s="4" t="str">
        <f t="shared" si="4"/>
        <v>Strong Long-Term Growth</v>
      </c>
    </row>
    <row r="47" spans="1:17" x14ac:dyDescent="0.35">
      <c r="A47" s="2" t="s">
        <v>57</v>
      </c>
      <c r="B47" s="2">
        <v>5</v>
      </c>
      <c r="C47" s="2">
        <v>-380571457.10000002</v>
      </c>
      <c r="D47" s="2">
        <v>0.2</v>
      </c>
      <c r="E47" s="2">
        <v>806354122.89999998</v>
      </c>
      <c r="F47" s="2">
        <v>-371322414.89999998</v>
      </c>
      <c r="G47" s="2">
        <v>4</v>
      </c>
      <c r="H47" s="2">
        <v>5</v>
      </c>
      <c r="I47" s="2">
        <v>5</v>
      </c>
      <c r="J47" s="2">
        <v>4.5</v>
      </c>
      <c r="K47" s="2" t="s">
        <v>12</v>
      </c>
      <c r="L47" s="2" t="str">
        <f t="shared" si="5"/>
        <v>Loss Making</v>
      </c>
      <c r="M47" s="2" t="str">
        <f t="shared" si="0"/>
        <v>Stable Earnings</v>
      </c>
      <c r="N47" s="2" t="str">
        <f t="shared" si="1"/>
        <v>Moderate</v>
      </c>
      <c r="O47" s="4" t="str">
        <f t="shared" si="2"/>
        <v>Accounting Risk</v>
      </c>
      <c r="P47" s="4" t="str">
        <f t="shared" si="3"/>
        <v>Moderate</v>
      </c>
      <c r="Q47" s="4" t="str">
        <f t="shared" si="4"/>
        <v>Strong Long-Term Growth</v>
      </c>
    </row>
    <row r="48" spans="1:17" x14ac:dyDescent="0.35">
      <c r="A48" s="2" t="s">
        <v>58</v>
      </c>
      <c r="B48" s="2">
        <v>5</v>
      </c>
      <c r="C48" s="2">
        <v>-47112545.280000001</v>
      </c>
      <c r="D48" s="2">
        <v>0.2</v>
      </c>
      <c r="E48" s="2">
        <v>492181518.69999999</v>
      </c>
      <c r="F48" s="2">
        <v>-407861565.5</v>
      </c>
      <c r="G48" s="2">
        <v>4</v>
      </c>
      <c r="H48" s="2">
        <v>5</v>
      </c>
      <c r="I48" s="2">
        <v>5</v>
      </c>
      <c r="J48" s="2">
        <v>4.5</v>
      </c>
      <c r="K48" s="2" t="s">
        <v>12</v>
      </c>
      <c r="L48" s="2" t="str">
        <f t="shared" si="5"/>
        <v>Loss Making</v>
      </c>
      <c r="M48" s="2" t="str">
        <f t="shared" si="0"/>
        <v>Stable Earnings</v>
      </c>
      <c r="N48" s="2" t="str">
        <f t="shared" si="1"/>
        <v>Moderate</v>
      </c>
      <c r="O48" s="4" t="str">
        <f t="shared" si="2"/>
        <v>Accounting Risk</v>
      </c>
      <c r="P48" s="4" t="str">
        <f t="shared" si="3"/>
        <v>Moderate</v>
      </c>
      <c r="Q48" s="4" t="str">
        <f t="shared" si="4"/>
        <v>Strong Long-Term Growth</v>
      </c>
    </row>
    <row r="49" spans="1:17" x14ac:dyDescent="0.35">
      <c r="A49" s="2" t="s">
        <v>59</v>
      </c>
      <c r="B49" s="2">
        <v>5</v>
      </c>
      <c r="C49" s="2">
        <v>170246584.59999999</v>
      </c>
      <c r="D49" s="2">
        <v>0.4</v>
      </c>
      <c r="E49" s="2">
        <v>933648553.89999998</v>
      </c>
      <c r="F49" s="2">
        <v>-399422082.5</v>
      </c>
      <c r="G49" s="2">
        <v>4</v>
      </c>
      <c r="H49" s="2">
        <v>5</v>
      </c>
      <c r="I49" s="2">
        <v>5</v>
      </c>
      <c r="J49" s="2">
        <v>4.5</v>
      </c>
      <c r="K49" s="2" t="s">
        <v>12</v>
      </c>
      <c r="L49" s="2" t="str">
        <f t="shared" si="5"/>
        <v>Profitable</v>
      </c>
      <c r="M49" s="2" t="str">
        <f t="shared" si="0"/>
        <v>Stable Earnings</v>
      </c>
      <c r="N49" s="2" t="str">
        <f t="shared" si="1"/>
        <v>Moderate</v>
      </c>
      <c r="O49" s="4" t="str">
        <f t="shared" si="2"/>
        <v>Accounting Risk</v>
      </c>
      <c r="P49" s="4" t="str">
        <f t="shared" si="3"/>
        <v>Moderate</v>
      </c>
      <c r="Q49" s="4" t="str">
        <f t="shared" si="4"/>
        <v>Strong Long-Term Growth</v>
      </c>
    </row>
    <row r="50" spans="1:17" x14ac:dyDescent="0.35">
      <c r="A50" s="2" t="s">
        <v>60</v>
      </c>
      <c r="B50" s="2">
        <v>5</v>
      </c>
      <c r="C50" s="2">
        <v>-264558550</v>
      </c>
      <c r="D50" s="2">
        <v>0.4</v>
      </c>
      <c r="E50" s="2">
        <v>774469104.10000002</v>
      </c>
      <c r="F50" s="2">
        <v>-416506408.60000002</v>
      </c>
      <c r="G50" s="2">
        <v>4</v>
      </c>
      <c r="H50" s="2">
        <v>5</v>
      </c>
      <c r="I50" s="2">
        <v>5</v>
      </c>
      <c r="J50" s="2">
        <v>4.5</v>
      </c>
      <c r="K50" s="2" t="s">
        <v>12</v>
      </c>
      <c r="L50" s="2" t="str">
        <f t="shared" si="5"/>
        <v>Loss Making</v>
      </c>
      <c r="M50" s="2" t="str">
        <f t="shared" si="0"/>
        <v>Stable Earnings</v>
      </c>
      <c r="N50" s="2" t="str">
        <f t="shared" si="1"/>
        <v>Moderate</v>
      </c>
      <c r="O50" s="4" t="str">
        <f t="shared" si="2"/>
        <v>Accounting Risk</v>
      </c>
      <c r="P50" s="4" t="str">
        <f t="shared" si="3"/>
        <v>Moderate</v>
      </c>
      <c r="Q50" s="4" t="str">
        <f t="shared" si="4"/>
        <v>Strong Long-Term Growth</v>
      </c>
    </row>
    <row r="51" spans="1:17" x14ac:dyDescent="0.35">
      <c r="A51" s="2" t="s">
        <v>61</v>
      </c>
      <c r="B51" s="2">
        <v>5</v>
      </c>
      <c r="C51" s="2">
        <v>-796873393.70000005</v>
      </c>
      <c r="D51" s="2">
        <v>0</v>
      </c>
      <c r="E51" s="2">
        <v>382108447.89999998</v>
      </c>
      <c r="F51" s="2">
        <v>-763164400.79999995</v>
      </c>
      <c r="G51" s="2">
        <v>4</v>
      </c>
      <c r="H51" s="2">
        <v>5</v>
      </c>
      <c r="I51" s="2">
        <v>5</v>
      </c>
      <c r="J51" s="2">
        <v>4.5</v>
      </c>
      <c r="K51" s="2" t="s">
        <v>12</v>
      </c>
      <c r="L51" s="2" t="str">
        <f t="shared" si="5"/>
        <v>Loss Making</v>
      </c>
      <c r="M51" s="2" t="str">
        <f t="shared" si="0"/>
        <v>Stable Earnings</v>
      </c>
      <c r="N51" s="2" t="str">
        <f t="shared" si="1"/>
        <v>Moderate</v>
      </c>
      <c r="O51" s="4" t="str">
        <f t="shared" si="2"/>
        <v>Accounting Risk</v>
      </c>
      <c r="P51" s="4" t="str">
        <f t="shared" si="3"/>
        <v>Moderate</v>
      </c>
      <c r="Q51" s="4" t="str">
        <f t="shared" si="4"/>
        <v>Strong Long-Term Growth</v>
      </c>
    </row>
    <row r="52" spans="1:17" x14ac:dyDescent="0.35">
      <c r="A52" s="2" t="s">
        <v>62</v>
      </c>
      <c r="B52" s="2">
        <v>5</v>
      </c>
      <c r="C52" s="2">
        <v>-343093841</v>
      </c>
      <c r="D52" s="2">
        <v>0.2</v>
      </c>
      <c r="E52" s="2">
        <v>703510087.60000002</v>
      </c>
      <c r="F52" s="2">
        <v>-857686159.5</v>
      </c>
      <c r="G52" s="2">
        <v>4</v>
      </c>
      <c r="H52" s="2">
        <v>5</v>
      </c>
      <c r="I52" s="2">
        <v>5</v>
      </c>
      <c r="J52" s="2">
        <v>4.5</v>
      </c>
      <c r="K52" s="2" t="s">
        <v>12</v>
      </c>
      <c r="L52" s="2" t="str">
        <f t="shared" si="5"/>
        <v>Loss Making</v>
      </c>
      <c r="M52" s="2" t="str">
        <f t="shared" si="0"/>
        <v>Stable Earnings</v>
      </c>
      <c r="N52" s="2" t="str">
        <f t="shared" si="1"/>
        <v>Moderate</v>
      </c>
      <c r="O52" s="4" t="str">
        <f t="shared" si="2"/>
        <v>Accounting Risk</v>
      </c>
      <c r="P52" s="4" t="str">
        <f t="shared" si="3"/>
        <v>Moderate</v>
      </c>
      <c r="Q52" s="4" t="str">
        <f t="shared" si="4"/>
        <v>Strong Long-Term Growth</v>
      </c>
    </row>
    <row r="53" spans="1:17" x14ac:dyDescent="0.35">
      <c r="A53" s="2" t="s">
        <v>63</v>
      </c>
      <c r="B53" s="2">
        <v>5</v>
      </c>
      <c r="C53" s="2">
        <v>-320422202.19999999</v>
      </c>
      <c r="D53" s="2">
        <v>0.2</v>
      </c>
      <c r="E53" s="2">
        <v>376102412.39999998</v>
      </c>
      <c r="F53" s="2">
        <v>-812657260.5</v>
      </c>
      <c r="G53" s="2">
        <v>4</v>
      </c>
      <c r="H53" s="2">
        <v>5</v>
      </c>
      <c r="I53" s="2">
        <v>5</v>
      </c>
      <c r="J53" s="2">
        <v>4.5</v>
      </c>
      <c r="K53" s="2" t="s">
        <v>12</v>
      </c>
      <c r="L53" s="2" t="str">
        <f t="shared" si="5"/>
        <v>Loss Making</v>
      </c>
      <c r="M53" s="2" t="str">
        <f t="shared" si="0"/>
        <v>Stable Earnings</v>
      </c>
      <c r="N53" s="2" t="str">
        <f t="shared" si="1"/>
        <v>Moderate</v>
      </c>
      <c r="O53" s="4" t="str">
        <f t="shared" si="2"/>
        <v>Accounting Risk</v>
      </c>
      <c r="P53" s="4" t="str">
        <f t="shared" si="3"/>
        <v>Moderate</v>
      </c>
      <c r="Q53" s="4" t="str">
        <f t="shared" si="4"/>
        <v>Strong Long-Term Growth</v>
      </c>
    </row>
    <row r="54" spans="1:17" x14ac:dyDescent="0.35">
      <c r="A54" s="2" t="s">
        <v>64</v>
      </c>
      <c r="B54" s="2">
        <v>5</v>
      </c>
      <c r="C54" s="2">
        <v>-1920606470</v>
      </c>
      <c r="D54" s="2">
        <v>0.4</v>
      </c>
      <c r="E54" s="2">
        <v>2401113086</v>
      </c>
      <c r="F54" s="2">
        <v>-754658384.20000005</v>
      </c>
      <c r="G54" s="2">
        <v>4</v>
      </c>
      <c r="H54" s="2">
        <v>5</v>
      </c>
      <c r="I54" s="2">
        <v>5</v>
      </c>
      <c r="J54" s="2">
        <v>4.5</v>
      </c>
      <c r="K54" s="2" t="s">
        <v>12</v>
      </c>
      <c r="L54" s="2" t="str">
        <f t="shared" si="5"/>
        <v>Loss Making</v>
      </c>
      <c r="M54" s="2" t="str">
        <f t="shared" si="0"/>
        <v>Stable Earnings</v>
      </c>
      <c r="N54" s="2" t="str">
        <f t="shared" si="1"/>
        <v>Moderate</v>
      </c>
      <c r="O54" s="4" t="str">
        <f t="shared" si="2"/>
        <v>Accounting Risk</v>
      </c>
      <c r="P54" s="4" t="str">
        <f t="shared" si="3"/>
        <v>Moderate</v>
      </c>
      <c r="Q54" s="4" t="str">
        <f t="shared" si="4"/>
        <v>Strong Long-Term Growth</v>
      </c>
    </row>
    <row r="55" spans="1:17" x14ac:dyDescent="0.35">
      <c r="A55" s="2" t="s">
        <v>65</v>
      </c>
      <c r="B55" s="2">
        <v>5</v>
      </c>
      <c r="C55" s="2">
        <v>-601473653.60000002</v>
      </c>
      <c r="D55" s="2">
        <v>0.2</v>
      </c>
      <c r="E55" s="2">
        <v>548359115.10000002</v>
      </c>
      <c r="F55" s="2">
        <v>-678654740.29999995</v>
      </c>
      <c r="G55" s="2">
        <v>4</v>
      </c>
      <c r="H55" s="2">
        <v>5</v>
      </c>
      <c r="I55" s="2">
        <v>5</v>
      </c>
      <c r="J55" s="2">
        <v>4.5</v>
      </c>
      <c r="K55" s="2" t="s">
        <v>12</v>
      </c>
      <c r="L55" s="2" t="str">
        <f t="shared" si="5"/>
        <v>Loss Making</v>
      </c>
      <c r="M55" s="2" t="str">
        <f t="shared" si="0"/>
        <v>Stable Earnings</v>
      </c>
      <c r="N55" s="2" t="str">
        <f t="shared" si="1"/>
        <v>Moderate</v>
      </c>
      <c r="O55" s="4" t="str">
        <f t="shared" si="2"/>
        <v>Accounting Risk</v>
      </c>
      <c r="P55" s="4" t="str">
        <f t="shared" si="3"/>
        <v>Moderate</v>
      </c>
      <c r="Q55" s="4" t="str">
        <f t="shared" si="4"/>
        <v>Strong Long-Term Growth</v>
      </c>
    </row>
    <row r="56" spans="1:17" x14ac:dyDescent="0.35">
      <c r="A56" s="2" t="s">
        <v>66</v>
      </c>
      <c r="B56" s="2">
        <v>5</v>
      </c>
      <c r="C56" s="2">
        <v>-209656530.19999999</v>
      </c>
      <c r="D56" s="2">
        <v>0.2</v>
      </c>
      <c r="E56" s="2">
        <v>387146354</v>
      </c>
      <c r="F56" s="2">
        <v>-646239773.89999998</v>
      </c>
      <c r="G56" s="2">
        <v>4</v>
      </c>
      <c r="H56" s="2">
        <v>5</v>
      </c>
      <c r="I56" s="2">
        <v>5</v>
      </c>
      <c r="J56" s="2">
        <v>4.5</v>
      </c>
      <c r="K56" s="2" t="s">
        <v>12</v>
      </c>
      <c r="L56" s="2" t="str">
        <f t="shared" si="5"/>
        <v>Loss Making</v>
      </c>
      <c r="M56" s="2" t="str">
        <f t="shared" si="0"/>
        <v>Stable Earnings</v>
      </c>
      <c r="N56" s="2" t="str">
        <f t="shared" si="1"/>
        <v>Moderate</v>
      </c>
      <c r="O56" s="4" t="str">
        <f t="shared" si="2"/>
        <v>Accounting Risk</v>
      </c>
      <c r="P56" s="4" t="str">
        <f t="shared" si="3"/>
        <v>Moderate</v>
      </c>
      <c r="Q56" s="4" t="str">
        <f t="shared" si="4"/>
        <v>Strong Long-Term Growth</v>
      </c>
    </row>
    <row r="57" spans="1:17" x14ac:dyDescent="0.35">
      <c r="A57" s="2" t="s">
        <v>67</v>
      </c>
      <c r="B57" s="2">
        <v>5</v>
      </c>
      <c r="C57" s="2">
        <v>-333374555</v>
      </c>
      <c r="D57" s="2">
        <v>0.4</v>
      </c>
      <c r="E57" s="2">
        <v>727306157.20000005</v>
      </c>
      <c r="F57" s="2">
        <v>-1640133686</v>
      </c>
      <c r="G57" s="2">
        <v>4</v>
      </c>
      <c r="H57" s="2">
        <v>5</v>
      </c>
      <c r="I57" s="2">
        <v>5</v>
      </c>
      <c r="J57" s="2">
        <v>4.5</v>
      </c>
      <c r="K57" s="2" t="s">
        <v>12</v>
      </c>
      <c r="L57" s="2" t="str">
        <f t="shared" si="5"/>
        <v>Loss Making</v>
      </c>
      <c r="M57" s="2" t="str">
        <f t="shared" si="0"/>
        <v>Stable Earnings</v>
      </c>
      <c r="N57" s="2" t="str">
        <f t="shared" si="1"/>
        <v>Moderate</v>
      </c>
      <c r="O57" s="4" t="str">
        <f t="shared" si="2"/>
        <v>Accounting Risk</v>
      </c>
      <c r="P57" s="4" t="str">
        <f t="shared" si="3"/>
        <v>Moderate</v>
      </c>
      <c r="Q57" s="4" t="str">
        <f t="shared" si="4"/>
        <v>Strong Long-Term Growth</v>
      </c>
    </row>
    <row r="58" spans="1:17" x14ac:dyDescent="0.35">
      <c r="A58" s="2" t="s">
        <v>68</v>
      </c>
      <c r="B58" s="2">
        <v>5</v>
      </c>
      <c r="C58" s="2">
        <v>-1257502870</v>
      </c>
      <c r="D58" s="2">
        <v>0.2</v>
      </c>
      <c r="E58" s="2">
        <v>1383245232</v>
      </c>
      <c r="F58" s="2">
        <v>-1987481015</v>
      </c>
      <c r="G58" s="2">
        <v>4</v>
      </c>
      <c r="H58" s="2">
        <v>5</v>
      </c>
      <c r="I58" s="2">
        <v>5</v>
      </c>
      <c r="J58" s="2">
        <v>4.5</v>
      </c>
      <c r="K58" s="2" t="s">
        <v>12</v>
      </c>
      <c r="L58" s="2" t="str">
        <f t="shared" si="5"/>
        <v>Loss Making</v>
      </c>
      <c r="M58" s="2" t="str">
        <f t="shared" si="0"/>
        <v>Stable Earnings</v>
      </c>
      <c r="N58" s="2" t="str">
        <f t="shared" si="1"/>
        <v>Moderate</v>
      </c>
      <c r="O58" s="4" t="str">
        <f t="shared" si="2"/>
        <v>Accounting Risk</v>
      </c>
      <c r="P58" s="4" t="str">
        <f t="shared" si="3"/>
        <v>Moderate</v>
      </c>
      <c r="Q58" s="4" t="str">
        <f t="shared" si="4"/>
        <v>Strong Long-Term Growth</v>
      </c>
    </row>
    <row r="59" spans="1:17" x14ac:dyDescent="0.35">
      <c r="A59" s="2" t="s">
        <v>69</v>
      </c>
      <c r="B59" s="2">
        <v>5</v>
      </c>
      <c r="C59" s="2">
        <v>-687703007.39999998</v>
      </c>
      <c r="D59" s="2">
        <v>0.2</v>
      </c>
      <c r="E59" s="2">
        <v>860872417.79999995</v>
      </c>
      <c r="F59" s="2">
        <v>-1237790709</v>
      </c>
      <c r="G59" s="2">
        <v>4</v>
      </c>
      <c r="H59" s="2">
        <v>5</v>
      </c>
      <c r="I59" s="2">
        <v>5</v>
      </c>
      <c r="J59" s="2">
        <v>4.5</v>
      </c>
      <c r="K59" s="2" t="s">
        <v>12</v>
      </c>
      <c r="L59" s="2" t="str">
        <f t="shared" si="5"/>
        <v>Loss Making</v>
      </c>
      <c r="M59" s="2" t="str">
        <f t="shared" si="0"/>
        <v>Stable Earnings</v>
      </c>
      <c r="N59" s="2" t="str">
        <f t="shared" si="1"/>
        <v>Moderate</v>
      </c>
      <c r="O59" s="4" t="str">
        <f t="shared" si="2"/>
        <v>Accounting Risk</v>
      </c>
      <c r="P59" s="4" t="str">
        <f t="shared" si="3"/>
        <v>Moderate</v>
      </c>
      <c r="Q59" s="4" t="str">
        <f t="shared" si="4"/>
        <v>Strong Long-Term Growth</v>
      </c>
    </row>
    <row r="60" spans="1:17" x14ac:dyDescent="0.35">
      <c r="A60" s="2" t="s">
        <v>70</v>
      </c>
      <c r="B60" s="2">
        <v>5</v>
      </c>
      <c r="C60" s="2">
        <v>-410095984.89999998</v>
      </c>
      <c r="D60" s="2">
        <v>0.2</v>
      </c>
      <c r="E60" s="2">
        <v>535812538.89999998</v>
      </c>
      <c r="F60" s="2">
        <v>-1122796210</v>
      </c>
      <c r="G60" s="2">
        <v>4</v>
      </c>
      <c r="H60" s="2">
        <v>5</v>
      </c>
      <c r="I60" s="2">
        <v>5</v>
      </c>
      <c r="J60" s="2">
        <v>4.5</v>
      </c>
      <c r="K60" s="2" t="s">
        <v>12</v>
      </c>
      <c r="L60" s="2" t="str">
        <f t="shared" si="5"/>
        <v>Loss Making</v>
      </c>
      <c r="M60" s="2" t="str">
        <f t="shared" si="0"/>
        <v>Stable Earnings</v>
      </c>
      <c r="N60" s="2" t="str">
        <f t="shared" si="1"/>
        <v>Moderate</v>
      </c>
      <c r="O60" s="4" t="str">
        <f t="shared" si="2"/>
        <v>Accounting Risk</v>
      </c>
      <c r="P60" s="4" t="str">
        <f t="shared" si="3"/>
        <v>Moderate</v>
      </c>
      <c r="Q60" s="4" t="str">
        <f t="shared" si="4"/>
        <v>Strong Long-Term Growth</v>
      </c>
    </row>
    <row r="61" spans="1:17" x14ac:dyDescent="0.35">
      <c r="A61" s="2" t="s">
        <v>71</v>
      </c>
      <c r="B61" s="2">
        <v>5</v>
      </c>
      <c r="C61" s="2">
        <v>-460372121.89999998</v>
      </c>
      <c r="D61" s="2">
        <v>0.2</v>
      </c>
      <c r="E61" s="2">
        <v>507940003.89999998</v>
      </c>
      <c r="F61" s="2">
        <v>-1298740312</v>
      </c>
      <c r="G61" s="2">
        <v>4</v>
      </c>
      <c r="H61" s="2">
        <v>5</v>
      </c>
      <c r="I61" s="2">
        <v>5</v>
      </c>
      <c r="J61" s="2">
        <v>4.5</v>
      </c>
      <c r="K61" s="2" t="s">
        <v>12</v>
      </c>
      <c r="L61" s="2" t="str">
        <f t="shared" si="5"/>
        <v>Loss Making</v>
      </c>
      <c r="M61" s="2" t="str">
        <f t="shared" si="0"/>
        <v>Stable Earnings</v>
      </c>
      <c r="N61" s="2" t="str">
        <f t="shared" si="1"/>
        <v>Moderate</v>
      </c>
      <c r="O61" s="4" t="str">
        <f t="shared" si="2"/>
        <v>Accounting Risk</v>
      </c>
      <c r="P61" s="4" t="str">
        <f t="shared" si="3"/>
        <v>Moderate</v>
      </c>
      <c r="Q61" s="4" t="str">
        <f t="shared" si="4"/>
        <v>Strong Long-Term Growth</v>
      </c>
    </row>
    <row r="62" spans="1:17" x14ac:dyDescent="0.35">
      <c r="A62" s="2" t="s">
        <v>72</v>
      </c>
      <c r="B62" s="2">
        <v>5</v>
      </c>
      <c r="C62" s="2">
        <v>-483006303.10000002</v>
      </c>
      <c r="D62" s="2">
        <v>0</v>
      </c>
      <c r="E62" s="2">
        <v>563775175.20000005</v>
      </c>
      <c r="F62" s="2">
        <v>-1407843006</v>
      </c>
      <c r="G62" s="2">
        <v>4</v>
      </c>
      <c r="H62" s="2">
        <v>5</v>
      </c>
      <c r="I62" s="2">
        <v>5</v>
      </c>
      <c r="J62" s="2">
        <v>4.5</v>
      </c>
      <c r="K62" s="2" t="s">
        <v>12</v>
      </c>
      <c r="L62" s="2" t="str">
        <f t="shared" si="5"/>
        <v>Loss Making</v>
      </c>
      <c r="M62" s="2" t="str">
        <f t="shared" si="0"/>
        <v>Stable Earnings</v>
      </c>
      <c r="N62" s="2" t="str">
        <f t="shared" si="1"/>
        <v>Moderate</v>
      </c>
      <c r="O62" s="4" t="str">
        <f t="shared" si="2"/>
        <v>Accounting Risk</v>
      </c>
      <c r="P62" s="4" t="str">
        <f t="shared" si="3"/>
        <v>Moderate</v>
      </c>
      <c r="Q62" s="4" t="str">
        <f t="shared" si="4"/>
        <v>Strong Long-Term Growth</v>
      </c>
    </row>
    <row r="63" spans="1:17" x14ac:dyDescent="0.35">
      <c r="A63" s="2" t="s">
        <v>73</v>
      </c>
      <c r="B63" s="2">
        <v>5</v>
      </c>
      <c r="C63" s="2">
        <v>-4423074726</v>
      </c>
      <c r="D63" s="2">
        <v>0.2</v>
      </c>
      <c r="E63" s="2">
        <v>5713692638</v>
      </c>
      <c r="F63" s="2">
        <v>-3114220645</v>
      </c>
      <c r="G63" s="2">
        <v>4</v>
      </c>
      <c r="H63" s="2">
        <v>5</v>
      </c>
      <c r="I63" s="2">
        <v>5</v>
      </c>
      <c r="J63" s="2">
        <v>4.5</v>
      </c>
      <c r="K63" s="2" t="s">
        <v>12</v>
      </c>
      <c r="L63" s="2" t="str">
        <f t="shared" si="5"/>
        <v>Loss Making</v>
      </c>
      <c r="M63" s="2" t="str">
        <f t="shared" si="0"/>
        <v>Stable Earnings</v>
      </c>
      <c r="N63" s="2" t="str">
        <f t="shared" si="1"/>
        <v>Moderate</v>
      </c>
      <c r="O63" s="4" t="str">
        <f t="shared" si="2"/>
        <v>Accounting Risk</v>
      </c>
      <c r="P63" s="4" t="str">
        <f t="shared" si="3"/>
        <v>Moderate</v>
      </c>
      <c r="Q63" s="4" t="str">
        <f t="shared" si="4"/>
        <v>Strong Long-Term Growth</v>
      </c>
    </row>
    <row r="64" spans="1:17" x14ac:dyDescent="0.35">
      <c r="A64" s="2" t="s">
        <v>74</v>
      </c>
      <c r="B64" s="2">
        <v>5</v>
      </c>
      <c r="C64" s="2">
        <v>2989239549</v>
      </c>
      <c r="D64" s="2">
        <v>0.4</v>
      </c>
      <c r="E64" s="2">
        <v>7176481491</v>
      </c>
      <c r="F64" s="2">
        <v>-4163321072</v>
      </c>
      <c r="G64" s="2">
        <v>4</v>
      </c>
      <c r="H64" s="2">
        <v>5</v>
      </c>
      <c r="I64" s="2">
        <v>5</v>
      </c>
      <c r="J64" s="2">
        <v>4.5</v>
      </c>
      <c r="K64" s="2" t="s">
        <v>12</v>
      </c>
      <c r="L64" s="2" t="str">
        <f t="shared" si="5"/>
        <v>Profitable</v>
      </c>
      <c r="M64" s="2" t="str">
        <f t="shared" si="0"/>
        <v>High Volatility</v>
      </c>
      <c r="N64" s="2" t="str">
        <f t="shared" si="1"/>
        <v>Moderate</v>
      </c>
      <c r="O64" s="4" t="str">
        <f t="shared" si="2"/>
        <v>Accounting Risk</v>
      </c>
      <c r="P64" s="4" t="str">
        <f t="shared" si="3"/>
        <v>Moderate</v>
      </c>
      <c r="Q64" s="4" t="str">
        <f t="shared" si="4"/>
        <v>Strong Long-Term Growth</v>
      </c>
    </row>
    <row r="65" spans="1:17" x14ac:dyDescent="0.35">
      <c r="A65" s="2" t="s">
        <v>75</v>
      </c>
      <c r="B65" s="2">
        <v>5</v>
      </c>
      <c r="C65" s="2">
        <v>-3314354242</v>
      </c>
      <c r="D65" s="2">
        <v>0.2</v>
      </c>
      <c r="E65" s="2">
        <v>4771317597</v>
      </c>
      <c r="F65" s="2">
        <v>-5082331154</v>
      </c>
      <c r="G65" s="2">
        <v>4</v>
      </c>
      <c r="H65" s="2">
        <v>5</v>
      </c>
      <c r="I65" s="2">
        <v>5</v>
      </c>
      <c r="J65" s="2">
        <v>4.5</v>
      </c>
      <c r="K65" s="2" t="s">
        <v>12</v>
      </c>
      <c r="L65" s="2" t="str">
        <f t="shared" si="5"/>
        <v>Loss Making</v>
      </c>
      <c r="M65" s="2" t="str">
        <f t="shared" si="0"/>
        <v>Stable Earnings</v>
      </c>
      <c r="N65" s="2" t="str">
        <f t="shared" si="1"/>
        <v>Moderate</v>
      </c>
      <c r="O65" s="4" t="str">
        <f t="shared" si="2"/>
        <v>Accounting Risk</v>
      </c>
      <c r="P65" s="4" t="str">
        <f t="shared" si="3"/>
        <v>Moderate</v>
      </c>
      <c r="Q65" s="4" t="str">
        <f t="shared" si="4"/>
        <v>Strong Long-Term Growth</v>
      </c>
    </row>
    <row r="66" spans="1:17" x14ac:dyDescent="0.35">
      <c r="A66" s="2" t="s">
        <v>76</v>
      </c>
      <c r="B66" s="2">
        <v>5</v>
      </c>
      <c r="C66" s="2">
        <v>-310964248.30000001</v>
      </c>
      <c r="D66" s="2">
        <v>0.4</v>
      </c>
      <c r="E66" s="2">
        <v>779863611.89999998</v>
      </c>
      <c r="F66" s="2">
        <v>-1629796715</v>
      </c>
      <c r="G66" s="2">
        <v>4</v>
      </c>
      <c r="H66" s="2">
        <v>5</v>
      </c>
      <c r="I66" s="2">
        <v>5</v>
      </c>
      <c r="J66" s="2">
        <v>4.5</v>
      </c>
      <c r="K66" s="2" t="s">
        <v>12</v>
      </c>
      <c r="L66" s="2" t="str">
        <f t="shared" ref="L66:L129" si="6">IF(C66&gt;0,"Profitable","Loss Making")</f>
        <v>Loss Making</v>
      </c>
      <c r="M66" s="2" t="str">
        <f t="shared" ref="M66:M129" si="7">IF(C66&gt;500000000,"High Volatility","Stable Earnings")</f>
        <v>Stable Earnings</v>
      </c>
      <c r="N66" s="2" t="str">
        <f t="shared" ref="N66:N129" si="8">IF(G66&gt;=7,"High Quality",IF(G66&gt;=4,"Moderate","Low Quality"))</f>
        <v>Moderate</v>
      </c>
      <c r="O66" s="4" t="str">
        <f t="shared" ref="O66:O129" si="9">IF(AND(F66&gt;0,D66&gt;0.6),"Operational Growth","Accounting Risk")</f>
        <v>Accounting Risk</v>
      </c>
      <c r="P66" s="4" t="str">
        <f t="shared" ref="P66:P129" si="10">IF(G66&gt;=7,"High Quality", IF(G66&gt;=4,"Moderate","Low Quality"))</f>
        <v>Moderate</v>
      </c>
      <c r="Q66" s="4" t="str">
        <f t="shared" ref="Q66:Q129" si="11">IF(I66&gt;=4,"Strong Long-Term Growth",IF(I66&gt;=2,"Moderate Growth","Weak Growth"))</f>
        <v>Strong Long-Term Growth</v>
      </c>
    </row>
    <row r="67" spans="1:17" x14ac:dyDescent="0.35">
      <c r="A67" s="2" t="s">
        <v>77</v>
      </c>
      <c r="B67" s="2">
        <v>5</v>
      </c>
      <c r="C67" s="3">
        <v>-387176000000</v>
      </c>
      <c r="D67" s="2">
        <v>0.2</v>
      </c>
      <c r="E67" s="3">
        <v>624310000000</v>
      </c>
      <c r="F67" s="3">
        <v>-534916000000</v>
      </c>
      <c r="G67" s="2">
        <v>4</v>
      </c>
      <c r="H67" s="2">
        <v>5</v>
      </c>
      <c r="I67" s="2">
        <v>5</v>
      </c>
      <c r="J67" s="2">
        <v>4.5</v>
      </c>
      <c r="K67" s="2" t="s">
        <v>12</v>
      </c>
      <c r="L67" s="2" t="str">
        <f t="shared" si="6"/>
        <v>Loss Making</v>
      </c>
      <c r="M67" s="2" t="str">
        <f t="shared" si="7"/>
        <v>Stable Earnings</v>
      </c>
      <c r="N67" s="2" t="str">
        <f t="shared" si="8"/>
        <v>Moderate</v>
      </c>
      <c r="O67" s="4" t="str">
        <f t="shared" si="9"/>
        <v>Accounting Risk</v>
      </c>
      <c r="P67" s="4" t="str">
        <f t="shared" si="10"/>
        <v>Moderate</v>
      </c>
      <c r="Q67" s="4" t="str">
        <f t="shared" si="11"/>
        <v>Strong Long-Term Growth</v>
      </c>
    </row>
    <row r="68" spans="1:17" x14ac:dyDescent="0.35">
      <c r="A68" s="2" t="s">
        <v>78</v>
      </c>
      <c r="B68" s="2">
        <v>5</v>
      </c>
      <c r="C68" s="2">
        <v>-237832558.59999999</v>
      </c>
      <c r="D68" s="2">
        <v>0</v>
      </c>
      <c r="E68" s="2">
        <v>105566395.7</v>
      </c>
      <c r="F68" s="2">
        <v>-275028435.39999998</v>
      </c>
      <c r="G68" s="2">
        <v>5</v>
      </c>
      <c r="H68" s="2">
        <v>3</v>
      </c>
      <c r="I68" s="2">
        <v>5</v>
      </c>
      <c r="J68" s="2">
        <v>4.4000000000000004</v>
      </c>
      <c r="K68" s="2" t="s">
        <v>12</v>
      </c>
      <c r="L68" s="2" t="str">
        <f t="shared" si="6"/>
        <v>Loss Making</v>
      </c>
      <c r="M68" s="2" t="str">
        <f t="shared" si="7"/>
        <v>Stable Earnings</v>
      </c>
      <c r="N68" s="2" t="str">
        <f t="shared" si="8"/>
        <v>Moderate</v>
      </c>
      <c r="O68" s="4" t="str">
        <f t="shared" si="9"/>
        <v>Accounting Risk</v>
      </c>
      <c r="P68" s="4" t="str">
        <f t="shared" si="10"/>
        <v>Moderate</v>
      </c>
      <c r="Q68" s="4" t="str">
        <f t="shared" si="11"/>
        <v>Strong Long-Term Growth</v>
      </c>
    </row>
    <row r="69" spans="1:17" x14ac:dyDescent="0.35">
      <c r="A69" s="2" t="s">
        <v>79</v>
      </c>
      <c r="B69" s="2">
        <v>5</v>
      </c>
      <c r="C69" s="2">
        <v>-254189613.5</v>
      </c>
      <c r="D69" s="2">
        <v>0</v>
      </c>
      <c r="E69" s="2">
        <v>100535259.3</v>
      </c>
      <c r="F69" s="2">
        <v>-131170578</v>
      </c>
      <c r="G69" s="2">
        <v>5</v>
      </c>
      <c r="H69" s="2">
        <v>3</v>
      </c>
      <c r="I69" s="2">
        <v>5</v>
      </c>
      <c r="J69" s="2">
        <v>4.4000000000000004</v>
      </c>
      <c r="K69" s="2" t="s">
        <v>12</v>
      </c>
      <c r="L69" s="2" t="str">
        <f t="shared" si="6"/>
        <v>Loss Making</v>
      </c>
      <c r="M69" s="2" t="str">
        <f t="shared" si="7"/>
        <v>Stable Earnings</v>
      </c>
      <c r="N69" s="2" t="str">
        <f t="shared" si="8"/>
        <v>Moderate</v>
      </c>
      <c r="O69" s="4" t="str">
        <f t="shared" si="9"/>
        <v>Accounting Risk</v>
      </c>
      <c r="P69" s="4" t="str">
        <f t="shared" si="10"/>
        <v>Moderate</v>
      </c>
      <c r="Q69" s="4" t="str">
        <f t="shared" si="11"/>
        <v>Strong Long-Term Growth</v>
      </c>
    </row>
    <row r="70" spans="1:17" x14ac:dyDescent="0.35">
      <c r="A70" s="2" t="s">
        <v>80</v>
      </c>
      <c r="B70" s="2">
        <v>5</v>
      </c>
      <c r="C70" s="2">
        <v>-197961387.80000001</v>
      </c>
      <c r="D70" s="2">
        <v>0</v>
      </c>
      <c r="E70" s="2">
        <v>62987089.079999998</v>
      </c>
      <c r="F70" s="2">
        <v>-131228822.90000001</v>
      </c>
      <c r="G70" s="2">
        <v>5</v>
      </c>
      <c r="H70" s="2">
        <v>3</v>
      </c>
      <c r="I70" s="2">
        <v>5</v>
      </c>
      <c r="J70" s="2">
        <v>4.4000000000000004</v>
      </c>
      <c r="K70" s="2" t="s">
        <v>12</v>
      </c>
      <c r="L70" s="2" t="str">
        <f t="shared" si="6"/>
        <v>Loss Making</v>
      </c>
      <c r="M70" s="2" t="str">
        <f t="shared" si="7"/>
        <v>Stable Earnings</v>
      </c>
      <c r="N70" s="2" t="str">
        <f t="shared" si="8"/>
        <v>Moderate</v>
      </c>
      <c r="O70" s="4" t="str">
        <f t="shared" si="9"/>
        <v>Accounting Risk</v>
      </c>
      <c r="P70" s="4" t="str">
        <f t="shared" si="10"/>
        <v>Moderate</v>
      </c>
      <c r="Q70" s="4" t="str">
        <f t="shared" si="11"/>
        <v>Strong Long-Term Growth</v>
      </c>
    </row>
    <row r="71" spans="1:17" x14ac:dyDescent="0.35">
      <c r="A71" s="2" t="s">
        <v>81</v>
      </c>
      <c r="B71" s="2">
        <v>5</v>
      </c>
      <c r="C71" s="2">
        <v>-87531506.620000005</v>
      </c>
      <c r="D71" s="2">
        <v>0</v>
      </c>
      <c r="E71" s="2">
        <v>62873141.770000003</v>
      </c>
      <c r="F71" s="2">
        <v>-133607376.8</v>
      </c>
      <c r="G71" s="2">
        <v>5</v>
      </c>
      <c r="H71" s="2">
        <v>3</v>
      </c>
      <c r="I71" s="2">
        <v>5</v>
      </c>
      <c r="J71" s="2">
        <v>4.4000000000000004</v>
      </c>
      <c r="K71" s="2" t="s">
        <v>12</v>
      </c>
      <c r="L71" s="2" t="str">
        <f t="shared" si="6"/>
        <v>Loss Making</v>
      </c>
      <c r="M71" s="2" t="str">
        <f t="shared" si="7"/>
        <v>Stable Earnings</v>
      </c>
      <c r="N71" s="2" t="str">
        <f t="shared" si="8"/>
        <v>Moderate</v>
      </c>
      <c r="O71" s="4" t="str">
        <f t="shared" si="9"/>
        <v>Accounting Risk</v>
      </c>
      <c r="P71" s="4" t="str">
        <f t="shared" si="10"/>
        <v>Moderate</v>
      </c>
      <c r="Q71" s="4" t="str">
        <f t="shared" si="11"/>
        <v>Strong Long-Term Growth</v>
      </c>
    </row>
    <row r="72" spans="1:17" x14ac:dyDescent="0.35">
      <c r="A72" s="2" t="s">
        <v>82</v>
      </c>
      <c r="B72" s="2">
        <v>5</v>
      </c>
      <c r="C72" s="2">
        <v>-93027222.319999993</v>
      </c>
      <c r="D72" s="2">
        <v>0</v>
      </c>
      <c r="E72" s="2">
        <v>64269743.850000001</v>
      </c>
      <c r="F72" s="2">
        <v>-123745258.40000001</v>
      </c>
      <c r="G72" s="2">
        <v>5</v>
      </c>
      <c r="H72" s="2">
        <v>3</v>
      </c>
      <c r="I72" s="2">
        <v>5</v>
      </c>
      <c r="J72" s="2">
        <v>4.4000000000000004</v>
      </c>
      <c r="K72" s="2" t="s">
        <v>12</v>
      </c>
      <c r="L72" s="2" t="str">
        <f t="shared" si="6"/>
        <v>Loss Making</v>
      </c>
      <c r="M72" s="2" t="str">
        <f t="shared" si="7"/>
        <v>Stable Earnings</v>
      </c>
      <c r="N72" s="2" t="str">
        <f t="shared" si="8"/>
        <v>Moderate</v>
      </c>
      <c r="O72" s="4" t="str">
        <f t="shared" si="9"/>
        <v>Accounting Risk</v>
      </c>
      <c r="P72" s="4" t="str">
        <f t="shared" si="10"/>
        <v>Moderate</v>
      </c>
      <c r="Q72" s="4" t="str">
        <f t="shared" si="11"/>
        <v>Strong Long-Term Growth</v>
      </c>
    </row>
    <row r="73" spans="1:17" x14ac:dyDescent="0.35">
      <c r="A73" s="2" t="s">
        <v>83</v>
      </c>
      <c r="B73" s="2">
        <v>5</v>
      </c>
      <c r="C73" s="2">
        <v>-163677147.69999999</v>
      </c>
      <c r="D73" s="2">
        <v>0</v>
      </c>
      <c r="E73" s="2">
        <v>50863220.18</v>
      </c>
      <c r="F73" s="2">
        <v>-124098120.5</v>
      </c>
      <c r="G73" s="2">
        <v>5</v>
      </c>
      <c r="H73" s="2">
        <v>3</v>
      </c>
      <c r="I73" s="2">
        <v>5</v>
      </c>
      <c r="J73" s="2">
        <v>4.4000000000000004</v>
      </c>
      <c r="K73" s="2" t="s">
        <v>12</v>
      </c>
      <c r="L73" s="2" t="str">
        <f t="shared" si="6"/>
        <v>Loss Making</v>
      </c>
      <c r="M73" s="2" t="str">
        <f t="shared" si="7"/>
        <v>Stable Earnings</v>
      </c>
      <c r="N73" s="2" t="str">
        <f t="shared" si="8"/>
        <v>Moderate</v>
      </c>
      <c r="O73" s="4" t="str">
        <f t="shared" si="9"/>
        <v>Accounting Risk</v>
      </c>
      <c r="P73" s="4" t="str">
        <f t="shared" si="10"/>
        <v>Moderate</v>
      </c>
      <c r="Q73" s="4" t="str">
        <f t="shared" si="11"/>
        <v>Strong Long-Term Growth</v>
      </c>
    </row>
    <row r="74" spans="1:17" x14ac:dyDescent="0.35">
      <c r="A74" s="2" t="s">
        <v>84</v>
      </c>
      <c r="B74" s="2">
        <v>5</v>
      </c>
      <c r="C74" s="2">
        <v>-124240825</v>
      </c>
      <c r="D74" s="2">
        <v>0</v>
      </c>
      <c r="E74" s="2">
        <v>54082769.729999997</v>
      </c>
      <c r="F74" s="2">
        <v>-124440764.40000001</v>
      </c>
      <c r="G74" s="2">
        <v>5</v>
      </c>
      <c r="H74" s="2">
        <v>3</v>
      </c>
      <c r="I74" s="2">
        <v>5</v>
      </c>
      <c r="J74" s="2">
        <v>4.4000000000000004</v>
      </c>
      <c r="K74" s="2" t="s">
        <v>12</v>
      </c>
      <c r="L74" s="2" t="str">
        <f t="shared" si="6"/>
        <v>Loss Making</v>
      </c>
      <c r="M74" s="2" t="str">
        <f t="shared" si="7"/>
        <v>Stable Earnings</v>
      </c>
      <c r="N74" s="2" t="str">
        <f t="shared" si="8"/>
        <v>Moderate</v>
      </c>
      <c r="O74" s="4" t="str">
        <f t="shared" si="9"/>
        <v>Accounting Risk</v>
      </c>
      <c r="P74" s="4" t="str">
        <f t="shared" si="10"/>
        <v>Moderate</v>
      </c>
      <c r="Q74" s="4" t="str">
        <f t="shared" si="11"/>
        <v>Strong Long-Term Growth</v>
      </c>
    </row>
    <row r="75" spans="1:17" x14ac:dyDescent="0.35">
      <c r="A75" s="2" t="s">
        <v>85</v>
      </c>
      <c r="B75" s="2">
        <v>5</v>
      </c>
      <c r="C75" s="2">
        <v>-101548816.09999999</v>
      </c>
      <c r="D75" s="2">
        <v>0</v>
      </c>
      <c r="E75" s="2">
        <v>64956723.07</v>
      </c>
      <c r="F75" s="2">
        <v>-124683008.2</v>
      </c>
      <c r="G75" s="2">
        <v>5</v>
      </c>
      <c r="H75" s="2">
        <v>3</v>
      </c>
      <c r="I75" s="2">
        <v>5</v>
      </c>
      <c r="J75" s="2">
        <v>4.4000000000000004</v>
      </c>
      <c r="K75" s="2" t="s">
        <v>12</v>
      </c>
      <c r="L75" s="2" t="str">
        <f t="shared" si="6"/>
        <v>Loss Making</v>
      </c>
      <c r="M75" s="2" t="str">
        <f t="shared" si="7"/>
        <v>Stable Earnings</v>
      </c>
      <c r="N75" s="2" t="str">
        <f t="shared" si="8"/>
        <v>Moderate</v>
      </c>
      <c r="O75" s="4" t="str">
        <f t="shared" si="9"/>
        <v>Accounting Risk</v>
      </c>
      <c r="P75" s="4" t="str">
        <f t="shared" si="10"/>
        <v>Moderate</v>
      </c>
      <c r="Q75" s="4" t="str">
        <f t="shared" si="11"/>
        <v>Strong Long-Term Growth</v>
      </c>
    </row>
    <row r="76" spans="1:17" x14ac:dyDescent="0.35">
      <c r="A76" s="2" t="s">
        <v>86</v>
      </c>
      <c r="B76" s="2">
        <v>5</v>
      </c>
      <c r="C76" s="2">
        <v>-194353549.69999999</v>
      </c>
      <c r="D76" s="2">
        <v>0</v>
      </c>
      <c r="E76" s="2">
        <v>89405554.659999996</v>
      </c>
      <c r="F76" s="2">
        <v>-125752745.90000001</v>
      </c>
      <c r="G76" s="2">
        <v>5</v>
      </c>
      <c r="H76" s="2">
        <v>3</v>
      </c>
      <c r="I76" s="2">
        <v>5</v>
      </c>
      <c r="J76" s="2">
        <v>4.4000000000000004</v>
      </c>
      <c r="K76" s="2" t="s">
        <v>12</v>
      </c>
      <c r="L76" s="2" t="str">
        <f t="shared" si="6"/>
        <v>Loss Making</v>
      </c>
      <c r="M76" s="2" t="str">
        <f t="shared" si="7"/>
        <v>Stable Earnings</v>
      </c>
      <c r="N76" s="2" t="str">
        <f t="shared" si="8"/>
        <v>Moderate</v>
      </c>
      <c r="O76" s="4" t="str">
        <f t="shared" si="9"/>
        <v>Accounting Risk</v>
      </c>
      <c r="P76" s="4" t="str">
        <f t="shared" si="10"/>
        <v>Moderate</v>
      </c>
      <c r="Q76" s="4" t="str">
        <f t="shared" si="11"/>
        <v>Strong Long-Term Growth</v>
      </c>
    </row>
    <row r="77" spans="1:17" x14ac:dyDescent="0.35">
      <c r="A77" s="2" t="s">
        <v>87</v>
      </c>
      <c r="B77" s="2">
        <v>5</v>
      </c>
      <c r="C77" s="2">
        <v>-193977008.59999999</v>
      </c>
      <c r="D77" s="2">
        <v>0</v>
      </c>
      <c r="E77" s="2">
        <v>57088451.780000001</v>
      </c>
      <c r="F77" s="2">
        <v>-123086782.40000001</v>
      </c>
      <c r="G77" s="2">
        <v>5</v>
      </c>
      <c r="H77" s="2">
        <v>3</v>
      </c>
      <c r="I77" s="2">
        <v>5</v>
      </c>
      <c r="J77" s="2">
        <v>4.4000000000000004</v>
      </c>
      <c r="K77" s="2" t="s">
        <v>12</v>
      </c>
      <c r="L77" s="2" t="str">
        <f t="shared" si="6"/>
        <v>Loss Making</v>
      </c>
      <c r="M77" s="2" t="str">
        <f t="shared" si="7"/>
        <v>Stable Earnings</v>
      </c>
      <c r="N77" s="2" t="str">
        <f t="shared" si="8"/>
        <v>Moderate</v>
      </c>
      <c r="O77" s="4" t="str">
        <f t="shared" si="9"/>
        <v>Accounting Risk</v>
      </c>
      <c r="P77" s="4" t="str">
        <f t="shared" si="10"/>
        <v>Moderate</v>
      </c>
      <c r="Q77" s="4" t="str">
        <f t="shared" si="11"/>
        <v>Strong Long-Term Growth</v>
      </c>
    </row>
    <row r="78" spans="1:17" x14ac:dyDescent="0.35">
      <c r="A78" s="2" t="s">
        <v>88</v>
      </c>
      <c r="B78" s="2">
        <v>5</v>
      </c>
      <c r="C78" s="2">
        <v>-52064976.100000001</v>
      </c>
      <c r="D78" s="2">
        <v>0</v>
      </c>
      <c r="E78" s="2">
        <v>54428871.25</v>
      </c>
      <c r="F78" s="2">
        <v>-128686778.59999999</v>
      </c>
      <c r="G78" s="2">
        <v>5</v>
      </c>
      <c r="H78" s="2">
        <v>3</v>
      </c>
      <c r="I78" s="2">
        <v>5</v>
      </c>
      <c r="J78" s="2">
        <v>4.4000000000000004</v>
      </c>
      <c r="K78" s="2" t="s">
        <v>12</v>
      </c>
      <c r="L78" s="2" t="str">
        <f t="shared" si="6"/>
        <v>Loss Making</v>
      </c>
      <c r="M78" s="2" t="str">
        <f t="shared" si="7"/>
        <v>Stable Earnings</v>
      </c>
      <c r="N78" s="2" t="str">
        <f t="shared" si="8"/>
        <v>Moderate</v>
      </c>
      <c r="O78" s="4" t="str">
        <f t="shared" si="9"/>
        <v>Accounting Risk</v>
      </c>
      <c r="P78" s="4" t="str">
        <f t="shared" si="10"/>
        <v>Moderate</v>
      </c>
      <c r="Q78" s="4" t="str">
        <f t="shared" si="11"/>
        <v>Strong Long-Term Growth</v>
      </c>
    </row>
    <row r="79" spans="1:17" x14ac:dyDescent="0.35">
      <c r="A79" s="2" t="s">
        <v>89</v>
      </c>
      <c r="B79" s="2">
        <v>5</v>
      </c>
      <c r="C79" s="2">
        <v>-66008477.68</v>
      </c>
      <c r="D79" s="2">
        <v>0</v>
      </c>
      <c r="E79" s="2">
        <v>68395286.219999999</v>
      </c>
      <c r="F79" s="2">
        <v>-158760980.09999999</v>
      </c>
      <c r="G79" s="2">
        <v>5</v>
      </c>
      <c r="H79" s="2">
        <v>3</v>
      </c>
      <c r="I79" s="2">
        <v>5</v>
      </c>
      <c r="J79" s="2">
        <v>4.4000000000000004</v>
      </c>
      <c r="K79" s="2" t="s">
        <v>12</v>
      </c>
      <c r="L79" s="2" t="str">
        <f t="shared" si="6"/>
        <v>Loss Making</v>
      </c>
      <c r="M79" s="2" t="str">
        <f t="shared" si="7"/>
        <v>Stable Earnings</v>
      </c>
      <c r="N79" s="2" t="str">
        <f t="shared" si="8"/>
        <v>Moderate</v>
      </c>
      <c r="O79" s="4" t="str">
        <f t="shared" si="9"/>
        <v>Accounting Risk</v>
      </c>
      <c r="P79" s="4" t="str">
        <f t="shared" si="10"/>
        <v>Moderate</v>
      </c>
      <c r="Q79" s="4" t="str">
        <f t="shared" si="11"/>
        <v>Strong Long-Term Growth</v>
      </c>
    </row>
    <row r="80" spans="1:17" x14ac:dyDescent="0.35">
      <c r="A80" s="2" t="s">
        <v>90</v>
      </c>
      <c r="B80" s="2">
        <v>5</v>
      </c>
      <c r="C80" s="2">
        <v>-122336105.2</v>
      </c>
      <c r="D80" s="2">
        <v>0</v>
      </c>
      <c r="E80" s="2">
        <v>66503680.859999999</v>
      </c>
      <c r="F80" s="2">
        <v>-158810848.09999999</v>
      </c>
      <c r="G80" s="2">
        <v>5</v>
      </c>
      <c r="H80" s="2">
        <v>3</v>
      </c>
      <c r="I80" s="2">
        <v>5</v>
      </c>
      <c r="J80" s="2">
        <v>4.4000000000000004</v>
      </c>
      <c r="K80" s="2" t="s">
        <v>12</v>
      </c>
      <c r="L80" s="2" t="str">
        <f t="shared" si="6"/>
        <v>Loss Making</v>
      </c>
      <c r="M80" s="2" t="str">
        <f t="shared" si="7"/>
        <v>Stable Earnings</v>
      </c>
      <c r="N80" s="2" t="str">
        <f t="shared" si="8"/>
        <v>Moderate</v>
      </c>
      <c r="O80" s="4" t="str">
        <f t="shared" si="9"/>
        <v>Accounting Risk</v>
      </c>
      <c r="P80" s="4" t="str">
        <f t="shared" si="10"/>
        <v>Moderate</v>
      </c>
      <c r="Q80" s="4" t="str">
        <f t="shared" si="11"/>
        <v>Strong Long-Term Growth</v>
      </c>
    </row>
    <row r="81" spans="1:17" x14ac:dyDescent="0.35">
      <c r="A81" s="2" t="s">
        <v>91</v>
      </c>
      <c r="B81" s="2">
        <v>5</v>
      </c>
      <c r="C81" s="2">
        <v>-275626361.30000001</v>
      </c>
      <c r="D81" s="2">
        <v>0</v>
      </c>
      <c r="E81" s="2">
        <v>79041205.260000005</v>
      </c>
      <c r="F81" s="2">
        <v>-163084733.09999999</v>
      </c>
      <c r="G81" s="2">
        <v>5</v>
      </c>
      <c r="H81" s="2">
        <v>3</v>
      </c>
      <c r="I81" s="2">
        <v>5</v>
      </c>
      <c r="J81" s="2">
        <v>4.4000000000000004</v>
      </c>
      <c r="K81" s="2" t="s">
        <v>12</v>
      </c>
      <c r="L81" s="2" t="str">
        <f t="shared" si="6"/>
        <v>Loss Making</v>
      </c>
      <c r="M81" s="2" t="str">
        <f t="shared" si="7"/>
        <v>Stable Earnings</v>
      </c>
      <c r="N81" s="2" t="str">
        <f t="shared" si="8"/>
        <v>Moderate</v>
      </c>
      <c r="O81" s="4" t="str">
        <f t="shared" si="9"/>
        <v>Accounting Risk</v>
      </c>
      <c r="P81" s="4" t="str">
        <f t="shared" si="10"/>
        <v>Moderate</v>
      </c>
      <c r="Q81" s="4" t="str">
        <f t="shared" si="11"/>
        <v>Strong Long-Term Growth</v>
      </c>
    </row>
    <row r="82" spans="1:17" x14ac:dyDescent="0.35">
      <c r="A82" s="2" t="s">
        <v>92</v>
      </c>
      <c r="B82" s="2">
        <v>5</v>
      </c>
      <c r="C82" s="2">
        <v>-270069383.19999999</v>
      </c>
      <c r="D82" s="2">
        <v>0</v>
      </c>
      <c r="E82" s="2">
        <v>81208895.709999993</v>
      </c>
      <c r="F82" s="2">
        <v>-155299939.59999999</v>
      </c>
      <c r="G82" s="2">
        <v>5</v>
      </c>
      <c r="H82" s="2">
        <v>3</v>
      </c>
      <c r="I82" s="2">
        <v>5</v>
      </c>
      <c r="J82" s="2">
        <v>4.4000000000000004</v>
      </c>
      <c r="K82" s="2" t="s">
        <v>12</v>
      </c>
      <c r="L82" s="2" t="str">
        <f t="shared" si="6"/>
        <v>Loss Making</v>
      </c>
      <c r="M82" s="2" t="str">
        <f t="shared" si="7"/>
        <v>Stable Earnings</v>
      </c>
      <c r="N82" s="2" t="str">
        <f t="shared" si="8"/>
        <v>Moderate</v>
      </c>
      <c r="O82" s="4" t="str">
        <f t="shared" si="9"/>
        <v>Accounting Risk</v>
      </c>
      <c r="P82" s="4" t="str">
        <f t="shared" si="10"/>
        <v>Moderate</v>
      </c>
      <c r="Q82" s="4" t="str">
        <f t="shared" si="11"/>
        <v>Strong Long-Term Growth</v>
      </c>
    </row>
    <row r="83" spans="1:17" x14ac:dyDescent="0.35">
      <c r="A83" s="2" t="s">
        <v>93</v>
      </c>
      <c r="B83" s="2">
        <v>5</v>
      </c>
      <c r="C83" s="2">
        <v>-168331150.30000001</v>
      </c>
      <c r="D83" s="2">
        <v>0</v>
      </c>
      <c r="E83" s="2">
        <v>61258758.520000003</v>
      </c>
      <c r="F83" s="2">
        <v>-155428005</v>
      </c>
      <c r="G83" s="2">
        <v>5</v>
      </c>
      <c r="H83" s="2">
        <v>3</v>
      </c>
      <c r="I83" s="2">
        <v>5</v>
      </c>
      <c r="J83" s="2">
        <v>4.4000000000000004</v>
      </c>
      <c r="K83" s="2" t="s">
        <v>12</v>
      </c>
      <c r="L83" s="2" t="str">
        <f t="shared" si="6"/>
        <v>Loss Making</v>
      </c>
      <c r="M83" s="2" t="str">
        <f t="shared" si="7"/>
        <v>Stable Earnings</v>
      </c>
      <c r="N83" s="2" t="str">
        <f t="shared" si="8"/>
        <v>Moderate</v>
      </c>
      <c r="O83" s="4" t="str">
        <f t="shared" si="9"/>
        <v>Accounting Risk</v>
      </c>
      <c r="P83" s="4" t="str">
        <f t="shared" si="10"/>
        <v>Moderate</v>
      </c>
      <c r="Q83" s="4" t="str">
        <f t="shared" si="11"/>
        <v>Strong Long-Term Growth</v>
      </c>
    </row>
    <row r="84" spans="1:17" x14ac:dyDescent="0.35">
      <c r="A84" s="2" t="s">
        <v>94</v>
      </c>
      <c r="B84" s="2">
        <v>5</v>
      </c>
      <c r="C84" s="2">
        <v>-90141848.379999995</v>
      </c>
      <c r="D84" s="2">
        <v>0</v>
      </c>
      <c r="E84" s="2">
        <v>62728839.369999997</v>
      </c>
      <c r="F84" s="2">
        <v>-155844341.30000001</v>
      </c>
      <c r="G84" s="2">
        <v>5</v>
      </c>
      <c r="H84" s="2">
        <v>3</v>
      </c>
      <c r="I84" s="2">
        <v>5</v>
      </c>
      <c r="J84" s="2">
        <v>4.4000000000000004</v>
      </c>
      <c r="K84" s="2" t="s">
        <v>12</v>
      </c>
      <c r="L84" s="2" t="str">
        <f t="shared" si="6"/>
        <v>Loss Making</v>
      </c>
      <c r="M84" s="2" t="str">
        <f t="shared" si="7"/>
        <v>Stable Earnings</v>
      </c>
      <c r="N84" s="2" t="str">
        <f t="shared" si="8"/>
        <v>Moderate</v>
      </c>
      <c r="O84" s="4" t="str">
        <f t="shared" si="9"/>
        <v>Accounting Risk</v>
      </c>
      <c r="P84" s="4" t="str">
        <f t="shared" si="10"/>
        <v>Moderate</v>
      </c>
      <c r="Q84" s="4" t="str">
        <f t="shared" si="11"/>
        <v>Strong Long-Term Growth</v>
      </c>
    </row>
    <row r="85" spans="1:17" x14ac:dyDescent="0.35">
      <c r="A85" s="2" t="s">
        <v>95</v>
      </c>
      <c r="B85" s="2">
        <v>5</v>
      </c>
      <c r="C85" s="2">
        <v>-102007312.5</v>
      </c>
      <c r="D85" s="2">
        <v>0</v>
      </c>
      <c r="E85" s="2">
        <v>60443000.229999997</v>
      </c>
      <c r="F85" s="2">
        <v>-150922175.90000001</v>
      </c>
      <c r="G85" s="2">
        <v>5</v>
      </c>
      <c r="H85" s="2">
        <v>3</v>
      </c>
      <c r="I85" s="2">
        <v>5</v>
      </c>
      <c r="J85" s="2">
        <v>4.4000000000000004</v>
      </c>
      <c r="K85" s="2" t="s">
        <v>12</v>
      </c>
      <c r="L85" s="2" t="str">
        <f t="shared" si="6"/>
        <v>Loss Making</v>
      </c>
      <c r="M85" s="2" t="str">
        <f t="shared" si="7"/>
        <v>Stable Earnings</v>
      </c>
      <c r="N85" s="2" t="str">
        <f t="shared" si="8"/>
        <v>Moderate</v>
      </c>
      <c r="O85" s="4" t="str">
        <f t="shared" si="9"/>
        <v>Accounting Risk</v>
      </c>
      <c r="P85" s="4" t="str">
        <f t="shared" si="10"/>
        <v>Moderate</v>
      </c>
      <c r="Q85" s="4" t="str">
        <f t="shared" si="11"/>
        <v>Strong Long-Term Growth</v>
      </c>
    </row>
    <row r="86" spans="1:17" x14ac:dyDescent="0.35">
      <c r="A86" s="2" t="s">
        <v>96</v>
      </c>
      <c r="B86" s="2">
        <v>5</v>
      </c>
      <c r="C86" s="2">
        <v>-88688279.519999996</v>
      </c>
      <c r="D86" s="2">
        <v>0</v>
      </c>
      <c r="E86" s="2">
        <v>58067709.420000002</v>
      </c>
      <c r="F86" s="2">
        <v>-141794566.59999999</v>
      </c>
      <c r="G86" s="2">
        <v>5</v>
      </c>
      <c r="H86" s="2">
        <v>3</v>
      </c>
      <c r="I86" s="2">
        <v>5</v>
      </c>
      <c r="J86" s="2">
        <v>4.4000000000000004</v>
      </c>
      <c r="K86" s="2" t="s">
        <v>12</v>
      </c>
      <c r="L86" s="2" t="str">
        <f t="shared" si="6"/>
        <v>Loss Making</v>
      </c>
      <c r="M86" s="2" t="str">
        <f t="shared" si="7"/>
        <v>Stable Earnings</v>
      </c>
      <c r="N86" s="2" t="str">
        <f t="shared" si="8"/>
        <v>Moderate</v>
      </c>
      <c r="O86" s="4" t="str">
        <f t="shared" si="9"/>
        <v>Accounting Risk</v>
      </c>
      <c r="P86" s="4" t="str">
        <f t="shared" si="10"/>
        <v>Moderate</v>
      </c>
      <c r="Q86" s="4" t="str">
        <f t="shared" si="11"/>
        <v>Strong Long-Term Growth</v>
      </c>
    </row>
    <row r="87" spans="1:17" x14ac:dyDescent="0.35">
      <c r="A87" s="2" t="s">
        <v>97</v>
      </c>
      <c r="B87" s="2">
        <v>5</v>
      </c>
      <c r="C87" s="2">
        <v>-73975753.659999996</v>
      </c>
      <c r="D87" s="2">
        <v>0</v>
      </c>
      <c r="E87" s="2">
        <v>55008822.109999999</v>
      </c>
      <c r="F87" s="2">
        <v>-138795910.90000001</v>
      </c>
      <c r="G87" s="2">
        <v>5</v>
      </c>
      <c r="H87" s="2">
        <v>3</v>
      </c>
      <c r="I87" s="2">
        <v>5</v>
      </c>
      <c r="J87" s="2">
        <v>4.4000000000000004</v>
      </c>
      <c r="K87" s="2" t="s">
        <v>12</v>
      </c>
      <c r="L87" s="2" t="str">
        <f t="shared" si="6"/>
        <v>Loss Making</v>
      </c>
      <c r="M87" s="2" t="str">
        <f t="shared" si="7"/>
        <v>Stable Earnings</v>
      </c>
      <c r="N87" s="2" t="str">
        <f t="shared" si="8"/>
        <v>Moderate</v>
      </c>
      <c r="O87" s="4" t="str">
        <f t="shared" si="9"/>
        <v>Accounting Risk</v>
      </c>
      <c r="P87" s="4" t="str">
        <f t="shared" si="10"/>
        <v>Moderate</v>
      </c>
      <c r="Q87" s="4" t="str">
        <f t="shared" si="11"/>
        <v>Strong Long-Term Growth</v>
      </c>
    </row>
    <row r="88" spans="1:17" x14ac:dyDescent="0.35">
      <c r="A88" s="2" t="s">
        <v>98</v>
      </c>
      <c r="B88" s="2">
        <v>5</v>
      </c>
      <c r="C88" s="2">
        <v>-115214860.09999999</v>
      </c>
      <c r="D88" s="2">
        <v>0</v>
      </c>
      <c r="E88" s="2">
        <v>60922652.799999997</v>
      </c>
      <c r="F88" s="2">
        <v>-142173678.69999999</v>
      </c>
      <c r="G88" s="2">
        <v>5</v>
      </c>
      <c r="H88" s="2">
        <v>3</v>
      </c>
      <c r="I88" s="2">
        <v>5</v>
      </c>
      <c r="J88" s="2">
        <v>4.4000000000000004</v>
      </c>
      <c r="K88" s="2" t="s">
        <v>12</v>
      </c>
      <c r="L88" s="2" t="str">
        <f t="shared" si="6"/>
        <v>Loss Making</v>
      </c>
      <c r="M88" s="2" t="str">
        <f t="shared" si="7"/>
        <v>Stable Earnings</v>
      </c>
      <c r="N88" s="2" t="str">
        <f t="shared" si="8"/>
        <v>Moderate</v>
      </c>
      <c r="O88" s="4" t="str">
        <f t="shared" si="9"/>
        <v>Accounting Risk</v>
      </c>
      <c r="P88" s="4" t="str">
        <f t="shared" si="10"/>
        <v>Moderate</v>
      </c>
      <c r="Q88" s="4" t="str">
        <f t="shared" si="11"/>
        <v>Strong Long-Term Growth</v>
      </c>
    </row>
    <row r="89" spans="1:17" x14ac:dyDescent="0.35">
      <c r="A89" s="2" t="s">
        <v>99</v>
      </c>
      <c r="B89" s="2">
        <v>5</v>
      </c>
      <c r="C89" s="2">
        <v>-155652455</v>
      </c>
      <c r="D89" s="2">
        <v>0</v>
      </c>
      <c r="E89" s="2">
        <v>91240588.790000007</v>
      </c>
      <c r="F89" s="2">
        <v>-143644334.30000001</v>
      </c>
      <c r="G89" s="2">
        <v>5</v>
      </c>
      <c r="H89" s="2">
        <v>3</v>
      </c>
      <c r="I89" s="2">
        <v>5</v>
      </c>
      <c r="J89" s="2">
        <v>4.4000000000000004</v>
      </c>
      <c r="K89" s="2" t="s">
        <v>12</v>
      </c>
      <c r="L89" s="2" t="str">
        <f t="shared" si="6"/>
        <v>Loss Making</v>
      </c>
      <c r="M89" s="2" t="str">
        <f t="shared" si="7"/>
        <v>Stable Earnings</v>
      </c>
      <c r="N89" s="2" t="str">
        <f t="shared" si="8"/>
        <v>Moderate</v>
      </c>
      <c r="O89" s="4" t="str">
        <f t="shared" si="9"/>
        <v>Accounting Risk</v>
      </c>
      <c r="P89" s="4" t="str">
        <f t="shared" si="10"/>
        <v>Moderate</v>
      </c>
      <c r="Q89" s="4" t="str">
        <f t="shared" si="11"/>
        <v>Strong Long-Term Growth</v>
      </c>
    </row>
    <row r="90" spans="1:17" x14ac:dyDescent="0.35">
      <c r="A90" s="2" t="s">
        <v>100</v>
      </c>
      <c r="B90" s="2">
        <v>5</v>
      </c>
      <c r="C90" s="2">
        <v>-128555064.59999999</v>
      </c>
      <c r="D90" s="2">
        <v>0</v>
      </c>
      <c r="E90" s="2">
        <v>70312994.609999999</v>
      </c>
      <c r="F90" s="2">
        <v>-143920469.59999999</v>
      </c>
      <c r="G90" s="2">
        <v>5</v>
      </c>
      <c r="H90" s="2">
        <v>3</v>
      </c>
      <c r="I90" s="2">
        <v>5</v>
      </c>
      <c r="J90" s="2">
        <v>4.4000000000000004</v>
      </c>
      <c r="K90" s="2" t="s">
        <v>12</v>
      </c>
      <c r="L90" s="2" t="str">
        <f t="shared" si="6"/>
        <v>Loss Making</v>
      </c>
      <c r="M90" s="2" t="str">
        <f t="shared" si="7"/>
        <v>Stable Earnings</v>
      </c>
      <c r="N90" s="2" t="str">
        <f t="shared" si="8"/>
        <v>Moderate</v>
      </c>
      <c r="O90" s="4" t="str">
        <f t="shared" si="9"/>
        <v>Accounting Risk</v>
      </c>
      <c r="P90" s="4" t="str">
        <f t="shared" si="10"/>
        <v>Moderate</v>
      </c>
      <c r="Q90" s="4" t="str">
        <f t="shared" si="11"/>
        <v>Strong Long-Term Growth</v>
      </c>
    </row>
    <row r="91" spans="1:17" x14ac:dyDescent="0.35">
      <c r="A91" s="2" t="s">
        <v>101</v>
      </c>
      <c r="B91" s="2">
        <v>5</v>
      </c>
      <c r="C91" s="2">
        <v>-171167969.19999999</v>
      </c>
      <c r="D91" s="2">
        <v>0</v>
      </c>
      <c r="E91" s="2">
        <v>70344725.120000005</v>
      </c>
      <c r="F91" s="2">
        <v>-176988835.30000001</v>
      </c>
      <c r="G91" s="2">
        <v>5</v>
      </c>
      <c r="H91" s="2">
        <v>3</v>
      </c>
      <c r="I91" s="2">
        <v>5</v>
      </c>
      <c r="J91" s="2">
        <v>4.4000000000000004</v>
      </c>
      <c r="K91" s="2" t="s">
        <v>12</v>
      </c>
      <c r="L91" s="2" t="str">
        <f t="shared" si="6"/>
        <v>Loss Making</v>
      </c>
      <c r="M91" s="2" t="str">
        <f t="shared" si="7"/>
        <v>Stable Earnings</v>
      </c>
      <c r="N91" s="2" t="str">
        <f t="shared" si="8"/>
        <v>Moderate</v>
      </c>
      <c r="O91" s="4" t="str">
        <f t="shared" si="9"/>
        <v>Accounting Risk</v>
      </c>
      <c r="P91" s="4" t="str">
        <f t="shared" si="10"/>
        <v>Moderate</v>
      </c>
      <c r="Q91" s="4" t="str">
        <f t="shared" si="11"/>
        <v>Strong Long-Term Growth</v>
      </c>
    </row>
    <row r="92" spans="1:17" x14ac:dyDescent="0.35">
      <c r="A92" s="2" t="s">
        <v>102</v>
      </c>
      <c r="B92" s="2">
        <v>5</v>
      </c>
      <c r="C92" s="2">
        <v>-145879459.19999999</v>
      </c>
      <c r="D92" s="2">
        <v>0</v>
      </c>
      <c r="E92" s="2">
        <v>71793736.370000005</v>
      </c>
      <c r="F92" s="2">
        <v>-180222268.40000001</v>
      </c>
      <c r="G92" s="2">
        <v>5</v>
      </c>
      <c r="H92" s="2">
        <v>3</v>
      </c>
      <c r="I92" s="2">
        <v>5</v>
      </c>
      <c r="J92" s="2">
        <v>4.4000000000000004</v>
      </c>
      <c r="K92" s="2" t="s">
        <v>12</v>
      </c>
      <c r="L92" s="2" t="str">
        <f t="shared" si="6"/>
        <v>Loss Making</v>
      </c>
      <c r="M92" s="2" t="str">
        <f t="shared" si="7"/>
        <v>Stable Earnings</v>
      </c>
      <c r="N92" s="2" t="str">
        <f t="shared" si="8"/>
        <v>Moderate</v>
      </c>
      <c r="O92" s="4" t="str">
        <f t="shared" si="9"/>
        <v>Accounting Risk</v>
      </c>
      <c r="P92" s="4" t="str">
        <f t="shared" si="10"/>
        <v>Moderate</v>
      </c>
      <c r="Q92" s="4" t="str">
        <f t="shared" si="11"/>
        <v>Strong Long-Term Growth</v>
      </c>
    </row>
    <row r="93" spans="1:17" x14ac:dyDescent="0.35">
      <c r="A93" s="2" t="s">
        <v>103</v>
      </c>
      <c r="B93" s="2">
        <v>5</v>
      </c>
      <c r="C93" s="2">
        <v>-125509703.40000001</v>
      </c>
      <c r="D93" s="2">
        <v>0</v>
      </c>
      <c r="E93" s="2">
        <v>75216795.299999997</v>
      </c>
      <c r="F93" s="2">
        <v>-173323622</v>
      </c>
      <c r="G93" s="2">
        <v>5</v>
      </c>
      <c r="H93" s="2">
        <v>3</v>
      </c>
      <c r="I93" s="2">
        <v>5</v>
      </c>
      <c r="J93" s="2">
        <v>4.4000000000000004</v>
      </c>
      <c r="K93" s="2" t="s">
        <v>12</v>
      </c>
      <c r="L93" s="2" t="str">
        <f t="shared" si="6"/>
        <v>Loss Making</v>
      </c>
      <c r="M93" s="2" t="str">
        <f t="shared" si="7"/>
        <v>Stable Earnings</v>
      </c>
      <c r="N93" s="2" t="str">
        <f t="shared" si="8"/>
        <v>Moderate</v>
      </c>
      <c r="O93" s="4" t="str">
        <f t="shared" si="9"/>
        <v>Accounting Risk</v>
      </c>
      <c r="P93" s="4" t="str">
        <f t="shared" si="10"/>
        <v>Moderate</v>
      </c>
      <c r="Q93" s="4" t="str">
        <f t="shared" si="11"/>
        <v>Strong Long-Term Growth</v>
      </c>
    </row>
    <row r="94" spans="1:17" x14ac:dyDescent="0.35">
      <c r="A94" s="2" t="s">
        <v>104</v>
      </c>
      <c r="B94" s="2">
        <v>5</v>
      </c>
      <c r="C94" s="2">
        <v>-170106251.80000001</v>
      </c>
      <c r="D94" s="2">
        <v>0</v>
      </c>
      <c r="E94" s="2">
        <v>64254049.600000001</v>
      </c>
      <c r="F94" s="2">
        <v>-166175165.59999999</v>
      </c>
      <c r="G94" s="2">
        <v>5</v>
      </c>
      <c r="H94" s="2">
        <v>3</v>
      </c>
      <c r="I94" s="2">
        <v>5</v>
      </c>
      <c r="J94" s="2">
        <v>4.4000000000000004</v>
      </c>
      <c r="K94" s="2" t="s">
        <v>12</v>
      </c>
      <c r="L94" s="2" t="str">
        <f t="shared" si="6"/>
        <v>Loss Making</v>
      </c>
      <c r="M94" s="2" t="str">
        <f t="shared" si="7"/>
        <v>Stable Earnings</v>
      </c>
      <c r="N94" s="2" t="str">
        <f t="shared" si="8"/>
        <v>Moderate</v>
      </c>
      <c r="O94" s="4" t="str">
        <f t="shared" si="9"/>
        <v>Accounting Risk</v>
      </c>
      <c r="P94" s="4" t="str">
        <f t="shared" si="10"/>
        <v>Moderate</v>
      </c>
      <c r="Q94" s="4" t="str">
        <f t="shared" si="11"/>
        <v>Strong Long-Term Growth</v>
      </c>
    </row>
    <row r="95" spans="1:17" x14ac:dyDescent="0.35">
      <c r="A95" s="2" t="s">
        <v>105</v>
      </c>
      <c r="B95" s="2">
        <v>5</v>
      </c>
      <c r="C95" s="2">
        <v>-86911068.379999995</v>
      </c>
      <c r="D95" s="2">
        <v>0</v>
      </c>
      <c r="E95" s="2">
        <v>65987177.18</v>
      </c>
      <c r="F95" s="2">
        <v>-166272911.59999999</v>
      </c>
      <c r="G95" s="2">
        <v>5</v>
      </c>
      <c r="H95" s="2">
        <v>3</v>
      </c>
      <c r="I95" s="2">
        <v>5</v>
      </c>
      <c r="J95" s="2">
        <v>4.4000000000000004</v>
      </c>
      <c r="K95" s="2" t="s">
        <v>12</v>
      </c>
      <c r="L95" s="2" t="str">
        <f t="shared" si="6"/>
        <v>Loss Making</v>
      </c>
      <c r="M95" s="2" t="str">
        <f t="shared" si="7"/>
        <v>Stable Earnings</v>
      </c>
      <c r="N95" s="2" t="str">
        <f t="shared" si="8"/>
        <v>Moderate</v>
      </c>
      <c r="O95" s="4" t="str">
        <f t="shared" si="9"/>
        <v>Accounting Risk</v>
      </c>
      <c r="P95" s="4" t="str">
        <f t="shared" si="10"/>
        <v>Moderate</v>
      </c>
      <c r="Q95" s="4" t="str">
        <f t="shared" si="11"/>
        <v>Strong Long-Term Growth</v>
      </c>
    </row>
    <row r="96" spans="1:17" x14ac:dyDescent="0.35">
      <c r="A96" s="2" t="s">
        <v>106</v>
      </c>
      <c r="B96" s="2">
        <v>5</v>
      </c>
      <c r="C96" s="2">
        <v>-71333156.680000007</v>
      </c>
      <c r="D96" s="2">
        <v>0</v>
      </c>
      <c r="E96" s="2">
        <v>87053001.420000002</v>
      </c>
      <c r="F96" s="2">
        <v>-186542765.69999999</v>
      </c>
      <c r="G96" s="2">
        <v>5</v>
      </c>
      <c r="H96" s="2">
        <v>3</v>
      </c>
      <c r="I96" s="2">
        <v>5</v>
      </c>
      <c r="J96" s="2">
        <v>4.4000000000000004</v>
      </c>
      <c r="K96" s="2" t="s">
        <v>12</v>
      </c>
      <c r="L96" s="2" t="str">
        <f t="shared" si="6"/>
        <v>Loss Making</v>
      </c>
      <c r="M96" s="2" t="str">
        <f t="shared" si="7"/>
        <v>Stable Earnings</v>
      </c>
      <c r="N96" s="2" t="str">
        <f t="shared" si="8"/>
        <v>Moderate</v>
      </c>
      <c r="O96" s="4" t="str">
        <f t="shared" si="9"/>
        <v>Accounting Risk</v>
      </c>
      <c r="P96" s="4" t="str">
        <f t="shared" si="10"/>
        <v>Moderate</v>
      </c>
      <c r="Q96" s="4" t="str">
        <f t="shared" si="11"/>
        <v>Strong Long-Term Growth</v>
      </c>
    </row>
    <row r="97" spans="1:17" x14ac:dyDescent="0.35">
      <c r="A97" s="2" t="s">
        <v>107</v>
      </c>
      <c r="B97" s="2">
        <v>5</v>
      </c>
      <c r="C97" s="2">
        <v>-49136928.039999999</v>
      </c>
      <c r="D97" s="2">
        <v>0</v>
      </c>
      <c r="E97" s="2">
        <v>78194386.060000002</v>
      </c>
      <c r="F97" s="2">
        <v>-187292244.69999999</v>
      </c>
      <c r="G97" s="2">
        <v>5</v>
      </c>
      <c r="H97" s="2">
        <v>3</v>
      </c>
      <c r="I97" s="2">
        <v>5</v>
      </c>
      <c r="J97" s="2">
        <v>4.4000000000000004</v>
      </c>
      <c r="K97" s="2" t="s">
        <v>12</v>
      </c>
      <c r="L97" s="2" t="str">
        <f t="shared" si="6"/>
        <v>Loss Making</v>
      </c>
      <c r="M97" s="2" t="str">
        <f t="shared" si="7"/>
        <v>Stable Earnings</v>
      </c>
      <c r="N97" s="2" t="str">
        <f t="shared" si="8"/>
        <v>Moderate</v>
      </c>
      <c r="O97" s="4" t="str">
        <f t="shared" si="9"/>
        <v>Accounting Risk</v>
      </c>
      <c r="P97" s="4" t="str">
        <f t="shared" si="10"/>
        <v>Moderate</v>
      </c>
      <c r="Q97" s="4" t="str">
        <f t="shared" si="11"/>
        <v>Strong Long-Term Growth</v>
      </c>
    </row>
    <row r="98" spans="1:17" x14ac:dyDescent="0.35">
      <c r="A98" s="2" t="s">
        <v>108</v>
      </c>
      <c r="B98" s="2">
        <v>5</v>
      </c>
      <c r="C98" s="2">
        <v>-102050942.40000001</v>
      </c>
      <c r="D98" s="2">
        <v>0</v>
      </c>
      <c r="E98" s="2">
        <v>80140676.370000005</v>
      </c>
      <c r="F98" s="2">
        <v>-193860617</v>
      </c>
      <c r="G98" s="2">
        <v>5</v>
      </c>
      <c r="H98" s="2">
        <v>3</v>
      </c>
      <c r="I98" s="2">
        <v>5</v>
      </c>
      <c r="J98" s="2">
        <v>4.4000000000000004</v>
      </c>
      <c r="K98" s="2" t="s">
        <v>12</v>
      </c>
      <c r="L98" s="2" t="str">
        <f t="shared" si="6"/>
        <v>Loss Making</v>
      </c>
      <c r="M98" s="2" t="str">
        <f t="shared" si="7"/>
        <v>Stable Earnings</v>
      </c>
      <c r="N98" s="2" t="str">
        <f t="shared" si="8"/>
        <v>Moderate</v>
      </c>
      <c r="O98" s="4" t="str">
        <f t="shared" si="9"/>
        <v>Accounting Risk</v>
      </c>
      <c r="P98" s="4" t="str">
        <f t="shared" si="10"/>
        <v>Moderate</v>
      </c>
      <c r="Q98" s="4" t="str">
        <f t="shared" si="11"/>
        <v>Strong Long-Term Growth</v>
      </c>
    </row>
    <row r="99" spans="1:17" x14ac:dyDescent="0.35">
      <c r="A99" s="2" t="s">
        <v>109</v>
      </c>
      <c r="B99" s="2">
        <v>5</v>
      </c>
      <c r="C99" s="2">
        <v>-114557375.2</v>
      </c>
      <c r="D99" s="2">
        <v>0</v>
      </c>
      <c r="E99" s="2">
        <v>82504045.510000005</v>
      </c>
      <c r="F99" s="2">
        <v>-195919272.09999999</v>
      </c>
      <c r="G99" s="2">
        <v>5</v>
      </c>
      <c r="H99" s="2">
        <v>3</v>
      </c>
      <c r="I99" s="2">
        <v>5</v>
      </c>
      <c r="J99" s="2">
        <v>4.4000000000000004</v>
      </c>
      <c r="K99" s="2" t="s">
        <v>12</v>
      </c>
      <c r="L99" s="2" t="str">
        <f t="shared" si="6"/>
        <v>Loss Making</v>
      </c>
      <c r="M99" s="2" t="str">
        <f t="shared" si="7"/>
        <v>Stable Earnings</v>
      </c>
      <c r="N99" s="2" t="str">
        <f t="shared" si="8"/>
        <v>Moderate</v>
      </c>
      <c r="O99" s="4" t="str">
        <f t="shared" si="9"/>
        <v>Accounting Risk</v>
      </c>
      <c r="P99" s="4" t="str">
        <f t="shared" si="10"/>
        <v>Moderate</v>
      </c>
      <c r="Q99" s="4" t="str">
        <f t="shared" si="11"/>
        <v>Strong Long-Term Growth</v>
      </c>
    </row>
    <row r="100" spans="1:17" x14ac:dyDescent="0.35">
      <c r="A100" s="2" t="s">
        <v>110</v>
      </c>
      <c r="B100" s="2">
        <v>5</v>
      </c>
      <c r="C100" s="2">
        <v>-75539180.099999994</v>
      </c>
      <c r="D100" s="2">
        <v>0</v>
      </c>
      <c r="E100" s="2">
        <v>80478878.870000005</v>
      </c>
      <c r="F100" s="2">
        <v>-198121512.40000001</v>
      </c>
      <c r="G100" s="2">
        <v>5</v>
      </c>
      <c r="H100" s="2">
        <v>3</v>
      </c>
      <c r="I100" s="2">
        <v>5</v>
      </c>
      <c r="J100" s="2">
        <v>4.4000000000000004</v>
      </c>
      <c r="K100" s="2" t="s">
        <v>12</v>
      </c>
      <c r="L100" s="2" t="str">
        <f t="shared" si="6"/>
        <v>Loss Making</v>
      </c>
      <c r="M100" s="2" t="str">
        <f t="shared" si="7"/>
        <v>Stable Earnings</v>
      </c>
      <c r="N100" s="2" t="str">
        <f t="shared" si="8"/>
        <v>Moderate</v>
      </c>
      <c r="O100" s="4" t="str">
        <f t="shared" si="9"/>
        <v>Accounting Risk</v>
      </c>
      <c r="P100" s="4" t="str">
        <f t="shared" si="10"/>
        <v>Moderate</v>
      </c>
      <c r="Q100" s="4" t="str">
        <f t="shared" si="11"/>
        <v>Strong Long-Term Growth</v>
      </c>
    </row>
    <row r="101" spans="1:17" x14ac:dyDescent="0.35">
      <c r="A101" s="2" t="s">
        <v>111</v>
      </c>
      <c r="B101" s="2">
        <v>5</v>
      </c>
      <c r="C101" s="2">
        <v>-75440589.439999998</v>
      </c>
      <c r="D101" s="2">
        <v>0</v>
      </c>
      <c r="E101" s="2">
        <v>101350260.2</v>
      </c>
      <c r="F101" s="2">
        <v>-219525135.80000001</v>
      </c>
      <c r="G101" s="2">
        <v>5</v>
      </c>
      <c r="H101" s="2">
        <v>3</v>
      </c>
      <c r="I101" s="2">
        <v>5</v>
      </c>
      <c r="J101" s="2">
        <v>4.4000000000000004</v>
      </c>
      <c r="K101" s="2" t="s">
        <v>12</v>
      </c>
      <c r="L101" s="2" t="str">
        <f t="shared" si="6"/>
        <v>Loss Making</v>
      </c>
      <c r="M101" s="2" t="str">
        <f t="shared" si="7"/>
        <v>Stable Earnings</v>
      </c>
      <c r="N101" s="2" t="str">
        <f t="shared" si="8"/>
        <v>Moderate</v>
      </c>
      <c r="O101" s="4" t="str">
        <f t="shared" si="9"/>
        <v>Accounting Risk</v>
      </c>
      <c r="P101" s="4" t="str">
        <f t="shared" si="10"/>
        <v>Moderate</v>
      </c>
      <c r="Q101" s="4" t="str">
        <f t="shared" si="11"/>
        <v>Strong Long-Term Growth</v>
      </c>
    </row>
    <row r="102" spans="1:17" x14ac:dyDescent="0.35">
      <c r="A102" s="2" t="s">
        <v>112</v>
      </c>
      <c r="B102" s="2">
        <v>5</v>
      </c>
      <c r="C102" s="2">
        <v>-124006770.5</v>
      </c>
      <c r="D102" s="2">
        <v>0</v>
      </c>
      <c r="E102" s="2">
        <v>85524746.810000002</v>
      </c>
      <c r="F102" s="2">
        <v>-210799783.69999999</v>
      </c>
      <c r="G102" s="2">
        <v>5</v>
      </c>
      <c r="H102" s="2">
        <v>3</v>
      </c>
      <c r="I102" s="2">
        <v>5</v>
      </c>
      <c r="J102" s="2">
        <v>4.4000000000000004</v>
      </c>
      <c r="K102" s="2" t="s">
        <v>12</v>
      </c>
      <c r="L102" s="2" t="str">
        <f t="shared" si="6"/>
        <v>Loss Making</v>
      </c>
      <c r="M102" s="2" t="str">
        <f t="shared" si="7"/>
        <v>Stable Earnings</v>
      </c>
      <c r="N102" s="2" t="str">
        <f t="shared" si="8"/>
        <v>Moderate</v>
      </c>
      <c r="O102" s="4" t="str">
        <f t="shared" si="9"/>
        <v>Accounting Risk</v>
      </c>
      <c r="P102" s="4" t="str">
        <f t="shared" si="10"/>
        <v>Moderate</v>
      </c>
      <c r="Q102" s="4" t="str">
        <f t="shared" si="11"/>
        <v>Strong Long-Term Growth</v>
      </c>
    </row>
    <row r="103" spans="1:17" x14ac:dyDescent="0.35">
      <c r="A103" s="2" t="s">
        <v>113</v>
      </c>
      <c r="B103" s="2">
        <v>5</v>
      </c>
      <c r="C103" s="2">
        <v>-227736660.09999999</v>
      </c>
      <c r="D103" s="2">
        <v>0</v>
      </c>
      <c r="E103" s="2">
        <v>97578582.700000003</v>
      </c>
      <c r="F103" s="2">
        <v>-207819494.5</v>
      </c>
      <c r="G103" s="2">
        <v>5</v>
      </c>
      <c r="H103" s="2">
        <v>3</v>
      </c>
      <c r="I103" s="2">
        <v>5</v>
      </c>
      <c r="J103" s="2">
        <v>4.4000000000000004</v>
      </c>
      <c r="K103" s="2" t="s">
        <v>12</v>
      </c>
      <c r="L103" s="2" t="str">
        <f t="shared" si="6"/>
        <v>Loss Making</v>
      </c>
      <c r="M103" s="2" t="str">
        <f t="shared" si="7"/>
        <v>Stable Earnings</v>
      </c>
      <c r="N103" s="2" t="str">
        <f t="shared" si="8"/>
        <v>Moderate</v>
      </c>
      <c r="O103" s="4" t="str">
        <f t="shared" si="9"/>
        <v>Accounting Risk</v>
      </c>
      <c r="P103" s="4" t="str">
        <f t="shared" si="10"/>
        <v>Moderate</v>
      </c>
      <c r="Q103" s="4" t="str">
        <f t="shared" si="11"/>
        <v>Strong Long-Term Growth</v>
      </c>
    </row>
    <row r="104" spans="1:17" x14ac:dyDescent="0.35">
      <c r="A104" s="2" t="s">
        <v>114</v>
      </c>
      <c r="B104" s="2">
        <v>5</v>
      </c>
      <c r="C104" s="2">
        <v>-117550497.5</v>
      </c>
      <c r="D104" s="2">
        <v>0</v>
      </c>
      <c r="E104" s="2">
        <v>74133609.700000003</v>
      </c>
      <c r="F104" s="2">
        <v>-183445675.40000001</v>
      </c>
      <c r="G104" s="2">
        <v>5</v>
      </c>
      <c r="H104" s="2">
        <v>3</v>
      </c>
      <c r="I104" s="2">
        <v>5</v>
      </c>
      <c r="J104" s="2">
        <v>4.4000000000000004</v>
      </c>
      <c r="K104" s="2" t="s">
        <v>12</v>
      </c>
      <c r="L104" s="2" t="str">
        <f t="shared" si="6"/>
        <v>Loss Making</v>
      </c>
      <c r="M104" s="2" t="str">
        <f t="shared" si="7"/>
        <v>Stable Earnings</v>
      </c>
      <c r="N104" s="2" t="str">
        <f t="shared" si="8"/>
        <v>Moderate</v>
      </c>
      <c r="O104" s="4" t="str">
        <f t="shared" si="9"/>
        <v>Accounting Risk</v>
      </c>
      <c r="P104" s="4" t="str">
        <f t="shared" si="10"/>
        <v>Moderate</v>
      </c>
      <c r="Q104" s="4" t="str">
        <f t="shared" si="11"/>
        <v>Strong Long-Term Growth</v>
      </c>
    </row>
    <row r="105" spans="1:17" x14ac:dyDescent="0.35">
      <c r="A105" s="2" t="s">
        <v>115</v>
      </c>
      <c r="B105" s="2">
        <v>5</v>
      </c>
      <c r="C105" s="2">
        <v>-333135652.80000001</v>
      </c>
      <c r="D105" s="2">
        <v>0</v>
      </c>
      <c r="E105" s="2">
        <v>102725395.5</v>
      </c>
      <c r="F105" s="2">
        <v>-252244979.19999999</v>
      </c>
      <c r="G105" s="2">
        <v>5</v>
      </c>
      <c r="H105" s="2">
        <v>3</v>
      </c>
      <c r="I105" s="2">
        <v>5</v>
      </c>
      <c r="J105" s="2">
        <v>4.4000000000000004</v>
      </c>
      <c r="K105" s="2" t="s">
        <v>12</v>
      </c>
      <c r="L105" s="2" t="str">
        <f t="shared" si="6"/>
        <v>Loss Making</v>
      </c>
      <c r="M105" s="2" t="str">
        <f t="shared" si="7"/>
        <v>Stable Earnings</v>
      </c>
      <c r="N105" s="2" t="str">
        <f t="shared" si="8"/>
        <v>Moderate</v>
      </c>
      <c r="O105" s="4" t="str">
        <f t="shared" si="9"/>
        <v>Accounting Risk</v>
      </c>
      <c r="P105" s="4" t="str">
        <f t="shared" si="10"/>
        <v>Moderate</v>
      </c>
      <c r="Q105" s="4" t="str">
        <f t="shared" si="11"/>
        <v>Strong Long-Term Growth</v>
      </c>
    </row>
    <row r="106" spans="1:17" x14ac:dyDescent="0.35">
      <c r="A106" s="2" t="s">
        <v>116</v>
      </c>
      <c r="B106" s="2">
        <v>5</v>
      </c>
      <c r="C106" s="2">
        <v>-172074823.40000001</v>
      </c>
      <c r="D106" s="2">
        <v>0</v>
      </c>
      <c r="E106" s="2">
        <v>100674877.09999999</v>
      </c>
      <c r="F106" s="2">
        <v>-252487442.30000001</v>
      </c>
      <c r="G106" s="2">
        <v>5</v>
      </c>
      <c r="H106" s="2">
        <v>3</v>
      </c>
      <c r="I106" s="2">
        <v>5</v>
      </c>
      <c r="J106" s="2">
        <v>4.4000000000000004</v>
      </c>
      <c r="K106" s="2" t="s">
        <v>12</v>
      </c>
      <c r="L106" s="2" t="str">
        <f t="shared" si="6"/>
        <v>Loss Making</v>
      </c>
      <c r="M106" s="2" t="str">
        <f t="shared" si="7"/>
        <v>Stable Earnings</v>
      </c>
      <c r="N106" s="2" t="str">
        <f t="shared" si="8"/>
        <v>Moderate</v>
      </c>
      <c r="O106" s="4" t="str">
        <f t="shared" si="9"/>
        <v>Accounting Risk</v>
      </c>
      <c r="P106" s="4" t="str">
        <f t="shared" si="10"/>
        <v>Moderate</v>
      </c>
      <c r="Q106" s="4" t="str">
        <f t="shared" si="11"/>
        <v>Strong Long-Term Growth</v>
      </c>
    </row>
    <row r="107" spans="1:17" x14ac:dyDescent="0.35">
      <c r="A107" s="2" t="s">
        <v>117</v>
      </c>
      <c r="B107" s="2">
        <v>5</v>
      </c>
      <c r="C107" s="2">
        <v>-192863780.5</v>
      </c>
      <c r="D107" s="2">
        <v>0</v>
      </c>
      <c r="E107" s="2">
        <v>109980476.09999999</v>
      </c>
      <c r="F107" s="2">
        <v>-232421368.69999999</v>
      </c>
      <c r="G107" s="2">
        <v>5</v>
      </c>
      <c r="H107" s="2">
        <v>3</v>
      </c>
      <c r="I107" s="2">
        <v>5</v>
      </c>
      <c r="J107" s="2">
        <v>4.4000000000000004</v>
      </c>
      <c r="K107" s="2" t="s">
        <v>12</v>
      </c>
      <c r="L107" s="2" t="str">
        <f t="shared" si="6"/>
        <v>Loss Making</v>
      </c>
      <c r="M107" s="2" t="str">
        <f t="shared" si="7"/>
        <v>Stable Earnings</v>
      </c>
      <c r="N107" s="2" t="str">
        <f t="shared" si="8"/>
        <v>Moderate</v>
      </c>
      <c r="O107" s="4" t="str">
        <f t="shared" si="9"/>
        <v>Accounting Risk</v>
      </c>
      <c r="P107" s="4" t="str">
        <f t="shared" si="10"/>
        <v>Moderate</v>
      </c>
      <c r="Q107" s="4" t="str">
        <f t="shared" si="11"/>
        <v>Strong Long-Term Growth</v>
      </c>
    </row>
    <row r="108" spans="1:17" x14ac:dyDescent="0.35">
      <c r="A108" s="2" t="s">
        <v>118</v>
      </c>
      <c r="B108" s="2">
        <v>5</v>
      </c>
      <c r="C108" s="2">
        <v>-71823102.920000002</v>
      </c>
      <c r="D108" s="2">
        <v>0</v>
      </c>
      <c r="E108" s="2">
        <v>53201567.149999999</v>
      </c>
      <c r="F108" s="2">
        <v>-120230498.2</v>
      </c>
      <c r="G108" s="2">
        <v>5</v>
      </c>
      <c r="H108" s="2">
        <v>3</v>
      </c>
      <c r="I108" s="2">
        <v>5</v>
      </c>
      <c r="J108" s="2">
        <v>4.4000000000000004</v>
      </c>
      <c r="K108" s="2" t="s">
        <v>12</v>
      </c>
      <c r="L108" s="2" t="str">
        <f t="shared" si="6"/>
        <v>Loss Making</v>
      </c>
      <c r="M108" s="2" t="str">
        <f t="shared" si="7"/>
        <v>Stable Earnings</v>
      </c>
      <c r="N108" s="2" t="str">
        <f t="shared" si="8"/>
        <v>Moderate</v>
      </c>
      <c r="O108" s="4" t="str">
        <f t="shared" si="9"/>
        <v>Accounting Risk</v>
      </c>
      <c r="P108" s="4" t="str">
        <f t="shared" si="10"/>
        <v>Moderate</v>
      </c>
      <c r="Q108" s="4" t="str">
        <f t="shared" si="11"/>
        <v>Strong Long-Term Growth</v>
      </c>
    </row>
    <row r="109" spans="1:17" x14ac:dyDescent="0.35">
      <c r="A109" s="2" t="s">
        <v>119</v>
      </c>
      <c r="B109" s="2">
        <v>5</v>
      </c>
      <c r="C109" s="2">
        <v>-49347917.979999997</v>
      </c>
      <c r="D109" s="2">
        <v>0</v>
      </c>
      <c r="E109" s="2">
        <v>48737586.299999997</v>
      </c>
      <c r="F109" s="2">
        <v>-120829267.2</v>
      </c>
      <c r="G109" s="2">
        <v>5</v>
      </c>
      <c r="H109" s="2">
        <v>3</v>
      </c>
      <c r="I109" s="2">
        <v>5</v>
      </c>
      <c r="J109" s="2">
        <v>4.4000000000000004</v>
      </c>
      <c r="K109" s="2" t="s">
        <v>12</v>
      </c>
      <c r="L109" s="2" t="str">
        <f t="shared" si="6"/>
        <v>Loss Making</v>
      </c>
      <c r="M109" s="2" t="str">
        <f t="shared" si="7"/>
        <v>Stable Earnings</v>
      </c>
      <c r="N109" s="2" t="str">
        <f t="shared" si="8"/>
        <v>Moderate</v>
      </c>
      <c r="O109" s="4" t="str">
        <f t="shared" si="9"/>
        <v>Accounting Risk</v>
      </c>
      <c r="P109" s="4" t="str">
        <f t="shared" si="10"/>
        <v>Moderate</v>
      </c>
      <c r="Q109" s="4" t="str">
        <f t="shared" si="11"/>
        <v>Strong Long-Term Growth</v>
      </c>
    </row>
    <row r="110" spans="1:17" x14ac:dyDescent="0.35">
      <c r="A110" s="2" t="s">
        <v>120</v>
      </c>
      <c r="B110" s="2">
        <v>5</v>
      </c>
      <c r="C110" s="2">
        <v>-79832605.879999995</v>
      </c>
      <c r="D110" s="2">
        <v>0</v>
      </c>
      <c r="E110" s="2">
        <v>46573350.390000001</v>
      </c>
      <c r="F110" s="2">
        <v>-110519956.7</v>
      </c>
      <c r="G110" s="2">
        <v>5</v>
      </c>
      <c r="H110" s="2">
        <v>3</v>
      </c>
      <c r="I110" s="2">
        <v>5</v>
      </c>
      <c r="J110" s="2">
        <v>4.4000000000000004</v>
      </c>
      <c r="K110" s="2" t="s">
        <v>12</v>
      </c>
      <c r="L110" s="2" t="str">
        <f t="shared" si="6"/>
        <v>Loss Making</v>
      </c>
      <c r="M110" s="2" t="str">
        <f t="shared" si="7"/>
        <v>Stable Earnings</v>
      </c>
      <c r="N110" s="2" t="str">
        <f t="shared" si="8"/>
        <v>Moderate</v>
      </c>
      <c r="O110" s="4" t="str">
        <f t="shared" si="9"/>
        <v>Accounting Risk</v>
      </c>
      <c r="P110" s="4" t="str">
        <f t="shared" si="10"/>
        <v>Moderate</v>
      </c>
      <c r="Q110" s="4" t="str">
        <f t="shared" si="11"/>
        <v>Strong Long-Term Growth</v>
      </c>
    </row>
    <row r="111" spans="1:17" x14ac:dyDescent="0.35">
      <c r="A111" s="2" t="s">
        <v>121</v>
      </c>
      <c r="B111" s="2">
        <v>5</v>
      </c>
      <c r="C111" s="2">
        <v>-59140912.280000001</v>
      </c>
      <c r="D111" s="2">
        <v>0</v>
      </c>
      <c r="E111" s="2">
        <v>48327270.020000003</v>
      </c>
      <c r="F111" s="2">
        <v>-111458264.7</v>
      </c>
      <c r="G111" s="2">
        <v>5</v>
      </c>
      <c r="H111" s="2">
        <v>3</v>
      </c>
      <c r="I111" s="2">
        <v>5</v>
      </c>
      <c r="J111" s="2">
        <v>4.4000000000000004</v>
      </c>
      <c r="K111" s="2" t="s">
        <v>12</v>
      </c>
      <c r="L111" s="2" t="str">
        <f t="shared" si="6"/>
        <v>Loss Making</v>
      </c>
      <c r="M111" s="2" t="str">
        <f t="shared" si="7"/>
        <v>Stable Earnings</v>
      </c>
      <c r="N111" s="2" t="str">
        <f t="shared" si="8"/>
        <v>Moderate</v>
      </c>
      <c r="O111" s="4" t="str">
        <f t="shared" si="9"/>
        <v>Accounting Risk</v>
      </c>
      <c r="P111" s="4" t="str">
        <f t="shared" si="10"/>
        <v>Moderate</v>
      </c>
      <c r="Q111" s="4" t="str">
        <f t="shared" si="11"/>
        <v>Strong Long-Term Growth</v>
      </c>
    </row>
    <row r="112" spans="1:17" x14ac:dyDescent="0.35">
      <c r="A112" s="2" t="s">
        <v>122</v>
      </c>
      <c r="B112" s="2">
        <v>5</v>
      </c>
      <c r="C112" s="2">
        <v>-97143924.200000003</v>
      </c>
      <c r="D112" s="2">
        <v>0</v>
      </c>
      <c r="E112" s="2">
        <v>54091675.890000001</v>
      </c>
      <c r="F112" s="2">
        <v>-111465999.8</v>
      </c>
      <c r="G112" s="2">
        <v>5</v>
      </c>
      <c r="H112" s="2">
        <v>3</v>
      </c>
      <c r="I112" s="2">
        <v>5</v>
      </c>
      <c r="J112" s="2">
        <v>4.4000000000000004</v>
      </c>
      <c r="K112" s="2" t="s">
        <v>12</v>
      </c>
      <c r="L112" s="2" t="str">
        <f t="shared" si="6"/>
        <v>Loss Making</v>
      </c>
      <c r="M112" s="2" t="str">
        <f t="shared" si="7"/>
        <v>Stable Earnings</v>
      </c>
      <c r="N112" s="2" t="str">
        <f t="shared" si="8"/>
        <v>Moderate</v>
      </c>
      <c r="O112" s="4" t="str">
        <f t="shared" si="9"/>
        <v>Accounting Risk</v>
      </c>
      <c r="P112" s="4" t="str">
        <f t="shared" si="10"/>
        <v>Moderate</v>
      </c>
      <c r="Q112" s="4" t="str">
        <f t="shared" si="11"/>
        <v>Strong Long-Term Growth</v>
      </c>
    </row>
    <row r="113" spans="1:17" x14ac:dyDescent="0.35">
      <c r="A113" s="2" t="s">
        <v>123</v>
      </c>
      <c r="B113" s="2">
        <v>5</v>
      </c>
      <c r="C113" s="2">
        <v>-96117240.459999993</v>
      </c>
      <c r="D113" s="2">
        <v>0</v>
      </c>
      <c r="E113" s="2">
        <v>71077588.290000007</v>
      </c>
      <c r="F113" s="2">
        <v>-114944268.5</v>
      </c>
      <c r="G113" s="2">
        <v>5</v>
      </c>
      <c r="H113" s="2">
        <v>3</v>
      </c>
      <c r="I113" s="2">
        <v>5</v>
      </c>
      <c r="J113" s="2">
        <v>4.4000000000000004</v>
      </c>
      <c r="K113" s="2" t="s">
        <v>12</v>
      </c>
      <c r="L113" s="2" t="str">
        <f t="shared" si="6"/>
        <v>Loss Making</v>
      </c>
      <c r="M113" s="2" t="str">
        <f t="shared" si="7"/>
        <v>Stable Earnings</v>
      </c>
      <c r="N113" s="2" t="str">
        <f t="shared" si="8"/>
        <v>Moderate</v>
      </c>
      <c r="O113" s="4" t="str">
        <f t="shared" si="9"/>
        <v>Accounting Risk</v>
      </c>
      <c r="P113" s="4" t="str">
        <f t="shared" si="10"/>
        <v>Moderate</v>
      </c>
      <c r="Q113" s="4" t="str">
        <f t="shared" si="11"/>
        <v>Strong Long-Term Growth</v>
      </c>
    </row>
    <row r="114" spans="1:17" x14ac:dyDescent="0.35">
      <c r="A114" s="2" t="s">
        <v>124</v>
      </c>
      <c r="B114" s="2">
        <v>5</v>
      </c>
      <c r="C114" s="2">
        <v>-60474737.439999998</v>
      </c>
      <c r="D114" s="2">
        <v>0</v>
      </c>
      <c r="E114" s="2">
        <v>45589351.07</v>
      </c>
      <c r="F114" s="2">
        <v>-94377255.799999997</v>
      </c>
      <c r="G114" s="2">
        <v>5</v>
      </c>
      <c r="H114" s="2">
        <v>3</v>
      </c>
      <c r="I114" s="2">
        <v>5</v>
      </c>
      <c r="J114" s="2">
        <v>4.4000000000000004</v>
      </c>
      <c r="K114" s="2" t="s">
        <v>12</v>
      </c>
      <c r="L114" s="2" t="str">
        <f t="shared" si="6"/>
        <v>Loss Making</v>
      </c>
      <c r="M114" s="2" t="str">
        <f t="shared" si="7"/>
        <v>Stable Earnings</v>
      </c>
      <c r="N114" s="2" t="str">
        <f t="shared" si="8"/>
        <v>Moderate</v>
      </c>
      <c r="O114" s="4" t="str">
        <f t="shared" si="9"/>
        <v>Accounting Risk</v>
      </c>
      <c r="P114" s="4" t="str">
        <f t="shared" si="10"/>
        <v>Moderate</v>
      </c>
      <c r="Q114" s="4" t="str">
        <f t="shared" si="11"/>
        <v>Strong Long-Term Growth</v>
      </c>
    </row>
    <row r="115" spans="1:17" x14ac:dyDescent="0.35">
      <c r="A115" s="2" t="s">
        <v>125</v>
      </c>
      <c r="B115" s="2">
        <v>5</v>
      </c>
      <c r="C115" s="2">
        <v>-73456736.560000002</v>
      </c>
      <c r="D115" s="2">
        <v>0</v>
      </c>
      <c r="E115" s="2">
        <v>47086896.149999999</v>
      </c>
      <c r="F115" s="2">
        <v>-95675421.299999997</v>
      </c>
      <c r="G115" s="2">
        <v>5</v>
      </c>
      <c r="H115" s="2">
        <v>3</v>
      </c>
      <c r="I115" s="2">
        <v>5</v>
      </c>
      <c r="J115" s="2">
        <v>4.4000000000000004</v>
      </c>
      <c r="K115" s="2" t="s">
        <v>12</v>
      </c>
      <c r="L115" s="2" t="str">
        <f t="shared" si="6"/>
        <v>Loss Making</v>
      </c>
      <c r="M115" s="2" t="str">
        <f t="shared" si="7"/>
        <v>Stable Earnings</v>
      </c>
      <c r="N115" s="2" t="str">
        <f t="shared" si="8"/>
        <v>Moderate</v>
      </c>
      <c r="O115" s="4" t="str">
        <f t="shared" si="9"/>
        <v>Accounting Risk</v>
      </c>
      <c r="P115" s="4" t="str">
        <f t="shared" si="10"/>
        <v>Moderate</v>
      </c>
      <c r="Q115" s="4" t="str">
        <f t="shared" si="11"/>
        <v>Strong Long-Term Growth</v>
      </c>
    </row>
    <row r="116" spans="1:17" x14ac:dyDescent="0.35">
      <c r="A116" s="2" t="s">
        <v>126</v>
      </c>
      <c r="B116" s="2">
        <v>5</v>
      </c>
      <c r="C116" s="2">
        <v>-100911466.09999999</v>
      </c>
      <c r="D116" s="2">
        <v>0</v>
      </c>
      <c r="E116" s="2">
        <v>54344139.920000002</v>
      </c>
      <c r="F116" s="2">
        <v>-97201395.400000006</v>
      </c>
      <c r="G116" s="2">
        <v>5</v>
      </c>
      <c r="H116" s="2">
        <v>3</v>
      </c>
      <c r="I116" s="2">
        <v>5</v>
      </c>
      <c r="J116" s="2">
        <v>4.4000000000000004</v>
      </c>
      <c r="K116" s="2" t="s">
        <v>12</v>
      </c>
      <c r="L116" s="2" t="str">
        <f t="shared" si="6"/>
        <v>Loss Making</v>
      </c>
      <c r="M116" s="2" t="str">
        <f t="shared" si="7"/>
        <v>Stable Earnings</v>
      </c>
      <c r="N116" s="2" t="str">
        <f t="shared" si="8"/>
        <v>Moderate</v>
      </c>
      <c r="O116" s="4" t="str">
        <f t="shared" si="9"/>
        <v>Accounting Risk</v>
      </c>
      <c r="P116" s="4" t="str">
        <f t="shared" si="10"/>
        <v>Moderate</v>
      </c>
      <c r="Q116" s="4" t="str">
        <f t="shared" si="11"/>
        <v>Strong Long-Term Growth</v>
      </c>
    </row>
    <row r="117" spans="1:17" x14ac:dyDescent="0.35">
      <c r="A117" s="2" t="s">
        <v>127</v>
      </c>
      <c r="B117" s="2">
        <v>5</v>
      </c>
      <c r="C117" s="2">
        <v>-101531278.8</v>
      </c>
      <c r="D117" s="2">
        <v>0</v>
      </c>
      <c r="E117" s="2">
        <v>49284652.950000003</v>
      </c>
      <c r="F117" s="2">
        <v>-101808937.7</v>
      </c>
      <c r="G117" s="2">
        <v>5</v>
      </c>
      <c r="H117" s="2">
        <v>3</v>
      </c>
      <c r="I117" s="2">
        <v>5</v>
      </c>
      <c r="J117" s="2">
        <v>4.4000000000000004</v>
      </c>
      <c r="K117" s="2" t="s">
        <v>12</v>
      </c>
      <c r="L117" s="2" t="str">
        <f t="shared" si="6"/>
        <v>Loss Making</v>
      </c>
      <c r="M117" s="2" t="str">
        <f t="shared" si="7"/>
        <v>Stable Earnings</v>
      </c>
      <c r="N117" s="2" t="str">
        <f t="shared" si="8"/>
        <v>Moderate</v>
      </c>
      <c r="O117" s="4" t="str">
        <f t="shared" si="9"/>
        <v>Accounting Risk</v>
      </c>
      <c r="P117" s="4" t="str">
        <f t="shared" si="10"/>
        <v>Moderate</v>
      </c>
      <c r="Q117" s="4" t="str">
        <f t="shared" si="11"/>
        <v>Strong Long-Term Growth</v>
      </c>
    </row>
    <row r="118" spans="1:17" x14ac:dyDescent="0.35">
      <c r="A118" s="2" t="s">
        <v>128</v>
      </c>
      <c r="B118" s="2">
        <v>5</v>
      </c>
      <c r="C118" s="2">
        <v>-189384003.69999999</v>
      </c>
      <c r="D118" s="2">
        <v>0</v>
      </c>
      <c r="E118" s="2">
        <v>69081567.060000002</v>
      </c>
      <c r="F118" s="2">
        <v>-105656888.7</v>
      </c>
      <c r="G118" s="2">
        <v>5</v>
      </c>
      <c r="H118" s="2">
        <v>3</v>
      </c>
      <c r="I118" s="2">
        <v>5</v>
      </c>
      <c r="J118" s="2">
        <v>4.4000000000000004</v>
      </c>
      <c r="K118" s="2" t="s">
        <v>12</v>
      </c>
      <c r="L118" s="2" t="str">
        <f t="shared" si="6"/>
        <v>Loss Making</v>
      </c>
      <c r="M118" s="2" t="str">
        <f t="shared" si="7"/>
        <v>Stable Earnings</v>
      </c>
      <c r="N118" s="2" t="str">
        <f t="shared" si="8"/>
        <v>Moderate</v>
      </c>
      <c r="O118" s="4" t="str">
        <f t="shared" si="9"/>
        <v>Accounting Risk</v>
      </c>
      <c r="P118" s="4" t="str">
        <f t="shared" si="10"/>
        <v>Moderate</v>
      </c>
      <c r="Q118" s="4" t="str">
        <f t="shared" si="11"/>
        <v>Strong Long-Term Growth</v>
      </c>
    </row>
    <row r="119" spans="1:17" x14ac:dyDescent="0.35">
      <c r="A119" s="2" t="s">
        <v>129</v>
      </c>
      <c r="B119" s="2">
        <v>5</v>
      </c>
      <c r="C119" s="2">
        <v>-75166475.379999995</v>
      </c>
      <c r="D119" s="2">
        <v>0</v>
      </c>
      <c r="E119" s="2">
        <v>48418411.399999999</v>
      </c>
      <c r="F119" s="2">
        <v>-79502972.599999994</v>
      </c>
      <c r="G119" s="2">
        <v>5</v>
      </c>
      <c r="H119" s="2">
        <v>3</v>
      </c>
      <c r="I119" s="2">
        <v>5</v>
      </c>
      <c r="J119" s="2">
        <v>4.4000000000000004</v>
      </c>
      <c r="K119" s="2" t="s">
        <v>12</v>
      </c>
      <c r="L119" s="2" t="str">
        <f t="shared" si="6"/>
        <v>Loss Making</v>
      </c>
      <c r="M119" s="2" t="str">
        <f t="shared" si="7"/>
        <v>Stable Earnings</v>
      </c>
      <c r="N119" s="2" t="str">
        <f t="shared" si="8"/>
        <v>Moderate</v>
      </c>
      <c r="O119" s="4" t="str">
        <f t="shared" si="9"/>
        <v>Accounting Risk</v>
      </c>
      <c r="P119" s="4" t="str">
        <f t="shared" si="10"/>
        <v>Moderate</v>
      </c>
      <c r="Q119" s="4" t="str">
        <f t="shared" si="11"/>
        <v>Strong Long-Term Growth</v>
      </c>
    </row>
    <row r="120" spans="1:17" x14ac:dyDescent="0.35">
      <c r="A120" s="2" t="s">
        <v>130</v>
      </c>
      <c r="B120" s="2">
        <v>5</v>
      </c>
      <c r="C120" s="2">
        <v>-135631559.80000001</v>
      </c>
      <c r="D120" s="2">
        <v>0</v>
      </c>
      <c r="E120" s="2">
        <v>66527698.689999998</v>
      </c>
      <c r="F120" s="2">
        <v>-81780872</v>
      </c>
      <c r="G120" s="2">
        <v>5</v>
      </c>
      <c r="H120" s="2">
        <v>3</v>
      </c>
      <c r="I120" s="2">
        <v>5</v>
      </c>
      <c r="J120" s="2">
        <v>4.4000000000000004</v>
      </c>
      <c r="K120" s="2" t="s">
        <v>12</v>
      </c>
      <c r="L120" s="2" t="str">
        <f t="shared" si="6"/>
        <v>Loss Making</v>
      </c>
      <c r="M120" s="2" t="str">
        <f t="shared" si="7"/>
        <v>Stable Earnings</v>
      </c>
      <c r="N120" s="2" t="str">
        <f t="shared" si="8"/>
        <v>Moderate</v>
      </c>
      <c r="O120" s="4" t="str">
        <f t="shared" si="9"/>
        <v>Accounting Risk</v>
      </c>
      <c r="P120" s="4" t="str">
        <f t="shared" si="10"/>
        <v>Moderate</v>
      </c>
      <c r="Q120" s="4" t="str">
        <f t="shared" si="11"/>
        <v>Strong Long-Term Growth</v>
      </c>
    </row>
    <row r="121" spans="1:17" x14ac:dyDescent="0.35">
      <c r="A121" s="2" t="s">
        <v>131</v>
      </c>
      <c r="B121" s="2">
        <v>5</v>
      </c>
      <c r="C121" s="2">
        <v>-175525172</v>
      </c>
      <c r="D121" s="2">
        <v>0</v>
      </c>
      <c r="E121" s="2">
        <v>59031699.310000002</v>
      </c>
      <c r="F121" s="2">
        <v>-82800097.400000006</v>
      </c>
      <c r="G121" s="2">
        <v>5</v>
      </c>
      <c r="H121" s="2">
        <v>3</v>
      </c>
      <c r="I121" s="2">
        <v>5</v>
      </c>
      <c r="J121" s="2">
        <v>4.4000000000000004</v>
      </c>
      <c r="K121" s="2" t="s">
        <v>12</v>
      </c>
      <c r="L121" s="2" t="str">
        <f t="shared" si="6"/>
        <v>Loss Making</v>
      </c>
      <c r="M121" s="2" t="str">
        <f t="shared" si="7"/>
        <v>Stable Earnings</v>
      </c>
      <c r="N121" s="2" t="str">
        <f t="shared" si="8"/>
        <v>Moderate</v>
      </c>
      <c r="O121" s="4" t="str">
        <f t="shared" si="9"/>
        <v>Accounting Risk</v>
      </c>
      <c r="P121" s="4" t="str">
        <f t="shared" si="10"/>
        <v>Moderate</v>
      </c>
      <c r="Q121" s="4" t="str">
        <f t="shared" si="11"/>
        <v>Strong Long-Term Growth</v>
      </c>
    </row>
    <row r="122" spans="1:17" x14ac:dyDescent="0.35">
      <c r="A122" s="2" t="s">
        <v>132</v>
      </c>
      <c r="B122" s="2">
        <v>5</v>
      </c>
      <c r="C122" s="2">
        <v>-120560436.5</v>
      </c>
      <c r="D122" s="2">
        <v>0</v>
      </c>
      <c r="E122" s="2">
        <v>74255928.579999998</v>
      </c>
      <c r="F122" s="2">
        <v>-88575296.599999994</v>
      </c>
      <c r="G122" s="2">
        <v>5</v>
      </c>
      <c r="H122" s="2">
        <v>3</v>
      </c>
      <c r="I122" s="2">
        <v>5</v>
      </c>
      <c r="J122" s="2">
        <v>4.4000000000000004</v>
      </c>
      <c r="K122" s="2" t="s">
        <v>12</v>
      </c>
      <c r="L122" s="2" t="str">
        <f t="shared" si="6"/>
        <v>Loss Making</v>
      </c>
      <c r="M122" s="2" t="str">
        <f t="shared" si="7"/>
        <v>Stable Earnings</v>
      </c>
      <c r="N122" s="2" t="str">
        <f t="shared" si="8"/>
        <v>Moderate</v>
      </c>
      <c r="O122" s="4" t="str">
        <f t="shared" si="9"/>
        <v>Accounting Risk</v>
      </c>
      <c r="P122" s="4" t="str">
        <f t="shared" si="10"/>
        <v>Moderate</v>
      </c>
      <c r="Q122" s="4" t="str">
        <f t="shared" si="11"/>
        <v>Strong Long-Term Growth</v>
      </c>
    </row>
    <row r="123" spans="1:17" x14ac:dyDescent="0.35">
      <c r="A123" s="2" t="s">
        <v>133</v>
      </c>
      <c r="B123" s="2">
        <v>5</v>
      </c>
      <c r="C123" s="2">
        <v>-197929765.40000001</v>
      </c>
      <c r="D123" s="2">
        <v>0</v>
      </c>
      <c r="E123" s="2">
        <v>88292422.200000003</v>
      </c>
      <c r="F123" s="2">
        <v>-94563847.799999997</v>
      </c>
      <c r="G123" s="2">
        <v>5</v>
      </c>
      <c r="H123" s="2">
        <v>3</v>
      </c>
      <c r="I123" s="2">
        <v>5</v>
      </c>
      <c r="J123" s="2">
        <v>4.4000000000000004</v>
      </c>
      <c r="K123" s="2" t="s">
        <v>12</v>
      </c>
      <c r="L123" s="2" t="str">
        <f t="shared" si="6"/>
        <v>Loss Making</v>
      </c>
      <c r="M123" s="2" t="str">
        <f t="shared" si="7"/>
        <v>Stable Earnings</v>
      </c>
      <c r="N123" s="2" t="str">
        <f t="shared" si="8"/>
        <v>Moderate</v>
      </c>
      <c r="O123" s="4" t="str">
        <f t="shared" si="9"/>
        <v>Accounting Risk</v>
      </c>
      <c r="P123" s="4" t="str">
        <f t="shared" si="10"/>
        <v>Moderate</v>
      </c>
      <c r="Q123" s="4" t="str">
        <f t="shared" si="11"/>
        <v>Strong Long-Term Growth</v>
      </c>
    </row>
    <row r="124" spans="1:17" x14ac:dyDescent="0.35">
      <c r="A124" s="2" t="s">
        <v>134</v>
      </c>
      <c r="B124" s="2">
        <v>5</v>
      </c>
      <c r="C124" s="2">
        <v>-1381520598</v>
      </c>
      <c r="D124" s="2">
        <v>0</v>
      </c>
      <c r="E124" s="2">
        <v>474137068.19999999</v>
      </c>
      <c r="F124" s="2">
        <v>120228869.09999999</v>
      </c>
      <c r="G124" s="2">
        <v>5</v>
      </c>
      <c r="H124" s="2">
        <v>5</v>
      </c>
      <c r="I124" s="2">
        <v>2</v>
      </c>
      <c r="J124" s="2">
        <v>4.4000000000000004</v>
      </c>
      <c r="K124" s="2" t="s">
        <v>12</v>
      </c>
      <c r="L124" s="2" t="str">
        <f t="shared" si="6"/>
        <v>Loss Making</v>
      </c>
      <c r="M124" s="2" t="str">
        <f t="shared" si="7"/>
        <v>Stable Earnings</v>
      </c>
      <c r="N124" s="2" t="str">
        <f t="shared" si="8"/>
        <v>Moderate</v>
      </c>
      <c r="O124" s="4" t="str">
        <f t="shared" si="9"/>
        <v>Accounting Risk</v>
      </c>
      <c r="P124" s="4" t="str">
        <f t="shared" si="10"/>
        <v>Moderate</v>
      </c>
      <c r="Q124" s="4" t="str">
        <f t="shared" si="11"/>
        <v>Moderate Growth</v>
      </c>
    </row>
    <row r="125" spans="1:17" x14ac:dyDescent="0.35">
      <c r="A125" s="2" t="s">
        <v>135</v>
      </c>
      <c r="B125" s="2">
        <v>5</v>
      </c>
      <c r="C125" s="2">
        <v>-718203729</v>
      </c>
      <c r="D125" s="2">
        <v>0</v>
      </c>
      <c r="E125" s="2">
        <v>388014495.60000002</v>
      </c>
      <c r="F125" s="2">
        <v>99075179.799999997</v>
      </c>
      <c r="G125" s="2">
        <v>5</v>
      </c>
      <c r="H125" s="2">
        <v>5</v>
      </c>
      <c r="I125" s="2">
        <v>2</v>
      </c>
      <c r="J125" s="2">
        <v>4.4000000000000004</v>
      </c>
      <c r="K125" s="2" t="s">
        <v>12</v>
      </c>
      <c r="L125" s="2" t="str">
        <f t="shared" si="6"/>
        <v>Loss Making</v>
      </c>
      <c r="M125" s="2" t="str">
        <f t="shared" si="7"/>
        <v>Stable Earnings</v>
      </c>
      <c r="N125" s="2" t="str">
        <f t="shared" si="8"/>
        <v>Moderate</v>
      </c>
      <c r="O125" s="4" t="str">
        <f t="shared" si="9"/>
        <v>Accounting Risk</v>
      </c>
      <c r="P125" s="4" t="str">
        <f t="shared" si="10"/>
        <v>Moderate</v>
      </c>
      <c r="Q125" s="4" t="str">
        <f t="shared" si="11"/>
        <v>Moderate Growth</v>
      </c>
    </row>
    <row r="126" spans="1:17" x14ac:dyDescent="0.35">
      <c r="A126" s="2" t="s">
        <v>136</v>
      </c>
      <c r="B126" s="2">
        <v>5</v>
      </c>
      <c r="C126" s="2">
        <v>-447206477.30000001</v>
      </c>
      <c r="D126" s="2">
        <v>0</v>
      </c>
      <c r="E126" s="2">
        <v>789937793.70000005</v>
      </c>
      <c r="F126" s="2">
        <v>96133956.799999997</v>
      </c>
      <c r="G126" s="2">
        <v>5</v>
      </c>
      <c r="H126" s="2">
        <v>5</v>
      </c>
      <c r="I126" s="2">
        <v>2</v>
      </c>
      <c r="J126" s="2">
        <v>4.4000000000000004</v>
      </c>
      <c r="K126" s="2" t="s">
        <v>12</v>
      </c>
      <c r="L126" s="2" t="str">
        <f t="shared" si="6"/>
        <v>Loss Making</v>
      </c>
      <c r="M126" s="2" t="str">
        <f t="shared" si="7"/>
        <v>Stable Earnings</v>
      </c>
      <c r="N126" s="2" t="str">
        <f t="shared" si="8"/>
        <v>Moderate</v>
      </c>
      <c r="O126" s="4" t="str">
        <f t="shared" si="9"/>
        <v>Accounting Risk</v>
      </c>
      <c r="P126" s="4" t="str">
        <f t="shared" si="10"/>
        <v>Moderate</v>
      </c>
      <c r="Q126" s="4" t="str">
        <f t="shared" si="11"/>
        <v>Moderate Growth</v>
      </c>
    </row>
    <row r="127" spans="1:17" x14ac:dyDescent="0.35">
      <c r="A127" s="2" t="s">
        <v>137</v>
      </c>
      <c r="B127" s="2">
        <v>5</v>
      </c>
      <c r="C127" s="2">
        <v>-573221839.79999995</v>
      </c>
      <c r="D127" s="2">
        <v>0</v>
      </c>
      <c r="E127" s="2">
        <v>468736880.10000002</v>
      </c>
      <c r="F127" s="2">
        <v>51211350.899999999</v>
      </c>
      <c r="G127" s="2">
        <v>5</v>
      </c>
      <c r="H127" s="2">
        <v>5</v>
      </c>
      <c r="I127" s="2">
        <v>2</v>
      </c>
      <c r="J127" s="2">
        <v>4.4000000000000004</v>
      </c>
      <c r="K127" s="2" t="s">
        <v>12</v>
      </c>
      <c r="L127" s="2" t="str">
        <f t="shared" si="6"/>
        <v>Loss Making</v>
      </c>
      <c r="M127" s="2" t="str">
        <f t="shared" si="7"/>
        <v>Stable Earnings</v>
      </c>
      <c r="N127" s="2" t="str">
        <f t="shared" si="8"/>
        <v>Moderate</v>
      </c>
      <c r="O127" s="4" t="str">
        <f t="shared" si="9"/>
        <v>Accounting Risk</v>
      </c>
      <c r="P127" s="4" t="str">
        <f t="shared" si="10"/>
        <v>Moderate</v>
      </c>
      <c r="Q127" s="4" t="str">
        <f t="shared" si="11"/>
        <v>Moderate Growth</v>
      </c>
    </row>
    <row r="128" spans="1:17" x14ac:dyDescent="0.35">
      <c r="A128" s="2" t="s">
        <v>138</v>
      </c>
      <c r="B128" s="2">
        <v>5</v>
      </c>
      <c r="C128" s="2">
        <v>-487554061.30000001</v>
      </c>
      <c r="D128" s="2">
        <v>0</v>
      </c>
      <c r="E128" s="2">
        <v>270684487.5</v>
      </c>
      <c r="F128" s="2">
        <v>1323691</v>
      </c>
      <c r="G128" s="2">
        <v>5</v>
      </c>
      <c r="H128" s="2">
        <v>4</v>
      </c>
      <c r="I128" s="2">
        <v>3</v>
      </c>
      <c r="J128" s="2">
        <v>4.3</v>
      </c>
      <c r="K128" s="2" t="s">
        <v>12</v>
      </c>
      <c r="L128" s="2" t="str">
        <f t="shared" si="6"/>
        <v>Loss Making</v>
      </c>
      <c r="M128" s="2" t="str">
        <f t="shared" si="7"/>
        <v>Stable Earnings</v>
      </c>
      <c r="N128" s="2" t="str">
        <f t="shared" si="8"/>
        <v>Moderate</v>
      </c>
      <c r="O128" s="4" t="str">
        <f t="shared" si="9"/>
        <v>Accounting Risk</v>
      </c>
      <c r="P128" s="4" t="str">
        <f t="shared" si="10"/>
        <v>Moderate</v>
      </c>
      <c r="Q128" s="4" t="str">
        <f t="shared" si="11"/>
        <v>Moderate Growth</v>
      </c>
    </row>
    <row r="129" spans="1:17" x14ac:dyDescent="0.35">
      <c r="A129" s="2" t="s">
        <v>139</v>
      </c>
      <c r="B129" s="2">
        <v>5</v>
      </c>
      <c r="C129" s="2">
        <v>-186281242.09999999</v>
      </c>
      <c r="D129" s="2">
        <v>0.4</v>
      </c>
      <c r="E129" s="2">
        <v>363814389.30000001</v>
      </c>
      <c r="F129" s="2">
        <v>-17158246.800000001</v>
      </c>
      <c r="G129" s="2">
        <v>4</v>
      </c>
      <c r="H129" s="2">
        <v>5</v>
      </c>
      <c r="I129" s="2">
        <v>4</v>
      </c>
      <c r="J129" s="2">
        <v>4.3</v>
      </c>
      <c r="K129" s="2" t="s">
        <v>12</v>
      </c>
      <c r="L129" s="2" t="str">
        <f t="shared" si="6"/>
        <v>Loss Making</v>
      </c>
      <c r="M129" s="2" t="str">
        <f t="shared" si="7"/>
        <v>Stable Earnings</v>
      </c>
      <c r="N129" s="2" t="str">
        <f t="shared" si="8"/>
        <v>Moderate</v>
      </c>
      <c r="O129" s="4" t="str">
        <f t="shared" si="9"/>
        <v>Accounting Risk</v>
      </c>
      <c r="P129" s="4" t="str">
        <f t="shared" si="10"/>
        <v>Moderate</v>
      </c>
      <c r="Q129" s="4" t="str">
        <f t="shared" si="11"/>
        <v>Strong Long-Term Growth</v>
      </c>
    </row>
    <row r="130" spans="1:17" x14ac:dyDescent="0.35">
      <c r="A130" s="2" t="s">
        <v>140</v>
      </c>
      <c r="B130" s="2">
        <v>5</v>
      </c>
      <c r="C130" s="2">
        <v>-1843335861</v>
      </c>
      <c r="D130" s="2">
        <v>0.2</v>
      </c>
      <c r="E130" s="2">
        <v>4095180420</v>
      </c>
      <c r="F130" s="2">
        <v>-31809474.399999999</v>
      </c>
      <c r="G130" s="2">
        <v>4</v>
      </c>
      <c r="H130" s="2">
        <v>5</v>
      </c>
      <c r="I130" s="2">
        <v>4</v>
      </c>
      <c r="J130" s="2">
        <v>4.3</v>
      </c>
      <c r="K130" s="2" t="s">
        <v>12</v>
      </c>
      <c r="L130" s="2" t="str">
        <f t="shared" ref="L130:L193" si="12">IF(C130&gt;0,"Profitable","Loss Making")</f>
        <v>Loss Making</v>
      </c>
      <c r="M130" s="2" t="str">
        <f t="shared" ref="M130:M193" si="13">IF(C130&gt;500000000,"High Volatility","Stable Earnings")</f>
        <v>Stable Earnings</v>
      </c>
      <c r="N130" s="2" t="str">
        <f t="shared" ref="N130:N193" si="14">IF(G130&gt;=7,"High Quality",IF(G130&gt;=4,"Moderate","Low Quality"))</f>
        <v>Moderate</v>
      </c>
      <c r="O130" s="4" t="str">
        <f t="shared" ref="O130:O193" si="15">IF(AND(F130&gt;0,D130&gt;0.6),"Operational Growth","Accounting Risk")</f>
        <v>Accounting Risk</v>
      </c>
      <c r="P130" s="4" t="str">
        <f t="shared" ref="P130:P193" si="16">IF(G130&gt;=7,"High Quality", IF(G130&gt;=4,"Moderate","Low Quality"))</f>
        <v>Moderate</v>
      </c>
      <c r="Q130" s="4" t="str">
        <f t="shared" ref="Q130:Q193" si="17">IF(I130&gt;=4,"Strong Long-Term Growth",IF(I130&gt;=2,"Moderate Growth","Weak Growth"))</f>
        <v>Strong Long-Term Growth</v>
      </c>
    </row>
    <row r="131" spans="1:17" x14ac:dyDescent="0.35">
      <c r="A131" s="2" t="s">
        <v>141</v>
      </c>
      <c r="B131" s="2">
        <v>5</v>
      </c>
      <c r="C131" s="2">
        <v>-120744402.90000001</v>
      </c>
      <c r="D131" s="2">
        <v>0</v>
      </c>
      <c r="E131" s="2">
        <v>57517647.259999998</v>
      </c>
      <c r="F131" s="2">
        <v>-28004272.199999999</v>
      </c>
      <c r="G131" s="2">
        <v>5</v>
      </c>
      <c r="H131" s="2">
        <v>3</v>
      </c>
      <c r="I131" s="2">
        <v>4</v>
      </c>
      <c r="J131" s="2">
        <v>4.2</v>
      </c>
      <c r="K131" s="2" t="s">
        <v>12</v>
      </c>
      <c r="L131" s="2" t="str">
        <f t="shared" si="12"/>
        <v>Loss Making</v>
      </c>
      <c r="M131" s="2" t="str">
        <f t="shared" si="13"/>
        <v>Stable Earnings</v>
      </c>
      <c r="N131" s="2" t="str">
        <f t="shared" si="14"/>
        <v>Moderate</v>
      </c>
      <c r="O131" s="4" t="str">
        <f t="shared" si="15"/>
        <v>Accounting Risk</v>
      </c>
      <c r="P131" s="4" t="str">
        <f t="shared" si="16"/>
        <v>Moderate</v>
      </c>
      <c r="Q131" s="4" t="str">
        <f t="shared" si="17"/>
        <v>Strong Long-Term Growth</v>
      </c>
    </row>
    <row r="132" spans="1:17" x14ac:dyDescent="0.35">
      <c r="A132" s="2" t="s">
        <v>142</v>
      </c>
      <c r="B132" s="2">
        <v>5</v>
      </c>
      <c r="C132" s="2">
        <v>-46880885.960000001</v>
      </c>
      <c r="D132" s="2">
        <v>0</v>
      </c>
      <c r="E132" s="2">
        <v>77163910.540000007</v>
      </c>
      <c r="F132" s="2">
        <v>-19061803.899999999</v>
      </c>
      <c r="G132" s="2">
        <v>5</v>
      </c>
      <c r="H132" s="2">
        <v>3</v>
      </c>
      <c r="I132" s="2">
        <v>4</v>
      </c>
      <c r="J132" s="2">
        <v>4.2</v>
      </c>
      <c r="K132" s="2" t="s">
        <v>12</v>
      </c>
      <c r="L132" s="2" t="str">
        <f t="shared" si="12"/>
        <v>Loss Making</v>
      </c>
      <c r="M132" s="2" t="str">
        <f t="shared" si="13"/>
        <v>Stable Earnings</v>
      </c>
      <c r="N132" s="2" t="str">
        <f t="shared" si="14"/>
        <v>Moderate</v>
      </c>
      <c r="O132" s="4" t="str">
        <f t="shared" si="15"/>
        <v>Accounting Risk</v>
      </c>
      <c r="P132" s="4" t="str">
        <f t="shared" si="16"/>
        <v>Moderate</v>
      </c>
      <c r="Q132" s="4" t="str">
        <f t="shared" si="17"/>
        <v>Strong Long-Term Growth</v>
      </c>
    </row>
    <row r="133" spans="1:17" x14ac:dyDescent="0.35">
      <c r="A133" s="2" t="s">
        <v>143</v>
      </c>
      <c r="B133" s="2">
        <v>5</v>
      </c>
      <c r="C133" s="2">
        <v>-40763698.359999999</v>
      </c>
      <c r="D133" s="2">
        <v>0</v>
      </c>
      <c r="E133" s="2">
        <v>49880958.979999997</v>
      </c>
      <c r="F133" s="2">
        <v>-20610279.399999999</v>
      </c>
      <c r="G133" s="2">
        <v>5</v>
      </c>
      <c r="H133" s="2">
        <v>3</v>
      </c>
      <c r="I133" s="2">
        <v>4</v>
      </c>
      <c r="J133" s="2">
        <v>4.2</v>
      </c>
      <c r="K133" s="2" t="s">
        <v>12</v>
      </c>
      <c r="L133" s="2" t="str">
        <f t="shared" si="12"/>
        <v>Loss Making</v>
      </c>
      <c r="M133" s="2" t="str">
        <f t="shared" si="13"/>
        <v>Stable Earnings</v>
      </c>
      <c r="N133" s="2" t="str">
        <f t="shared" si="14"/>
        <v>Moderate</v>
      </c>
      <c r="O133" s="4" t="str">
        <f t="shared" si="15"/>
        <v>Accounting Risk</v>
      </c>
      <c r="P133" s="4" t="str">
        <f t="shared" si="16"/>
        <v>Moderate</v>
      </c>
      <c r="Q133" s="4" t="str">
        <f t="shared" si="17"/>
        <v>Strong Long-Term Growth</v>
      </c>
    </row>
    <row r="134" spans="1:17" x14ac:dyDescent="0.35">
      <c r="A134" s="2" t="s">
        <v>144</v>
      </c>
      <c r="B134" s="2">
        <v>5</v>
      </c>
      <c r="C134" s="2">
        <v>-132109491.90000001</v>
      </c>
      <c r="D134" s="2">
        <v>0</v>
      </c>
      <c r="E134" s="2">
        <v>66645903.770000003</v>
      </c>
      <c r="F134" s="2">
        <v>-22356547</v>
      </c>
      <c r="G134" s="2">
        <v>5</v>
      </c>
      <c r="H134" s="2">
        <v>3</v>
      </c>
      <c r="I134" s="2">
        <v>4</v>
      </c>
      <c r="J134" s="2">
        <v>4.2</v>
      </c>
      <c r="K134" s="2" t="s">
        <v>12</v>
      </c>
      <c r="L134" s="2" t="str">
        <f t="shared" si="12"/>
        <v>Loss Making</v>
      </c>
      <c r="M134" s="2" t="str">
        <f t="shared" si="13"/>
        <v>Stable Earnings</v>
      </c>
      <c r="N134" s="2" t="str">
        <f t="shared" si="14"/>
        <v>Moderate</v>
      </c>
      <c r="O134" s="4" t="str">
        <f t="shared" si="15"/>
        <v>Accounting Risk</v>
      </c>
      <c r="P134" s="4" t="str">
        <f t="shared" si="16"/>
        <v>Moderate</v>
      </c>
      <c r="Q134" s="4" t="str">
        <f t="shared" si="17"/>
        <v>Strong Long-Term Growth</v>
      </c>
    </row>
    <row r="135" spans="1:17" x14ac:dyDescent="0.35">
      <c r="A135" s="2" t="s">
        <v>145</v>
      </c>
      <c r="B135" s="2">
        <v>5</v>
      </c>
      <c r="C135" s="2">
        <v>-121789399.3</v>
      </c>
      <c r="D135" s="2">
        <v>0</v>
      </c>
      <c r="E135" s="2">
        <v>79335278.930000007</v>
      </c>
      <c r="F135" s="2">
        <v>-14761131</v>
      </c>
      <c r="G135" s="2">
        <v>5</v>
      </c>
      <c r="H135" s="2">
        <v>3</v>
      </c>
      <c r="I135" s="2">
        <v>4</v>
      </c>
      <c r="J135" s="2">
        <v>4.2</v>
      </c>
      <c r="K135" s="2" t="s">
        <v>12</v>
      </c>
      <c r="L135" s="2" t="str">
        <f t="shared" si="12"/>
        <v>Loss Making</v>
      </c>
      <c r="M135" s="2" t="str">
        <f t="shared" si="13"/>
        <v>Stable Earnings</v>
      </c>
      <c r="N135" s="2" t="str">
        <f t="shared" si="14"/>
        <v>Moderate</v>
      </c>
      <c r="O135" s="4" t="str">
        <f t="shared" si="15"/>
        <v>Accounting Risk</v>
      </c>
      <c r="P135" s="4" t="str">
        <f t="shared" si="16"/>
        <v>Moderate</v>
      </c>
      <c r="Q135" s="4" t="str">
        <f t="shared" si="17"/>
        <v>Strong Long-Term Growth</v>
      </c>
    </row>
    <row r="136" spans="1:17" x14ac:dyDescent="0.35">
      <c r="A136" s="2" t="s">
        <v>146</v>
      </c>
      <c r="B136" s="2">
        <v>5</v>
      </c>
      <c r="C136" s="2">
        <v>-86092421.719999999</v>
      </c>
      <c r="D136" s="2">
        <v>0</v>
      </c>
      <c r="E136" s="2">
        <v>107324817.90000001</v>
      </c>
      <c r="F136" s="2">
        <v>-13719087.699999999</v>
      </c>
      <c r="G136" s="2">
        <v>5</v>
      </c>
      <c r="H136" s="2">
        <v>3</v>
      </c>
      <c r="I136" s="2">
        <v>4</v>
      </c>
      <c r="J136" s="2">
        <v>4.2</v>
      </c>
      <c r="K136" s="2" t="s">
        <v>12</v>
      </c>
      <c r="L136" s="2" t="str">
        <f t="shared" si="12"/>
        <v>Loss Making</v>
      </c>
      <c r="M136" s="2" t="str">
        <f t="shared" si="13"/>
        <v>Stable Earnings</v>
      </c>
      <c r="N136" s="2" t="str">
        <f t="shared" si="14"/>
        <v>Moderate</v>
      </c>
      <c r="O136" s="4" t="str">
        <f t="shared" si="15"/>
        <v>Accounting Risk</v>
      </c>
      <c r="P136" s="4" t="str">
        <f t="shared" si="16"/>
        <v>Moderate</v>
      </c>
      <c r="Q136" s="4" t="str">
        <f t="shared" si="17"/>
        <v>Strong Long-Term Growth</v>
      </c>
    </row>
    <row r="137" spans="1:17" x14ac:dyDescent="0.35">
      <c r="A137" s="2" t="s">
        <v>147</v>
      </c>
      <c r="B137" s="2">
        <v>5</v>
      </c>
      <c r="C137" s="2">
        <v>-90385445.780000001</v>
      </c>
      <c r="D137" s="2">
        <v>0</v>
      </c>
      <c r="E137" s="2">
        <v>49817970.350000001</v>
      </c>
      <c r="F137" s="2">
        <v>-14120071.699999999</v>
      </c>
      <c r="G137" s="2">
        <v>5</v>
      </c>
      <c r="H137" s="2">
        <v>3</v>
      </c>
      <c r="I137" s="2">
        <v>4</v>
      </c>
      <c r="J137" s="2">
        <v>4.2</v>
      </c>
      <c r="K137" s="2" t="s">
        <v>12</v>
      </c>
      <c r="L137" s="2" t="str">
        <f t="shared" si="12"/>
        <v>Loss Making</v>
      </c>
      <c r="M137" s="2" t="str">
        <f t="shared" si="13"/>
        <v>Stable Earnings</v>
      </c>
      <c r="N137" s="2" t="str">
        <f t="shared" si="14"/>
        <v>Moderate</v>
      </c>
      <c r="O137" s="4" t="str">
        <f t="shared" si="15"/>
        <v>Accounting Risk</v>
      </c>
      <c r="P137" s="4" t="str">
        <f t="shared" si="16"/>
        <v>Moderate</v>
      </c>
      <c r="Q137" s="4" t="str">
        <f t="shared" si="17"/>
        <v>Strong Long-Term Growth</v>
      </c>
    </row>
    <row r="138" spans="1:17" x14ac:dyDescent="0.35">
      <c r="A138" s="2" t="s">
        <v>148</v>
      </c>
      <c r="B138" s="2">
        <v>5</v>
      </c>
      <c r="C138" s="2">
        <v>-90338789.519999996</v>
      </c>
      <c r="D138" s="2">
        <v>0</v>
      </c>
      <c r="E138" s="2">
        <v>60297025.549999997</v>
      </c>
      <c r="F138" s="2">
        <v>-6938596.0999999996</v>
      </c>
      <c r="G138" s="2">
        <v>5</v>
      </c>
      <c r="H138" s="2">
        <v>3</v>
      </c>
      <c r="I138" s="2">
        <v>4</v>
      </c>
      <c r="J138" s="2">
        <v>4.2</v>
      </c>
      <c r="K138" s="2" t="s">
        <v>12</v>
      </c>
      <c r="L138" s="2" t="str">
        <f t="shared" si="12"/>
        <v>Loss Making</v>
      </c>
      <c r="M138" s="2" t="str">
        <f t="shared" si="13"/>
        <v>Stable Earnings</v>
      </c>
      <c r="N138" s="2" t="str">
        <f t="shared" si="14"/>
        <v>Moderate</v>
      </c>
      <c r="O138" s="4" t="str">
        <f t="shared" si="15"/>
        <v>Accounting Risk</v>
      </c>
      <c r="P138" s="4" t="str">
        <f t="shared" si="16"/>
        <v>Moderate</v>
      </c>
      <c r="Q138" s="4" t="str">
        <f t="shared" si="17"/>
        <v>Strong Long-Term Growth</v>
      </c>
    </row>
    <row r="139" spans="1:17" x14ac:dyDescent="0.35">
      <c r="A139" s="2" t="s">
        <v>149</v>
      </c>
      <c r="B139" s="2">
        <v>5</v>
      </c>
      <c r="C139" s="2">
        <v>-240178895.69999999</v>
      </c>
      <c r="D139" s="2">
        <v>0</v>
      </c>
      <c r="E139" s="2">
        <v>77413850.040000007</v>
      </c>
      <c r="F139" s="2">
        <v>-5641430.9000000004</v>
      </c>
      <c r="G139" s="2">
        <v>5</v>
      </c>
      <c r="H139" s="2">
        <v>3</v>
      </c>
      <c r="I139" s="2">
        <v>4</v>
      </c>
      <c r="J139" s="2">
        <v>4.2</v>
      </c>
      <c r="K139" s="2" t="s">
        <v>12</v>
      </c>
      <c r="L139" s="2" t="str">
        <f t="shared" si="12"/>
        <v>Loss Making</v>
      </c>
      <c r="M139" s="2" t="str">
        <f t="shared" si="13"/>
        <v>Stable Earnings</v>
      </c>
      <c r="N139" s="2" t="str">
        <f t="shared" si="14"/>
        <v>Moderate</v>
      </c>
      <c r="O139" s="4" t="str">
        <f t="shared" si="15"/>
        <v>Accounting Risk</v>
      </c>
      <c r="P139" s="4" t="str">
        <f t="shared" si="16"/>
        <v>Moderate</v>
      </c>
      <c r="Q139" s="4" t="str">
        <f t="shared" si="17"/>
        <v>Strong Long-Term Growth</v>
      </c>
    </row>
    <row r="140" spans="1:17" x14ac:dyDescent="0.35">
      <c r="A140" s="2" t="s">
        <v>150</v>
      </c>
      <c r="B140" s="2">
        <v>5</v>
      </c>
      <c r="C140" s="2">
        <v>-91702538.780000001</v>
      </c>
      <c r="D140" s="2">
        <v>0.2</v>
      </c>
      <c r="E140" s="2">
        <v>173676120.30000001</v>
      </c>
      <c r="F140" s="2">
        <v>-94855800.299999997</v>
      </c>
      <c r="G140" s="2">
        <v>4</v>
      </c>
      <c r="H140" s="2">
        <v>4</v>
      </c>
      <c r="I140" s="2">
        <v>5</v>
      </c>
      <c r="J140" s="2">
        <v>4.2</v>
      </c>
      <c r="K140" s="2" t="s">
        <v>12</v>
      </c>
      <c r="L140" s="2" t="str">
        <f t="shared" si="12"/>
        <v>Loss Making</v>
      </c>
      <c r="M140" s="2" t="str">
        <f t="shared" si="13"/>
        <v>Stable Earnings</v>
      </c>
      <c r="N140" s="2" t="str">
        <f t="shared" si="14"/>
        <v>Moderate</v>
      </c>
      <c r="O140" s="4" t="str">
        <f t="shared" si="15"/>
        <v>Accounting Risk</v>
      </c>
      <c r="P140" s="4" t="str">
        <f t="shared" si="16"/>
        <v>Moderate</v>
      </c>
      <c r="Q140" s="4" t="str">
        <f t="shared" si="17"/>
        <v>Strong Long-Term Growth</v>
      </c>
    </row>
    <row r="141" spans="1:17" x14ac:dyDescent="0.35">
      <c r="A141" s="2" t="s">
        <v>151</v>
      </c>
      <c r="B141" s="2">
        <v>5</v>
      </c>
      <c r="C141" s="2">
        <v>-107953419.7</v>
      </c>
      <c r="D141" s="2">
        <v>0.2</v>
      </c>
      <c r="E141" s="2">
        <v>112807245.3</v>
      </c>
      <c r="F141" s="2">
        <v>-86973372.5</v>
      </c>
      <c r="G141" s="2">
        <v>4</v>
      </c>
      <c r="H141" s="2">
        <v>4</v>
      </c>
      <c r="I141" s="2">
        <v>5</v>
      </c>
      <c r="J141" s="2">
        <v>4.2</v>
      </c>
      <c r="K141" s="2" t="s">
        <v>12</v>
      </c>
      <c r="L141" s="2" t="str">
        <f t="shared" si="12"/>
        <v>Loss Making</v>
      </c>
      <c r="M141" s="2" t="str">
        <f t="shared" si="13"/>
        <v>Stable Earnings</v>
      </c>
      <c r="N141" s="2" t="str">
        <f t="shared" si="14"/>
        <v>Moderate</v>
      </c>
      <c r="O141" s="4" t="str">
        <f t="shared" si="15"/>
        <v>Accounting Risk</v>
      </c>
      <c r="P141" s="4" t="str">
        <f t="shared" si="16"/>
        <v>Moderate</v>
      </c>
      <c r="Q141" s="4" t="str">
        <f t="shared" si="17"/>
        <v>Strong Long-Term Growth</v>
      </c>
    </row>
    <row r="142" spans="1:17" x14ac:dyDescent="0.35">
      <c r="A142" s="2" t="s">
        <v>152</v>
      </c>
      <c r="B142" s="2">
        <v>5</v>
      </c>
      <c r="C142" s="2">
        <v>28210997.039999999</v>
      </c>
      <c r="D142" s="2">
        <v>0.4</v>
      </c>
      <c r="E142" s="2">
        <v>132516469.5</v>
      </c>
      <c r="F142" s="2">
        <v>-90782067.900000006</v>
      </c>
      <c r="G142" s="2">
        <v>4</v>
      </c>
      <c r="H142" s="2">
        <v>4</v>
      </c>
      <c r="I142" s="2">
        <v>5</v>
      </c>
      <c r="J142" s="2">
        <v>4.2</v>
      </c>
      <c r="K142" s="2" t="s">
        <v>12</v>
      </c>
      <c r="L142" s="2" t="str">
        <f t="shared" si="12"/>
        <v>Profitable</v>
      </c>
      <c r="M142" s="2" t="str">
        <f t="shared" si="13"/>
        <v>Stable Earnings</v>
      </c>
      <c r="N142" s="2" t="str">
        <f t="shared" si="14"/>
        <v>Moderate</v>
      </c>
      <c r="O142" s="4" t="str">
        <f t="shared" si="15"/>
        <v>Accounting Risk</v>
      </c>
      <c r="P142" s="4" t="str">
        <f t="shared" si="16"/>
        <v>Moderate</v>
      </c>
      <c r="Q142" s="4" t="str">
        <f t="shared" si="17"/>
        <v>Strong Long-Term Growth</v>
      </c>
    </row>
    <row r="143" spans="1:17" x14ac:dyDescent="0.35">
      <c r="A143" s="2" t="s">
        <v>153</v>
      </c>
      <c r="B143" s="2">
        <v>5</v>
      </c>
      <c r="C143" s="2">
        <v>-177263425.80000001</v>
      </c>
      <c r="D143" s="2">
        <v>0</v>
      </c>
      <c r="E143" s="2">
        <v>153811703.19999999</v>
      </c>
      <c r="F143" s="2">
        <v>-82020514.799999997</v>
      </c>
      <c r="G143" s="2">
        <v>4</v>
      </c>
      <c r="H143" s="2">
        <v>4</v>
      </c>
      <c r="I143" s="2">
        <v>5</v>
      </c>
      <c r="J143" s="2">
        <v>4.2</v>
      </c>
      <c r="K143" s="2" t="s">
        <v>12</v>
      </c>
      <c r="L143" s="2" t="str">
        <f t="shared" si="12"/>
        <v>Loss Making</v>
      </c>
      <c r="M143" s="2" t="str">
        <f t="shared" si="13"/>
        <v>Stable Earnings</v>
      </c>
      <c r="N143" s="2" t="str">
        <f t="shared" si="14"/>
        <v>Moderate</v>
      </c>
      <c r="O143" s="4" t="str">
        <f t="shared" si="15"/>
        <v>Accounting Risk</v>
      </c>
      <c r="P143" s="4" t="str">
        <f t="shared" si="16"/>
        <v>Moderate</v>
      </c>
      <c r="Q143" s="4" t="str">
        <f t="shared" si="17"/>
        <v>Strong Long-Term Growth</v>
      </c>
    </row>
    <row r="144" spans="1:17" x14ac:dyDescent="0.35">
      <c r="A144" s="2" t="s">
        <v>154</v>
      </c>
      <c r="B144" s="2">
        <v>5</v>
      </c>
      <c r="C144" s="2">
        <v>-119185674.7</v>
      </c>
      <c r="D144" s="2">
        <v>0.2</v>
      </c>
      <c r="E144" s="2">
        <v>169886182.30000001</v>
      </c>
      <c r="F144" s="2">
        <v>-85409390.799999997</v>
      </c>
      <c r="G144" s="2">
        <v>4</v>
      </c>
      <c r="H144" s="2">
        <v>4</v>
      </c>
      <c r="I144" s="2">
        <v>5</v>
      </c>
      <c r="J144" s="2">
        <v>4.2</v>
      </c>
      <c r="K144" s="2" t="s">
        <v>12</v>
      </c>
      <c r="L144" s="2" t="str">
        <f t="shared" si="12"/>
        <v>Loss Making</v>
      </c>
      <c r="M144" s="2" t="str">
        <f t="shared" si="13"/>
        <v>Stable Earnings</v>
      </c>
      <c r="N144" s="2" t="str">
        <f t="shared" si="14"/>
        <v>Moderate</v>
      </c>
      <c r="O144" s="4" t="str">
        <f t="shared" si="15"/>
        <v>Accounting Risk</v>
      </c>
      <c r="P144" s="4" t="str">
        <f t="shared" si="16"/>
        <v>Moderate</v>
      </c>
      <c r="Q144" s="4" t="str">
        <f t="shared" si="17"/>
        <v>Strong Long-Term Growth</v>
      </c>
    </row>
    <row r="145" spans="1:17" x14ac:dyDescent="0.35">
      <c r="A145" s="2" t="s">
        <v>155</v>
      </c>
      <c r="B145" s="2">
        <v>5</v>
      </c>
      <c r="C145" s="2">
        <v>-176719734.90000001</v>
      </c>
      <c r="D145" s="2">
        <v>0</v>
      </c>
      <c r="E145" s="2">
        <v>54743607.399999999</v>
      </c>
      <c r="F145" s="2">
        <v>-77879351.299999997</v>
      </c>
      <c r="G145" s="2">
        <v>5</v>
      </c>
      <c r="H145" s="2">
        <v>3</v>
      </c>
      <c r="I145" s="2">
        <v>4</v>
      </c>
      <c r="J145" s="2">
        <v>4.2</v>
      </c>
      <c r="K145" s="2" t="s">
        <v>12</v>
      </c>
      <c r="L145" s="2" t="str">
        <f t="shared" si="12"/>
        <v>Loss Making</v>
      </c>
      <c r="M145" s="2" t="str">
        <f t="shared" si="13"/>
        <v>Stable Earnings</v>
      </c>
      <c r="N145" s="2" t="str">
        <f t="shared" si="14"/>
        <v>Moderate</v>
      </c>
      <c r="O145" s="4" t="str">
        <f t="shared" si="15"/>
        <v>Accounting Risk</v>
      </c>
      <c r="P145" s="4" t="str">
        <f t="shared" si="16"/>
        <v>Moderate</v>
      </c>
      <c r="Q145" s="4" t="str">
        <f t="shared" si="17"/>
        <v>Strong Long-Term Growth</v>
      </c>
    </row>
    <row r="146" spans="1:17" x14ac:dyDescent="0.35">
      <c r="A146" s="2" t="s">
        <v>156</v>
      </c>
      <c r="B146" s="2">
        <v>5</v>
      </c>
      <c r="C146" s="2">
        <v>-51643155.119999997</v>
      </c>
      <c r="D146" s="2">
        <v>0</v>
      </c>
      <c r="E146" s="2">
        <v>47084360.509999998</v>
      </c>
      <c r="F146" s="2">
        <v>-73356981.099999994</v>
      </c>
      <c r="G146" s="2">
        <v>5</v>
      </c>
      <c r="H146" s="2">
        <v>3</v>
      </c>
      <c r="I146" s="2">
        <v>4</v>
      </c>
      <c r="J146" s="2">
        <v>4.2</v>
      </c>
      <c r="K146" s="2" t="s">
        <v>12</v>
      </c>
      <c r="L146" s="2" t="str">
        <f t="shared" si="12"/>
        <v>Loss Making</v>
      </c>
      <c r="M146" s="2" t="str">
        <f t="shared" si="13"/>
        <v>Stable Earnings</v>
      </c>
      <c r="N146" s="2" t="str">
        <f t="shared" si="14"/>
        <v>Moderate</v>
      </c>
      <c r="O146" s="4" t="str">
        <f t="shared" si="15"/>
        <v>Accounting Risk</v>
      </c>
      <c r="P146" s="4" t="str">
        <f t="shared" si="16"/>
        <v>Moderate</v>
      </c>
      <c r="Q146" s="4" t="str">
        <f t="shared" si="17"/>
        <v>Strong Long-Term Growth</v>
      </c>
    </row>
    <row r="147" spans="1:17" x14ac:dyDescent="0.35">
      <c r="A147" s="2" t="s">
        <v>157</v>
      </c>
      <c r="B147" s="2">
        <v>5</v>
      </c>
      <c r="C147" s="2">
        <v>-52478426.100000001</v>
      </c>
      <c r="D147" s="2">
        <v>0.2</v>
      </c>
      <c r="E147" s="2">
        <v>140816272.09999999</v>
      </c>
      <c r="F147" s="2">
        <v>-110010800.09999999</v>
      </c>
      <c r="G147" s="2">
        <v>4</v>
      </c>
      <c r="H147" s="2">
        <v>4</v>
      </c>
      <c r="I147" s="2">
        <v>5</v>
      </c>
      <c r="J147" s="2">
        <v>4.2</v>
      </c>
      <c r="K147" s="2" t="s">
        <v>12</v>
      </c>
      <c r="L147" s="2" t="str">
        <f t="shared" si="12"/>
        <v>Loss Making</v>
      </c>
      <c r="M147" s="2" t="str">
        <f t="shared" si="13"/>
        <v>Stable Earnings</v>
      </c>
      <c r="N147" s="2" t="str">
        <f t="shared" si="14"/>
        <v>Moderate</v>
      </c>
      <c r="O147" s="4" t="str">
        <f t="shared" si="15"/>
        <v>Accounting Risk</v>
      </c>
      <c r="P147" s="4" t="str">
        <f t="shared" si="16"/>
        <v>Moderate</v>
      </c>
      <c r="Q147" s="4" t="str">
        <f t="shared" si="17"/>
        <v>Strong Long-Term Growth</v>
      </c>
    </row>
    <row r="148" spans="1:17" x14ac:dyDescent="0.35">
      <c r="A148" s="2" t="s">
        <v>158</v>
      </c>
      <c r="B148" s="2">
        <v>5</v>
      </c>
      <c r="C148" s="2">
        <v>-67279720.599999994</v>
      </c>
      <c r="D148" s="2">
        <v>0.2</v>
      </c>
      <c r="E148" s="2">
        <v>114831078.3</v>
      </c>
      <c r="F148" s="2">
        <v>-111531254.7</v>
      </c>
      <c r="G148" s="2">
        <v>4</v>
      </c>
      <c r="H148" s="2">
        <v>4</v>
      </c>
      <c r="I148" s="2">
        <v>5</v>
      </c>
      <c r="J148" s="2">
        <v>4.2</v>
      </c>
      <c r="K148" s="2" t="s">
        <v>12</v>
      </c>
      <c r="L148" s="2" t="str">
        <f t="shared" si="12"/>
        <v>Loss Making</v>
      </c>
      <c r="M148" s="2" t="str">
        <f t="shared" si="13"/>
        <v>Stable Earnings</v>
      </c>
      <c r="N148" s="2" t="str">
        <f t="shared" si="14"/>
        <v>Moderate</v>
      </c>
      <c r="O148" s="4" t="str">
        <f t="shared" si="15"/>
        <v>Accounting Risk</v>
      </c>
      <c r="P148" s="4" t="str">
        <f t="shared" si="16"/>
        <v>Moderate</v>
      </c>
      <c r="Q148" s="4" t="str">
        <f t="shared" si="17"/>
        <v>Strong Long-Term Growth</v>
      </c>
    </row>
    <row r="149" spans="1:17" x14ac:dyDescent="0.35">
      <c r="A149" s="2" t="s">
        <v>159</v>
      </c>
      <c r="B149" s="2">
        <v>5</v>
      </c>
      <c r="C149" s="2">
        <v>-219933747.09999999</v>
      </c>
      <c r="D149" s="2">
        <v>0.4</v>
      </c>
      <c r="E149" s="2">
        <v>317391747.80000001</v>
      </c>
      <c r="F149" s="2">
        <v>-103457086.09999999</v>
      </c>
      <c r="G149" s="2">
        <v>4</v>
      </c>
      <c r="H149" s="2">
        <v>4</v>
      </c>
      <c r="I149" s="2">
        <v>5</v>
      </c>
      <c r="J149" s="2">
        <v>4.2</v>
      </c>
      <c r="K149" s="2" t="s">
        <v>12</v>
      </c>
      <c r="L149" s="2" t="str">
        <f t="shared" si="12"/>
        <v>Loss Making</v>
      </c>
      <c r="M149" s="2" t="str">
        <f t="shared" si="13"/>
        <v>Stable Earnings</v>
      </c>
      <c r="N149" s="2" t="str">
        <f t="shared" si="14"/>
        <v>Moderate</v>
      </c>
      <c r="O149" s="4" t="str">
        <f t="shared" si="15"/>
        <v>Accounting Risk</v>
      </c>
      <c r="P149" s="4" t="str">
        <f t="shared" si="16"/>
        <v>Moderate</v>
      </c>
      <c r="Q149" s="4" t="str">
        <f t="shared" si="17"/>
        <v>Strong Long-Term Growth</v>
      </c>
    </row>
    <row r="150" spans="1:17" x14ac:dyDescent="0.35">
      <c r="A150" s="2" t="s">
        <v>160</v>
      </c>
      <c r="B150" s="2">
        <v>5</v>
      </c>
      <c r="C150" s="2">
        <v>-89033283.159999996</v>
      </c>
      <c r="D150" s="2">
        <v>0.2</v>
      </c>
      <c r="E150" s="2">
        <v>149106685.69999999</v>
      </c>
      <c r="F150" s="2">
        <v>-108120274.8</v>
      </c>
      <c r="G150" s="2">
        <v>4</v>
      </c>
      <c r="H150" s="2">
        <v>4</v>
      </c>
      <c r="I150" s="2">
        <v>5</v>
      </c>
      <c r="J150" s="2">
        <v>4.2</v>
      </c>
      <c r="K150" s="2" t="s">
        <v>12</v>
      </c>
      <c r="L150" s="2" t="str">
        <f t="shared" si="12"/>
        <v>Loss Making</v>
      </c>
      <c r="M150" s="2" t="str">
        <f t="shared" si="13"/>
        <v>Stable Earnings</v>
      </c>
      <c r="N150" s="2" t="str">
        <f t="shared" si="14"/>
        <v>Moderate</v>
      </c>
      <c r="O150" s="4" t="str">
        <f t="shared" si="15"/>
        <v>Accounting Risk</v>
      </c>
      <c r="P150" s="4" t="str">
        <f t="shared" si="16"/>
        <v>Moderate</v>
      </c>
      <c r="Q150" s="4" t="str">
        <f t="shared" si="17"/>
        <v>Strong Long-Term Growth</v>
      </c>
    </row>
    <row r="151" spans="1:17" x14ac:dyDescent="0.35">
      <c r="A151" s="2" t="s">
        <v>161</v>
      </c>
      <c r="B151" s="2">
        <v>5</v>
      </c>
      <c r="C151" s="2">
        <v>-182914167.40000001</v>
      </c>
      <c r="D151" s="2">
        <v>0</v>
      </c>
      <c r="E151" s="2">
        <v>62319807.93</v>
      </c>
      <c r="F151" s="2">
        <v>-59226596.700000003</v>
      </c>
      <c r="G151" s="2">
        <v>5</v>
      </c>
      <c r="H151" s="2">
        <v>3</v>
      </c>
      <c r="I151" s="2">
        <v>4</v>
      </c>
      <c r="J151" s="2">
        <v>4.2</v>
      </c>
      <c r="K151" s="2" t="s">
        <v>12</v>
      </c>
      <c r="L151" s="2" t="str">
        <f t="shared" si="12"/>
        <v>Loss Making</v>
      </c>
      <c r="M151" s="2" t="str">
        <f t="shared" si="13"/>
        <v>Stable Earnings</v>
      </c>
      <c r="N151" s="2" t="str">
        <f t="shared" si="14"/>
        <v>Moderate</v>
      </c>
      <c r="O151" s="4" t="str">
        <f t="shared" si="15"/>
        <v>Accounting Risk</v>
      </c>
      <c r="P151" s="4" t="str">
        <f t="shared" si="16"/>
        <v>Moderate</v>
      </c>
      <c r="Q151" s="4" t="str">
        <f t="shared" si="17"/>
        <v>Strong Long-Term Growth</v>
      </c>
    </row>
    <row r="152" spans="1:17" x14ac:dyDescent="0.35">
      <c r="A152" s="2" t="s">
        <v>162</v>
      </c>
      <c r="B152" s="2">
        <v>5</v>
      </c>
      <c r="C152" s="2">
        <v>-86505950.939999998</v>
      </c>
      <c r="D152" s="2">
        <v>0</v>
      </c>
      <c r="E152" s="2">
        <v>45336587.740000002</v>
      </c>
      <c r="F152" s="2">
        <v>-61305920.899999999</v>
      </c>
      <c r="G152" s="2">
        <v>5</v>
      </c>
      <c r="H152" s="2">
        <v>3</v>
      </c>
      <c r="I152" s="2">
        <v>4</v>
      </c>
      <c r="J152" s="2">
        <v>4.2</v>
      </c>
      <c r="K152" s="2" t="s">
        <v>12</v>
      </c>
      <c r="L152" s="2" t="str">
        <f t="shared" si="12"/>
        <v>Loss Making</v>
      </c>
      <c r="M152" s="2" t="str">
        <f t="shared" si="13"/>
        <v>Stable Earnings</v>
      </c>
      <c r="N152" s="2" t="str">
        <f t="shared" si="14"/>
        <v>Moderate</v>
      </c>
      <c r="O152" s="4" t="str">
        <f t="shared" si="15"/>
        <v>Accounting Risk</v>
      </c>
      <c r="P152" s="4" t="str">
        <f t="shared" si="16"/>
        <v>Moderate</v>
      </c>
      <c r="Q152" s="4" t="str">
        <f t="shared" si="17"/>
        <v>Strong Long-Term Growth</v>
      </c>
    </row>
    <row r="153" spans="1:17" x14ac:dyDescent="0.35">
      <c r="A153" s="2" t="s">
        <v>163</v>
      </c>
      <c r="B153" s="2">
        <v>5</v>
      </c>
      <c r="C153" s="2">
        <v>-94022976.640000001</v>
      </c>
      <c r="D153" s="2">
        <v>0</v>
      </c>
      <c r="E153" s="2">
        <v>56378680.159999996</v>
      </c>
      <c r="F153" s="2">
        <v>-65552803.600000001</v>
      </c>
      <c r="G153" s="2">
        <v>5</v>
      </c>
      <c r="H153" s="2">
        <v>3</v>
      </c>
      <c r="I153" s="2">
        <v>4</v>
      </c>
      <c r="J153" s="2">
        <v>4.2</v>
      </c>
      <c r="K153" s="2" t="s">
        <v>12</v>
      </c>
      <c r="L153" s="2" t="str">
        <f t="shared" si="12"/>
        <v>Loss Making</v>
      </c>
      <c r="M153" s="2" t="str">
        <f t="shared" si="13"/>
        <v>Stable Earnings</v>
      </c>
      <c r="N153" s="2" t="str">
        <f t="shared" si="14"/>
        <v>Moderate</v>
      </c>
      <c r="O153" s="4" t="str">
        <f t="shared" si="15"/>
        <v>Accounting Risk</v>
      </c>
      <c r="P153" s="4" t="str">
        <f t="shared" si="16"/>
        <v>Moderate</v>
      </c>
      <c r="Q153" s="4" t="str">
        <f t="shared" si="17"/>
        <v>Strong Long-Term Growth</v>
      </c>
    </row>
    <row r="154" spans="1:17" x14ac:dyDescent="0.35">
      <c r="A154" s="2" t="s">
        <v>164</v>
      </c>
      <c r="B154" s="2">
        <v>5</v>
      </c>
      <c r="C154" s="2">
        <v>-75114242.439999998</v>
      </c>
      <c r="D154" s="2">
        <v>0</v>
      </c>
      <c r="E154" s="2">
        <v>64634577.82</v>
      </c>
      <c r="F154" s="2">
        <v>-50991763</v>
      </c>
      <c r="G154" s="2">
        <v>5</v>
      </c>
      <c r="H154" s="2">
        <v>3</v>
      </c>
      <c r="I154" s="2">
        <v>4</v>
      </c>
      <c r="J154" s="2">
        <v>4.2</v>
      </c>
      <c r="K154" s="2" t="s">
        <v>12</v>
      </c>
      <c r="L154" s="2" t="str">
        <f t="shared" si="12"/>
        <v>Loss Making</v>
      </c>
      <c r="M154" s="2" t="str">
        <f t="shared" si="13"/>
        <v>Stable Earnings</v>
      </c>
      <c r="N154" s="2" t="str">
        <f t="shared" si="14"/>
        <v>Moderate</v>
      </c>
      <c r="O154" s="4" t="str">
        <f t="shared" si="15"/>
        <v>Accounting Risk</v>
      </c>
      <c r="P154" s="4" t="str">
        <f t="shared" si="16"/>
        <v>Moderate</v>
      </c>
      <c r="Q154" s="4" t="str">
        <f t="shared" si="17"/>
        <v>Strong Long-Term Growth</v>
      </c>
    </row>
    <row r="155" spans="1:17" x14ac:dyDescent="0.35">
      <c r="A155" s="2" t="s">
        <v>165</v>
      </c>
      <c r="B155" s="2">
        <v>5</v>
      </c>
      <c r="C155" s="2">
        <v>-145402259.30000001</v>
      </c>
      <c r="D155" s="2">
        <v>0</v>
      </c>
      <c r="E155" s="2">
        <v>49939104.189999998</v>
      </c>
      <c r="F155" s="2">
        <v>-49204638.700000003</v>
      </c>
      <c r="G155" s="2">
        <v>5</v>
      </c>
      <c r="H155" s="2">
        <v>3</v>
      </c>
      <c r="I155" s="2">
        <v>4</v>
      </c>
      <c r="J155" s="2">
        <v>4.2</v>
      </c>
      <c r="K155" s="2" t="s">
        <v>12</v>
      </c>
      <c r="L155" s="2" t="str">
        <f t="shared" si="12"/>
        <v>Loss Making</v>
      </c>
      <c r="M155" s="2" t="str">
        <f t="shared" si="13"/>
        <v>Stable Earnings</v>
      </c>
      <c r="N155" s="2" t="str">
        <f t="shared" si="14"/>
        <v>Moderate</v>
      </c>
      <c r="O155" s="4" t="str">
        <f t="shared" si="15"/>
        <v>Accounting Risk</v>
      </c>
      <c r="P155" s="4" t="str">
        <f t="shared" si="16"/>
        <v>Moderate</v>
      </c>
      <c r="Q155" s="4" t="str">
        <f t="shared" si="17"/>
        <v>Strong Long-Term Growth</v>
      </c>
    </row>
    <row r="156" spans="1:17" x14ac:dyDescent="0.35">
      <c r="A156" s="2" t="s">
        <v>166</v>
      </c>
      <c r="B156" s="2">
        <v>5</v>
      </c>
      <c r="C156" s="2">
        <v>-114192740</v>
      </c>
      <c r="D156" s="2">
        <v>0</v>
      </c>
      <c r="E156" s="2">
        <v>71570049.549999997</v>
      </c>
      <c r="F156" s="2">
        <v>-40678848.5</v>
      </c>
      <c r="G156" s="2">
        <v>5</v>
      </c>
      <c r="H156" s="2">
        <v>3</v>
      </c>
      <c r="I156" s="2">
        <v>4</v>
      </c>
      <c r="J156" s="2">
        <v>4.2</v>
      </c>
      <c r="K156" s="2" t="s">
        <v>12</v>
      </c>
      <c r="L156" s="2" t="str">
        <f t="shared" si="12"/>
        <v>Loss Making</v>
      </c>
      <c r="M156" s="2" t="str">
        <f t="shared" si="13"/>
        <v>Stable Earnings</v>
      </c>
      <c r="N156" s="2" t="str">
        <f t="shared" si="14"/>
        <v>Moderate</v>
      </c>
      <c r="O156" s="4" t="str">
        <f t="shared" si="15"/>
        <v>Accounting Risk</v>
      </c>
      <c r="P156" s="4" t="str">
        <f t="shared" si="16"/>
        <v>Moderate</v>
      </c>
      <c r="Q156" s="4" t="str">
        <f t="shared" si="17"/>
        <v>Strong Long-Term Growth</v>
      </c>
    </row>
    <row r="157" spans="1:17" x14ac:dyDescent="0.35">
      <c r="A157" s="2" t="s">
        <v>167</v>
      </c>
      <c r="B157" s="2">
        <v>5</v>
      </c>
      <c r="C157" s="2">
        <v>-56846705.460000001</v>
      </c>
      <c r="D157" s="2">
        <v>0</v>
      </c>
      <c r="E157" s="2">
        <v>59891028.340000004</v>
      </c>
      <c r="F157" s="2">
        <v>-43636900.5</v>
      </c>
      <c r="G157" s="2">
        <v>5</v>
      </c>
      <c r="H157" s="2">
        <v>3</v>
      </c>
      <c r="I157" s="2">
        <v>4</v>
      </c>
      <c r="J157" s="2">
        <v>4.2</v>
      </c>
      <c r="K157" s="2" t="s">
        <v>12</v>
      </c>
      <c r="L157" s="2" t="str">
        <f t="shared" si="12"/>
        <v>Loss Making</v>
      </c>
      <c r="M157" s="2" t="str">
        <f t="shared" si="13"/>
        <v>Stable Earnings</v>
      </c>
      <c r="N157" s="2" t="str">
        <f t="shared" si="14"/>
        <v>Moderate</v>
      </c>
      <c r="O157" s="4" t="str">
        <f t="shared" si="15"/>
        <v>Accounting Risk</v>
      </c>
      <c r="P157" s="4" t="str">
        <f t="shared" si="16"/>
        <v>Moderate</v>
      </c>
      <c r="Q157" s="4" t="str">
        <f t="shared" si="17"/>
        <v>Strong Long-Term Growth</v>
      </c>
    </row>
    <row r="158" spans="1:17" x14ac:dyDescent="0.35">
      <c r="A158" s="2" t="s">
        <v>168</v>
      </c>
      <c r="B158" s="2">
        <v>5</v>
      </c>
      <c r="C158" s="2">
        <v>-128246152.09999999</v>
      </c>
      <c r="D158" s="2">
        <v>0</v>
      </c>
      <c r="E158" s="2">
        <v>109454753</v>
      </c>
      <c r="F158" s="2">
        <v>-44933602.5</v>
      </c>
      <c r="G158" s="2">
        <v>5</v>
      </c>
      <c r="H158" s="2">
        <v>3</v>
      </c>
      <c r="I158" s="2">
        <v>4</v>
      </c>
      <c r="J158" s="2">
        <v>4.2</v>
      </c>
      <c r="K158" s="2" t="s">
        <v>12</v>
      </c>
      <c r="L158" s="2" t="str">
        <f t="shared" si="12"/>
        <v>Loss Making</v>
      </c>
      <c r="M158" s="2" t="str">
        <f t="shared" si="13"/>
        <v>Stable Earnings</v>
      </c>
      <c r="N158" s="2" t="str">
        <f t="shared" si="14"/>
        <v>Moderate</v>
      </c>
      <c r="O158" s="4" t="str">
        <f t="shared" si="15"/>
        <v>Accounting Risk</v>
      </c>
      <c r="P158" s="4" t="str">
        <f t="shared" si="16"/>
        <v>Moderate</v>
      </c>
      <c r="Q158" s="4" t="str">
        <f t="shared" si="17"/>
        <v>Strong Long-Term Growth</v>
      </c>
    </row>
    <row r="159" spans="1:17" x14ac:dyDescent="0.35">
      <c r="A159" s="2" t="s">
        <v>169</v>
      </c>
      <c r="B159" s="2">
        <v>5</v>
      </c>
      <c r="C159" s="2">
        <v>-44759485.140000001</v>
      </c>
      <c r="D159" s="2">
        <v>0</v>
      </c>
      <c r="E159" s="2">
        <v>49791087.060000002</v>
      </c>
      <c r="F159" s="2">
        <v>-45441125.799999997</v>
      </c>
      <c r="G159" s="2">
        <v>5</v>
      </c>
      <c r="H159" s="2">
        <v>3</v>
      </c>
      <c r="I159" s="2">
        <v>4</v>
      </c>
      <c r="J159" s="2">
        <v>4.2</v>
      </c>
      <c r="K159" s="2" t="s">
        <v>12</v>
      </c>
      <c r="L159" s="2" t="str">
        <f t="shared" si="12"/>
        <v>Loss Making</v>
      </c>
      <c r="M159" s="2" t="str">
        <f t="shared" si="13"/>
        <v>Stable Earnings</v>
      </c>
      <c r="N159" s="2" t="str">
        <f t="shared" si="14"/>
        <v>Moderate</v>
      </c>
      <c r="O159" s="4" t="str">
        <f t="shared" si="15"/>
        <v>Accounting Risk</v>
      </c>
      <c r="P159" s="4" t="str">
        <f t="shared" si="16"/>
        <v>Moderate</v>
      </c>
      <c r="Q159" s="4" t="str">
        <f t="shared" si="17"/>
        <v>Strong Long-Term Growth</v>
      </c>
    </row>
    <row r="160" spans="1:17" x14ac:dyDescent="0.35">
      <c r="A160" s="2" t="s">
        <v>170</v>
      </c>
      <c r="B160" s="2">
        <v>5</v>
      </c>
      <c r="C160" s="2">
        <v>-106990381.09999999</v>
      </c>
      <c r="D160" s="2">
        <v>0</v>
      </c>
      <c r="E160" s="2">
        <v>98394335.870000005</v>
      </c>
      <c r="F160" s="2">
        <v>-45479704.5</v>
      </c>
      <c r="G160" s="2">
        <v>5</v>
      </c>
      <c r="H160" s="2">
        <v>3</v>
      </c>
      <c r="I160" s="2">
        <v>4</v>
      </c>
      <c r="J160" s="2">
        <v>4.2</v>
      </c>
      <c r="K160" s="2" t="s">
        <v>12</v>
      </c>
      <c r="L160" s="2" t="str">
        <f t="shared" si="12"/>
        <v>Loss Making</v>
      </c>
      <c r="M160" s="2" t="str">
        <f t="shared" si="13"/>
        <v>Stable Earnings</v>
      </c>
      <c r="N160" s="2" t="str">
        <f t="shared" si="14"/>
        <v>Moderate</v>
      </c>
      <c r="O160" s="4" t="str">
        <f t="shared" si="15"/>
        <v>Accounting Risk</v>
      </c>
      <c r="P160" s="4" t="str">
        <f t="shared" si="16"/>
        <v>Moderate</v>
      </c>
      <c r="Q160" s="4" t="str">
        <f t="shared" si="17"/>
        <v>Strong Long-Term Growth</v>
      </c>
    </row>
    <row r="161" spans="1:17" x14ac:dyDescent="0.35">
      <c r="A161" s="2" t="s">
        <v>171</v>
      </c>
      <c r="B161" s="2">
        <v>5</v>
      </c>
      <c r="C161" s="2">
        <v>-173043919.09999999</v>
      </c>
      <c r="D161" s="2">
        <v>0.2</v>
      </c>
      <c r="E161" s="2">
        <v>149692747.69999999</v>
      </c>
      <c r="F161" s="2">
        <v>-234307436.5</v>
      </c>
      <c r="G161" s="2">
        <v>4</v>
      </c>
      <c r="H161" s="2">
        <v>4</v>
      </c>
      <c r="I161" s="2">
        <v>5</v>
      </c>
      <c r="J161" s="2">
        <v>4.2</v>
      </c>
      <c r="K161" s="2" t="s">
        <v>12</v>
      </c>
      <c r="L161" s="2" t="str">
        <f t="shared" si="12"/>
        <v>Loss Making</v>
      </c>
      <c r="M161" s="2" t="str">
        <f t="shared" si="13"/>
        <v>Stable Earnings</v>
      </c>
      <c r="N161" s="2" t="str">
        <f t="shared" si="14"/>
        <v>Moderate</v>
      </c>
      <c r="O161" s="4" t="str">
        <f t="shared" si="15"/>
        <v>Accounting Risk</v>
      </c>
      <c r="P161" s="4" t="str">
        <f t="shared" si="16"/>
        <v>Moderate</v>
      </c>
      <c r="Q161" s="4" t="str">
        <f t="shared" si="17"/>
        <v>Strong Long-Term Growth</v>
      </c>
    </row>
    <row r="162" spans="1:17" x14ac:dyDescent="0.35">
      <c r="A162" s="2" t="s">
        <v>172</v>
      </c>
      <c r="B162" s="2">
        <v>5</v>
      </c>
      <c r="C162" s="2">
        <v>-303538725.60000002</v>
      </c>
      <c r="D162" s="2">
        <v>0</v>
      </c>
      <c r="E162" s="2">
        <v>126507201.7</v>
      </c>
      <c r="F162" s="2">
        <v>-229300446.09999999</v>
      </c>
      <c r="G162" s="2">
        <v>4</v>
      </c>
      <c r="H162" s="2">
        <v>4</v>
      </c>
      <c r="I162" s="2">
        <v>5</v>
      </c>
      <c r="J162" s="2">
        <v>4.2</v>
      </c>
      <c r="K162" s="2" t="s">
        <v>12</v>
      </c>
      <c r="L162" s="2" t="str">
        <f t="shared" si="12"/>
        <v>Loss Making</v>
      </c>
      <c r="M162" s="2" t="str">
        <f t="shared" si="13"/>
        <v>Stable Earnings</v>
      </c>
      <c r="N162" s="2" t="str">
        <f t="shared" si="14"/>
        <v>Moderate</v>
      </c>
      <c r="O162" s="4" t="str">
        <f t="shared" si="15"/>
        <v>Accounting Risk</v>
      </c>
      <c r="P162" s="4" t="str">
        <f t="shared" si="16"/>
        <v>Moderate</v>
      </c>
      <c r="Q162" s="4" t="str">
        <f t="shared" si="17"/>
        <v>Strong Long-Term Growth</v>
      </c>
    </row>
    <row r="163" spans="1:17" x14ac:dyDescent="0.35">
      <c r="A163" s="2" t="s">
        <v>173</v>
      </c>
      <c r="B163" s="2">
        <v>5</v>
      </c>
      <c r="C163" s="2">
        <v>-132808042.90000001</v>
      </c>
      <c r="D163" s="2">
        <v>0.2</v>
      </c>
      <c r="E163" s="2">
        <v>183944577.19999999</v>
      </c>
      <c r="F163" s="2">
        <v>-247974919.90000001</v>
      </c>
      <c r="G163" s="2">
        <v>4</v>
      </c>
      <c r="H163" s="2">
        <v>4</v>
      </c>
      <c r="I163" s="2">
        <v>5</v>
      </c>
      <c r="J163" s="2">
        <v>4.2</v>
      </c>
      <c r="K163" s="2" t="s">
        <v>12</v>
      </c>
      <c r="L163" s="2" t="str">
        <f t="shared" si="12"/>
        <v>Loss Making</v>
      </c>
      <c r="M163" s="2" t="str">
        <f t="shared" si="13"/>
        <v>Stable Earnings</v>
      </c>
      <c r="N163" s="2" t="str">
        <f t="shared" si="14"/>
        <v>Moderate</v>
      </c>
      <c r="O163" s="4" t="str">
        <f t="shared" si="15"/>
        <v>Accounting Risk</v>
      </c>
      <c r="P163" s="4" t="str">
        <f t="shared" si="16"/>
        <v>Moderate</v>
      </c>
      <c r="Q163" s="4" t="str">
        <f t="shared" si="17"/>
        <v>Strong Long-Term Growth</v>
      </c>
    </row>
    <row r="164" spans="1:17" x14ac:dyDescent="0.35">
      <c r="A164" s="2" t="s">
        <v>174</v>
      </c>
      <c r="B164" s="2">
        <v>5</v>
      </c>
      <c r="C164" s="2">
        <v>26348936.02</v>
      </c>
      <c r="D164" s="2">
        <v>0.4</v>
      </c>
      <c r="E164" s="2">
        <v>188705066.59999999</v>
      </c>
      <c r="F164" s="2">
        <v>-236894312.5</v>
      </c>
      <c r="G164" s="2">
        <v>4</v>
      </c>
      <c r="H164" s="2">
        <v>4</v>
      </c>
      <c r="I164" s="2">
        <v>5</v>
      </c>
      <c r="J164" s="2">
        <v>4.2</v>
      </c>
      <c r="K164" s="2" t="s">
        <v>12</v>
      </c>
      <c r="L164" s="2" t="str">
        <f t="shared" si="12"/>
        <v>Profitable</v>
      </c>
      <c r="M164" s="2" t="str">
        <f t="shared" si="13"/>
        <v>Stable Earnings</v>
      </c>
      <c r="N164" s="2" t="str">
        <f t="shared" si="14"/>
        <v>Moderate</v>
      </c>
      <c r="O164" s="4" t="str">
        <f t="shared" si="15"/>
        <v>Accounting Risk</v>
      </c>
      <c r="P164" s="4" t="str">
        <f t="shared" si="16"/>
        <v>Moderate</v>
      </c>
      <c r="Q164" s="4" t="str">
        <f t="shared" si="17"/>
        <v>Strong Long-Term Growth</v>
      </c>
    </row>
    <row r="165" spans="1:17" x14ac:dyDescent="0.35">
      <c r="A165" s="2" t="s">
        <v>175</v>
      </c>
      <c r="B165" s="2">
        <v>5</v>
      </c>
      <c r="C165" s="2">
        <v>-149989519.80000001</v>
      </c>
      <c r="D165" s="2">
        <v>0.2</v>
      </c>
      <c r="E165" s="2">
        <v>150111682.5</v>
      </c>
      <c r="F165" s="2">
        <v>-239752831.40000001</v>
      </c>
      <c r="G165" s="2">
        <v>4</v>
      </c>
      <c r="H165" s="2">
        <v>4</v>
      </c>
      <c r="I165" s="2">
        <v>5</v>
      </c>
      <c r="J165" s="2">
        <v>4.2</v>
      </c>
      <c r="K165" s="2" t="s">
        <v>12</v>
      </c>
      <c r="L165" s="2" t="str">
        <f t="shared" si="12"/>
        <v>Loss Making</v>
      </c>
      <c r="M165" s="2" t="str">
        <f t="shared" si="13"/>
        <v>Stable Earnings</v>
      </c>
      <c r="N165" s="2" t="str">
        <f t="shared" si="14"/>
        <v>Moderate</v>
      </c>
      <c r="O165" s="4" t="str">
        <f t="shared" si="15"/>
        <v>Accounting Risk</v>
      </c>
      <c r="P165" s="4" t="str">
        <f t="shared" si="16"/>
        <v>Moderate</v>
      </c>
      <c r="Q165" s="4" t="str">
        <f t="shared" si="17"/>
        <v>Strong Long-Term Growth</v>
      </c>
    </row>
    <row r="166" spans="1:17" x14ac:dyDescent="0.35">
      <c r="A166" s="2" t="s">
        <v>176</v>
      </c>
      <c r="B166" s="2">
        <v>5</v>
      </c>
      <c r="C166" s="2">
        <v>-3610804.08</v>
      </c>
      <c r="D166" s="2">
        <v>0.4</v>
      </c>
      <c r="E166" s="2">
        <v>145592921.5</v>
      </c>
      <c r="F166" s="2">
        <v>-223509681.5</v>
      </c>
      <c r="G166" s="2">
        <v>4</v>
      </c>
      <c r="H166" s="2">
        <v>4</v>
      </c>
      <c r="I166" s="2">
        <v>5</v>
      </c>
      <c r="J166" s="2">
        <v>4.2</v>
      </c>
      <c r="K166" s="2" t="s">
        <v>12</v>
      </c>
      <c r="L166" s="2" t="str">
        <f t="shared" si="12"/>
        <v>Loss Making</v>
      </c>
      <c r="M166" s="2" t="str">
        <f t="shared" si="13"/>
        <v>Stable Earnings</v>
      </c>
      <c r="N166" s="2" t="str">
        <f t="shared" si="14"/>
        <v>Moderate</v>
      </c>
      <c r="O166" s="4" t="str">
        <f t="shared" si="15"/>
        <v>Accounting Risk</v>
      </c>
      <c r="P166" s="4" t="str">
        <f t="shared" si="16"/>
        <v>Moderate</v>
      </c>
      <c r="Q166" s="4" t="str">
        <f t="shared" si="17"/>
        <v>Strong Long-Term Growth</v>
      </c>
    </row>
    <row r="167" spans="1:17" x14ac:dyDescent="0.35">
      <c r="A167" s="2" t="s">
        <v>177</v>
      </c>
      <c r="B167" s="2">
        <v>5</v>
      </c>
      <c r="C167" s="2">
        <v>-211937757.19999999</v>
      </c>
      <c r="D167" s="2">
        <v>0</v>
      </c>
      <c r="E167" s="2">
        <v>209228960.80000001</v>
      </c>
      <c r="F167" s="2">
        <v>-221153930.30000001</v>
      </c>
      <c r="G167" s="2">
        <v>4</v>
      </c>
      <c r="H167" s="2">
        <v>4</v>
      </c>
      <c r="I167" s="2">
        <v>5</v>
      </c>
      <c r="J167" s="2">
        <v>4.2</v>
      </c>
      <c r="K167" s="2" t="s">
        <v>12</v>
      </c>
      <c r="L167" s="2" t="str">
        <f t="shared" si="12"/>
        <v>Loss Making</v>
      </c>
      <c r="M167" s="2" t="str">
        <f t="shared" si="13"/>
        <v>Stable Earnings</v>
      </c>
      <c r="N167" s="2" t="str">
        <f t="shared" si="14"/>
        <v>Moderate</v>
      </c>
      <c r="O167" s="4" t="str">
        <f t="shared" si="15"/>
        <v>Accounting Risk</v>
      </c>
      <c r="P167" s="4" t="str">
        <f t="shared" si="16"/>
        <v>Moderate</v>
      </c>
      <c r="Q167" s="4" t="str">
        <f t="shared" si="17"/>
        <v>Strong Long-Term Growth</v>
      </c>
    </row>
    <row r="168" spans="1:17" x14ac:dyDescent="0.35">
      <c r="A168" s="2" t="s">
        <v>178</v>
      </c>
      <c r="B168" s="2">
        <v>5</v>
      </c>
      <c r="C168" s="2">
        <v>-72107622.579999998</v>
      </c>
      <c r="D168" s="2">
        <v>0.2</v>
      </c>
      <c r="E168" s="2">
        <v>166713504</v>
      </c>
      <c r="F168" s="2">
        <v>-198793423.59999999</v>
      </c>
      <c r="G168" s="2">
        <v>4</v>
      </c>
      <c r="H168" s="2">
        <v>4</v>
      </c>
      <c r="I168" s="2">
        <v>5</v>
      </c>
      <c r="J168" s="2">
        <v>4.2</v>
      </c>
      <c r="K168" s="2" t="s">
        <v>12</v>
      </c>
      <c r="L168" s="2" t="str">
        <f t="shared" si="12"/>
        <v>Loss Making</v>
      </c>
      <c r="M168" s="2" t="str">
        <f t="shared" si="13"/>
        <v>Stable Earnings</v>
      </c>
      <c r="N168" s="2" t="str">
        <f t="shared" si="14"/>
        <v>Moderate</v>
      </c>
      <c r="O168" s="4" t="str">
        <f t="shared" si="15"/>
        <v>Accounting Risk</v>
      </c>
      <c r="P168" s="4" t="str">
        <f t="shared" si="16"/>
        <v>Moderate</v>
      </c>
      <c r="Q168" s="4" t="str">
        <f t="shared" si="17"/>
        <v>Strong Long-Term Growth</v>
      </c>
    </row>
    <row r="169" spans="1:17" x14ac:dyDescent="0.35">
      <c r="A169" s="2" t="s">
        <v>179</v>
      </c>
      <c r="B169" s="2">
        <v>5</v>
      </c>
      <c r="C169" s="2">
        <v>-126253594.8</v>
      </c>
      <c r="D169" s="2">
        <v>0.2</v>
      </c>
      <c r="E169" s="2">
        <v>184271522.40000001</v>
      </c>
      <c r="F169" s="2">
        <v>-197159664.19999999</v>
      </c>
      <c r="G169" s="2">
        <v>4</v>
      </c>
      <c r="H169" s="2">
        <v>4</v>
      </c>
      <c r="I169" s="2">
        <v>5</v>
      </c>
      <c r="J169" s="2">
        <v>4.2</v>
      </c>
      <c r="K169" s="2" t="s">
        <v>12</v>
      </c>
      <c r="L169" s="2" t="str">
        <f t="shared" si="12"/>
        <v>Loss Making</v>
      </c>
      <c r="M169" s="2" t="str">
        <f t="shared" si="13"/>
        <v>Stable Earnings</v>
      </c>
      <c r="N169" s="2" t="str">
        <f t="shared" si="14"/>
        <v>Moderate</v>
      </c>
      <c r="O169" s="4" t="str">
        <f t="shared" si="15"/>
        <v>Accounting Risk</v>
      </c>
      <c r="P169" s="4" t="str">
        <f t="shared" si="16"/>
        <v>Moderate</v>
      </c>
      <c r="Q169" s="4" t="str">
        <f t="shared" si="17"/>
        <v>Strong Long-Term Growth</v>
      </c>
    </row>
    <row r="170" spans="1:17" x14ac:dyDescent="0.35">
      <c r="A170" s="2" t="s">
        <v>180</v>
      </c>
      <c r="B170" s="2">
        <v>5</v>
      </c>
      <c r="C170" s="2">
        <v>-388473655.80000001</v>
      </c>
      <c r="D170" s="2">
        <v>0</v>
      </c>
      <c r="E170" s="2">
        <v>217099152.5</v>
      </c>
      <c r="F170" s="2">
        <v>-187070148.69999999</v>
      </c>
      <c r="G170" s="2">
        <v>4</v>
      </c>
      <c r="H170" s="2">
        <v>4</v>
      </c>
      <c r="I170" s="2">
        <v>5</v>
      </c>
      <c r="J170" s="2">
        <v>4.2</v>
      </c>
      <c r="K170" s="2" t="s">
        <v>12</v>
      </c>
      <c r="L170" s="2" t="str">
        <f t="shared" si="12"/>
        <v>Loss Making</v>
      </c>
      <c r="M170" s="2" t="str">
        <f t="shared" si="13"/>
        <v>Stable Earnings</v>
      </c>
      <c r="N170" s="2" t="str">
        <f t="shared" si="14"/>
        <v>Moderate</v>
      </c>
      <c r="O170" s="4" t="str">
        <f t="shared" si="15"/>
        <v>Accounting Risk</v>
      </c>
      <c r="P170" s="4" t="str">
        <f t="shared" si="16"/>
        <v>Moderate</v>
      </c>
      <c r="Q170" s="4" t="str">
        <f t="shared" si="17"/>
        <v>Strong Long-Term Growth</v>
      </c>
    </row>
    <row r="171" spans="1:17" x14ac:dyDescent="0.35">
      <c r="A171" s="2" t="s">
        <v>181</v>
      </c>
      <c r="B171" s="2">
        <v>5</v>
      </c>
      <c r="C171" s="2">
        <v>-46331208.920000002</v>
      </c>
      <c r="D171" s="2">
        <v>0.2</v>
      </c>
      <c r="E171" s="2">
        <v>120959975.90000001</v>
      </c>
      <c r="F171" s="2">
        <v>-156570562</v>
      </c>
      <c r="G171" s="2">
        <v>4</v>
      </c>
      <c r="H171" s="2">
        <v>4</v>
      </c>
      <c r="I171" s="2">
        <v>5</v>
      </c>
      <c r="J171" s="2">
        <v>4.2</v>
      </c>
      <c r="K171" s="2" t="s">
        <v>12</v>
      </c>
      <c r="L171" s="2" t="str">
        <f t="shared" si="12"/>
        <v>Loss Making</v>
      </c>
      <c r="M171" s="2" t="str">
        <f t="shared" si="13"/>
        <v>Stable Earnings</v>
      </c>
      <c r="N171" s="2" t="str">
        <f t="shared" si="14"/>
        <v>Moderate</v>
      </c>
      <c r="O171" s="4" t="str">
        <f t="shared" si="15"/>
        <v>Accounting Risk</v>
      </c>
      <c r="P171" s="4" t="str">
        <f t="shared" si="16"/>
        <v>Moderate</v>
      </c>
      <c r="Q171" s="4" t="str">
        <f t="shared" si="17"/>
        <v>Strong Long-Term Growth</v>
      </c>
    </row>
    <row r="172" spans="1:17" x14ac:dyDescent="0.35">
      <c r="A172" s="2" t="s">
        <v>182</v>
      </c>
      <c r="B172" s="2">
        <v>5</v>
      </c>
      <c r="C172" s="2">
        <v>-47131854.259999998</v>
      </c>
      <c r="D172" s="2">
        <v>0.4</v>
      </c>
      <c r="E172" s="2">
        <v>157892385.59999999</v>
      </c>
      <c r="F172" s="2">
        <v>-153476048.40000001</v>
      </c>
      <c r="G172" s="2">
        <v>4</v>
      </c>
      <c r="H172" s="2">
        <v>4</v>
      </c>
      <c r="I172" s="2">
        <v>5</v>
      </c>
      <c r="J172" s="2">
        <v>4.2</v>
      </c>
      <c r="K172" s="2" t="s">
        <v>12</v>
      </c>
      <c r="L172" s="2" t="str">
        <f t="shared" si="12"/>
        <v>Loss Making</v>
      </c>
      <c r="M172" s="2" t="str">
        <f t="shared" si="13"/>
        <v>Stable Earnings</v>
      </c>
      <c r="N172" s="2" t="str">
        <f t="shared" si="14"/>
        <v>Moderate</v>
      </c>
      <c r="O172" s="4" t="str">
        <f t="shared" si="15"/>
        <v>Accounting Risk</v>
      </c>
      <c r="P172" s="4" t="str">
        <f t="shared" si="16"/>
        <v>Moderate</v>
      </c>
      <c r="Q172" s="4" t="str">
        <f t="shared" si="17"/>
        <v>Strong Long-Term Growth</v>
      </c>
    </row>
    <row r="173" spans="1:17" x14ac:dyDescent="0.35">
      <c r="A173" s="2" t="s">
        <v>183</v>
      </c>
      <c r="B173" s="2">
        <v>5</v>
      </c>
      <c r="C173" s="2">
        <v>-122917298.3</v>
      </c>
      <c r="D173" s="2">
        <v>0.2</v>
      </c>
      <c r="E173" s="2">
        <v>166929861</v>
      </c>
      <c r="F173" s="2">
        <v>-162167732.69999999</v>
      </c>
      <c r="G173" s="2">
        <v>4</v>
      </c>
      <c r="H173" s="2">
        <v>4</v>
      </c>
      <c r="I173" s="2">
        <v>5</v>
      </c>
      <c r="J173" s="2">
        <v>4.2</v>
      </c>
      <c r="K173" s="2" t="s">
        <v>12</v>
      </c>
      <c r="L173" s="2" t="str">
        <f t="shared" si="12"/>
        <v>Loss Making</v>
      </c>
      <c r="M173" s="2" t="str">
        <f t="shared" si="13"/>
        <v>Stable Earnings</v>
      </c>
      <c r="N173" s="2" t="str">
        <f t="shared" si="14"/>
        <v>Moderate</v>
      </c>
      <c r="O173" s="4" t="str">
        <f t="shared" si="15"/>
        <v>Accounting Risk</v>
      </c>
      <c r="P173" s="4" t="str">
        <f t="shared" si="16"/>
        <v>Moderate</v>
      </c>
      <c r="Q173" s="4" t="str">
        <f t="shared" si="17"/>
        <v>Strong Long-Term Growth</v>
      </c>
    </row>
    <row r="174" spans="1:17" x14ac:dyDescent="0.35">
      <c r="A174" s="2" t="s">
        <v>184</v>
      </c>
      <c r="B174" s="2">
        <v>5</v>
      </c>
      <c r="C174" s="2">
        <v>-189022486</v>
      </c>
      <c r="D174" s="2">
        <v>0.2</v>
      </c>
      <c r="E174" s="2">
        <v>148446155.80000001</v>
      </c>
      <c r="F174" s="2">
        <v>-274269450.30000001</v>
      </c>
      <c r="G174" s="2">
        <v>4</v>
      </c>
      <c r="H174" s="2">
        <v>4</v>
      </c>
      <c r="I174" s="2">
        <v>5</v>
      </c>
      <c r="J174" s="2">
        <v>4.2</v>
      </c>
      <c r="K174" s="2" t="s">
        <v>12</v>
      </c>
      <c r="L174" s="2" t="str">
        <f t="shared" si="12"/>
        <v>Loss Making</v>
      </c>
      <c r="M174" s="2" t="str">
        <f t="shared" si="13"/>
        <v>Stable Earnings</v>
      </c>
      <c r="N174" s="2" t="str">
        <f t="shared" si="14"/>
        <v>Moderate</v>
      </c>
      <c r="O174" s="4" t="str">
        <f t="shared" si="15"/>
        <v>Accounting Risk</v>
      </c>
      <c r="P174" s="4" t="str">
        <f t="shared" si="16"/>
        <v>Moderate</v>
      </c>
      <c r="Q174" s="4" t="str">
        <f t="shared" si="17"/>
        <v>Strong Long-Term Growth</v>
      </c>
    </row>
    <row r="175" spans="1:17" x14ac:dyDescent="0.35">
      <c r="A175" s="2" t="s">
        <v>185</v>
      </c>
      <c r="B175" s="2">
        <v>5</v>
      </c>
      <c r="C175" s="2">
        <v>-27466791.440000001</v>
      </c>
      <c r="D175" s="2">
        <v>0.4</v>
      </c>
      <c r="E175" s="2">
        <v>118344646.7</v>
      </c>
      <c r="F175" s="2">
        <v>-278364413.80000001</v>
      </c>
      <c r="G175" s="2">
        <v>4</v>
      </c>
      <c r="H175" s="2">
        <v>4</v>
      </c>
      <c r="I175" s="2">
        <v>5</v>
      </c>
      <c r="J175" s="2">
        <v>4.2</v>
      </c>
      <c r="K175" s="2" t="s">
        <v>12</v>
      </c>
      <c r="L175" s="2" t="str">
        <f t="shared" si="12"/>
        <v>Loss Making</v>
      </c>
      <c r="M175" s="2" t="str">
        <f t="shared" si="13"/>
        <v>Stable Earnings</v>
      </c>
      <c r="N175" s="2" t="str">
        <f t="shared" si="14"/>
        <v>Moderate</v>
      </c>
      <c r="O175" s="4" t="str">
        <f t="shared" si="15"/>
        <v>Accounting Risk</v>
      </c>
      <c r="P175" s="4" t="str">
        <f t="shared" si="16"/>
        <v>Moderate</v>
      </c>
      <c r="Q175" s="4" t="str">
        <f t="shared" si="17"/>
        <v>Strong Long-Term Growth</v>
      </c>
    </row>
    <row r="176" spans="1:17" x14ac:dyDescent="0.35">
      <c r="A176" s="2" t="s">
        <v>186</v>
      </c>
      <c r="B176" s="2">
        <v>5</v>
      </c>
      <c r="C176" s="2">
        <v>-72628578.680000007</v>
      </c>
      <c r="D176" s="2">
        <v>0.2</v>
      </c>
      <c r="E176" s="2">
        <v>243789184.30000001</v>
      </c>
      <c r="F176" s="2">
        <v>-279331298.39999998</v>
      </c>
      <c r="G176" s="2">
        <v>4</v>
      </c>
      <c r="H176" s="2">
        <v>4</v>
      </c>
      <c r="I176" s="2">
        <v>5</v>
      </c>
      <c r="J176" s="2">
        <v>4.2</v>
      </c>
      <c r="K176" s="2" t="s">
        <v>12</v>
      </c>
      <c r="L176" s="2" t="str">
        <f t="shared" si="12"/>
        <v>Loss Making</v>
      </c>
      <c r="M176" s="2" t="str">
        <f t="shared" si="13"/>
        <v>Stable Earnings</v>
      </c>
      <c r="N176" s="2" t="str">
        <f t="shared" si="14"/>
        <v>Moderate</v>
      </c>
      <c r="O176" s="4" t="str">
        <f t="shared" si="15"/>
        <v>Accounting Risk</v>
      </c>
      <c r="P176" s="4" t="str">
        <f t="shared" si="16"/>
        <v>Moderate</v>
      </c>
      <c r="Q176" s="4" t="str">
        <f t="shared" si="17"/>
        <v>Strong Long-Term Growth</v>
      </c>
    </row>
    <row r="177" spans="1:17" x14ac:dyDescent="0.35">
      <c r="A177" s="2" t="s">
        <v>187</v>
      </c>
      <c r="B177" s="2">
        <v>5</v>
      </c>
      <c r="C177" s="2">
        <v>-178961725.90000001</v>
      </c>
      <c r="D177" s="2">
        <v>0</v>
      </c>
      <c r="E177" s="2">
        <v>127152483.5</v>
      </c>
      <c r="F177" s="2">
        <v>-262382351</v>
      </c>
      <c r="G177" s="2">
        <v>4</v>
      </c>
      <c r="H177" s="2">
        <v>4</v>
      </c>
      <c r="I177" s="2">
        <v>5</v>
      </c>
      <c r="J177" s="2">
        <v>4.2</v>
      </c>
      <c r="K177" s="2" t="s">
        <v>12</v>
      </c>
      <c r="L177" s="2" t="str">
        <f t="shared" si="12"/>
        <v>Loss Making</v>
      </c>
      <c r="M177" s="2" t="str">
        <f t="shared" si="13"/>
        <v>Stable Earnings</v>
      </c>
      <c r="N177" s="2" t="str">
        <f t="shared" si="14"/>
        <v>Moderate</v>
      </c>
      <c r="O177" s="4" t="str">
        <f t="shared" si="15"/>
        <v>Accounting Risk</v>
      </c>
      <c r="P177" s="4" t="str">
        <f t="shared" si="16"/>
        <v>Moderate</v>
      </c>
      <c r="Q177" s="4" t="str">
        <f t="shared" si="17"/>
        <v>Strong Long-Term Growth</v>
      </c>
    </row>
    <row r="178" spans="1:17" x14ac:dyDescent="0.35">
      <c r="A178" s="2" t="s">
        <v>188</v>
      </c>
      <c r="B178" s="2">
        <v>5</v>
      </c>
      <c r="C178" s="2">
        <v>-122977436</v>
      </c>
      <c r="D178" s="2">
        <v>0.4</v>
      </c>
      <c r="E178" s="2">
        <v>213108669.59999999</v>
      </c>
      <c r="F178" s="2">
        <v>-322012644.39999998</v>
      </c>
      <c r="G178" s="2">
        <v>4</v>
      </c>
      <c r="H178" s="2">
        <v>4</v>
      </c>
      <c r="I178" s="2">
        <v>5</v>
      </c>
      <c r="J178" s="2">
        <v>4.2</v>
      </c>
      <c r="K178" s="2" t="s">
        <v>12</v>
      </c>
      <c r="L178" s="2" t="str">
        <f t="shared" si="12"/>
        <v>Loss Making</v>
      </c>
      <c r="M178" s="2" t="str">
        <f t="shared" si="13"/>
        <v>Stable Earnings</v>
      </c>
      <c r="N178" s="2" t="str">
        <f t="shared" si="14"/>
        <v>Moderate</v>
      </c>
      <c r="O178" s="4" t="str">
        <f t="shared" si="15"/>
        <v>Accounting Risk</v>
      </c>
      <c r="P178" s="4" t="str">
        <f t="shared" si="16"/>
        <v>Moderate</v>
      </c>
      <c r="Q178" s="4" t="str">
        <f t="shared" si="17"/>
        <v>Strong Long-Term Growth</v>
      </c>
    </row>
    <row r="179" spans="1:17" x14ac:dyDescent="0.35">
      <c r="A179" s="2" t="s">
        <v>189</v>
      </c>
      <c r="B179" s="2">
        <v>5</v>
      </c>
      <c r="C179" s="2">
        <v>-438688455.10000002</v>
      </c>
      <c r="D179" s="2">
        <v>0</v>
      </c>
      <c r="E179" s="2">
        <v>153613525.40000001</v>
      </c>
      <c r="F179" s="2">
        <v>-295020495.69999999</v>
      </c>
      <c r="G179" s="2">
        <v>4</v>
      </c>
      <c r="H179" s="2">
        <v>4</v>
      </c>
      <c r="I179" s="2">
        <v>5</v>
      </c>
      <c r="J179" s="2">
        <v>4.2</v>
      </c>
      <c r="K179" s="2" t="s">
        <v>12</v>
      </c>
      <c r="L179" s="2" t="str">
        <f t="shared" si="12"/>
        <v>Loss Making</v>
      </c>
      <c r="M179" s="2" t="str">
        <f t="shared" si="13"/>
        <v>Stable Earnings</v>
      </c>
      <c r="N179" s="2" t="str">
        <f t="shared" si="14"/>
        <v>Moderate</v>
      </c>
      <c r="O179" s="4" t="str">
        <f t="shared" si="15"/>
        <v>Accounting Risk</v>
      </c>
      <c r="P179" s="4" t="str">
        <f t="shared" si="16"/>
        <v>Moderate</v>
      </c>
      <c r="Q179" s="4" t="str">
        <f t="shared" si="17"/>
        <v>Strong Long-Term Growth</v>
      </c>
    </row>
    <row r="180" spans="1:17" x14ac:dyDescent="0.35">
      <c r="A180" s="2" t="s">
        <v>190</v>
      </c>
      <c r="B180" s="2">
        <v>5</v>
      </c>
      <c r="C180" s="2">
        <v>-155431317.19999999</v>
      </c>
      <c r="D180" s="2">
        <v>0.2</v>
      </c>
      <c r="E180" s="2">
        <v>306949291.30000001</v>
      </c>
      <c r="F180" s="2">
        <v>-290452951</v>
      </c>
      <c r="G180" s="2">
        <v>4</v>
      </c>
      <c r="H180" s="2">
        <v>4</v>
      </c>
      <c r="I180" s="2">
        <v>5</v>
      </c>
      <c r="J180" s="2">
        <v>4.2</v>
      </c>
      <c r="K180" s="2" t="s">
        <v>12</v>
      </c>
      <c r="L180" s="2" t="str">
        <f t="shared" si="12"/>
        <v>Loss Making</v>
      </c>
      <c r="M180" s="2" t="str">
        <f t="shared" si="13"/>
        <v>Stable Earnings</v>
      </c>
      <c r="N180" s="2" t="str">
        <f t="shared" si="14"/>
        <v>Moderate</v>
      </c>
      <c r="O180" s="4" t="str">
        <f t="shared" si="15"/>
        <v>Accounting Risk</v>
      </c>
      <c r="P180" s="4" t="str">
        <f t="shared" si="16"/>
        <v>Moderate</v>
      </c>
      <c r="Q180" s="4" t="str">
        <f t="shared" si="17"/>
        <v>Strong Long-Term Growth</v>
      </c>
    </row>
    <row r="181" spans="1:17" x14ac:dyDescent="0.35">
      <c r="A181" s="2" t="s">
        <v>191</v>
      </c>
      <c r="B181" s="2">
        <v>5</v>
      </c>
      <c r="C181" s="2">
        <v>-91305609.379999995</v>
      </c>
      <c r="D181" s="2">
        <v>0.4</v>
      </c>
      <c r="E181" s="2">
        <v>158138601.69999999</v>
      </c>
      <c r="F181" s="2">
        <v>-377453935.5</v>
      </c>
      <c r="G181" s="2">
        <v>4</v>
      </c>
      <c r="H181" s="2">
        <v>4</v>
      </c>
      <c r="I181" s="2">
        <v>5</v>
      </c>
      <c r="J181" s="2">
        <v>4.2</v>
      </c>
      <c r="K181" s="2" t="s">
        <v>12</v>
      </c>
      <c r="L181" s="2" t="str">
        <f t="shared" si="12"/>
        <v>Loss Making</v>
      </c>
      <c r="M181" s="2" t="str">
        <f t="shared" si="13"/>
        <v>Stable Earnings</v>
      </c>
      <c r="N181" s="2" t="str">
        <f t="shared" si="14"/>
        <v>Moderate</v>
      </c>
      <c r="O181" s="4" t="str">
        <f t="shared" si="15"/>
        <v>Accounting Risk</v>
      </c>
      <c r="P181" s="4" t="str">
        <f t="shared" si="16"/>
        <v>Moderate</v>
      </c>
      <c r="Q181" s="4" t="str">
        <f t="shared" si="17"/>
        <v>Strong Long-Term Growth</v>
      </c>
    </row>
    <row r="182" spans="1:17" x14ac:dyDescent="0.35">
      <c r="A182" s="2" t="s">
        <v>192</v>
      </c>
      <c r="B182" s="2">
        <v>5</v>
      </c>
      <c r="C182" s="2">
        <v>-391479064.69999999</v>
      </c>
      <c r="D182" s="2">
        <v>0</v>
      </c>
      <c r="E182" s="2">
        <v>263651654.30000001</v>
      </c>
      <c r="F182" s="2">
        <v>-378578663.39999998</v>
      </c>
      <c r="G182" s="2">
        <v>4</v>
      </c>
      <c r="H182" s="2">
        <v>4</v>
      </c>
      <c r="I182" s="2">
        <v>5</v>
      </c>
      <c r="J182" s="2">
        <v>4.2</v>
      </c>
      <c r="K182" s="2" t="s">
        <v>12</v>
      </c>
      <c r="L182" s="2" t="str">
        <f t="shared" si="12"/>
        <v>Loss Making</v>
      </c>
      <c r="M182" s="2" t="str">
        <f t="shared" si="13"/>
        <v>Stable Earnings</v>
      </c>
      <c r="N182" s="2" t="str">
        <f t="shared" si="14"/>
        <v>Moderate</v>
      </c>
      <c r="O182" s="4" t="str">
        <f t="shared" si="15"/>
        <v>Accounting Risk</v>
      </c>
      <c r="P182" s="4" t="str">
        <f t="shared" si="16"/>
        <v>Moderate</v>
      </c>
      <c r="Q182" s="4" t="str">
        <f t="shared" si="17"/>
        <v>Strong Long-Term Growth</v>
      </c>
    </row>
    <row r="183" spans="1:17" x14ac:dyDescent="0.35">
      <c r="A183" s="2" t="s">
        <v>193</v>
      </c>
      <c r="B183" s="2">
        <v>5</v>
      </c>
      <c r="C183" s="2">
        <v>34640219.619999997</v>
      </c>
      <c r="D183" s="2">
        <v>0.4</v>
      </c>
      <c r="E183" s="2">
        <v>153085904.80000001</v>
      </c>
      <c r="F183" s="2">
        <v>-328150215.89999998</v>
      </c>
      <c r="G183" s="2">
        <v>4</v>
      </c>
      <c r="H183" s="2">
        <v>4</v>
      </c>
      <c r="I183" s="2">
        <v>5</v>
      </c>
      <c r="J183" s="2">
        <v>4.2</v>
      </c>
      <c r="K183" s="2" t="s">
        <v>12</v>
      </c>
      <c r="L183" s="2" t="str">
        <f t="shared" si="12"/>
        <v>Profitable</v>
      </c>
      <c r="M183" s="2" t="str">
        <f t="shared" si="13"/>
        <v>Stable Earnings</v>
      </c>
      <c r="N183" s="2" t="str">
        <f t="shared" si="14"/>
        <v>Moderate</v>
      </c>
      <c r="O183" s="4" t="str">
        <f t="shared" si="15"/>
        <v>Accounting Risk</v>
      </c>
      <c r="P183" s="4" t="str">
        <f t="shared" si="16"/>
        <v>Moderate</v>
      </c>
      <c r="Q183" s="4" t="str">
        <f t="shared" si="17"/>
        <v>Strong Long-Term Growth</v>
      </c>
    </row>
    <row r="184" spans="1:17" x14ac:dyDescent="0.35">
      <c r="A184" s="2" t="s">
        <v>194</v>
      </c>
      <c r="B184" s="2">
        <v>5</v>
      </c>
      <c r="C184" s="2">
        <v>-134454402.09999999</v>
      </c>
      <c r="D184" s="2">
        <v>0.2</v>
      </c>
      <c r="E184" s="2">
        <v>192192906.30000001</v>
      </c>
      <c r="F184" s="2">
        <v>-365225753.69999999</v>
      </c>
      <c r="G184" s="2">
        <v>4</v>
      </c>
      <c r="H184" s="2">
        <v>4</v>
      </c>
      <c r="I184" s="2">
        <v>5</v>
      </c>
      <c r="J184" s="2">
        <v>4.2</v>
      </c>
      <c r="K184" s="2" t="s">
        <v>12</v>
      </c>
      <c r="L184" s="2" t="str">
        <f t="shared" si="12"/>
        <v>Loss Making</v>
      </c>
      <c r="M184" s="2" t="str">
        <f t="shared" si="13"/>
        <v>Stable Earnings</v>
      </c>
      <c r="N184" s="2" t="str">
        <f t="shared" si="14"/>
        <v>Moderate</v>
      </c>
      <c r="O184" s="4" t="str">
        <f t="shared" si="15"/>
        <v>Accounting Risk</v>
      </c>
      <c r="P184" s="4" t="str">
        <f t="shared" si="16"/>
        <v>Moderate</v>
      </c>
      <c r="Q184" s="4" t="str">
        <f t="shared" si="17"/>
        <v>Strong Long-Term Growth</v>
      </c>
    </row>
    <row r="185" spans="1:17" x14ac:dyDescent="0.35">
      <c r="A185" s="2" t="s">
        <v>195</v>
      </c>
      <c r="B185" s="2">
        <v>5</v>
      </c>
      <c r="C185" s="2">
        <v>111235697.09999999</v>
      </c>
      <c r="D185" s="2">
        <v>0.2</v>
      </c>
      <c r="E185" s="2">
        <v>295512628.10000002</v>
      </c>
      <c r="F185" s="2">
        <v>-663549002.39999998</v>
      </c>
      <c r="G185" s="2">
        <v>4</v>
      </c>
      <c r="H185" s="2">
        <v>4</v>
      </c>
      <c r="I185" s="2">
        <v>5</v>
      </c>
      <c r="J185" s="2">
        <v>4.2</v>
      </c>
      <c r="K185" s="2" t="s">
        <v>12</v>
      </c>
      <c r="L185" s="2" t="str">
        <f t="shared" si="12"/>
        <v>Profitable</v>
      </c>
      <c r="M185" s="2" t="str">
        <f t="shared" si="13"/>
        <v>Stable Earnings</v>
      </c>
      <c r="N185" s="2" t="str">
        <f t="shared" si="14"/>
        <v>Moderate</v>
      </c>
      <c r="O185" s="4" t="str">
        <f t="shared" si="15"/>
        <v>Accounting Risk</v>
      </c>
      <c r="P185" s="4" t="str">
        <f t="shared" si="16"/>
        <v>Moderate</v>
      </c>
      <c r="Q185" s="4" t="str">
        <f t="shared" si="17"/>
        <v>Strong Long-Term Growth</v>
      </c>
    </row>
    <row r="186" spans="1:17" x14ac:dyDescent="0.35">
      <c r="A186" s="2" t="s">
        <v>196</v>
      </c>
      <c r="B186" s="2">
        <v>5</v>
      </c>
      <c r="C186" s="2">
        <v>-163054345.5</v>
      </c>
      <c r="D186" s="2">
        <v>0.2</v>
      </c>
      <c r="E186" s="2">
        <v>298150776.5</v>
      </c>
      <c r="F186" s="2">
        <v>-672003266.20000005</v>
      </c>
      <c r="G186" s="2">
        <v>4</v>
      </c>
      <c r="H186" s="2">
        <v>4</v>
      </c>
      <c r="I186" s="2">
        <v>5</v>
      </c>
      <c r="J186" s="2">
        <v>4.2</v>
      </c>
      <c r="K186" s="2" t="s">
        <v>12</v>
      </c>
      <c r="L186" s="2" t="str">
        <f t="shared" si="12"/>
        <v>Loss Making</v>
      </c>
      <c r="M186" s="2" t="str">
        <f t="shared" si="13"/>
        <v>Stable Earnings</v>
      </c>
      <c r="N186" s="2" t="str">
        <f t="shared" si="14"/>
        <v>Moderate</v>
      </c>
      <c r="O186" s="4" t="str">
        <f t="shared" si="15"/>
        <v>Accounting Risk</v>
      </c>
      <c r="P186" s="4" t="str">
        <f t="shared" si="16"/>
        <v>Moderate</v>
      </c>
      <c r="Q186" s="4" t="str">
        <f t="shared" si="17"/>
        <v>Strong Long-Term Growth</v>
      </c>
    </row>
    <row r="187" spans="1:17" x14ac:dyDescent="0.35">
      <c r="A187" s="2" t="s">
        <v>197</v>
      </c>
      <c r="B187" s="2">
        <v>5</v>
      </c>
      <c r="C187" s="2">
        <v>-531936951.10000002</v>
      </c>
      <c r="D187" s="2">
        <v>0</v>
      </c>
      <c r="E187" s="2">
        <v>325811033.30000001</v>
      </c>
      <c r="F187" s="2">
        <v>-626970031.20000005</v>
      </c>
      <c r="G187" s="2">
        <v>4</v>
      </c>
      <c r="H187" s="2">
        <v>4</v>
      </c>
      <c r="I187" s="2">
        <v>5</v>
      </c>
      <c r="J187" s="2">
        <v>4.2</v>
      </c>
      <c r="K187" s="2" t="s">
        <v>12</v>
      </c>
      <c r="L187" s="2" t="str">
        <f t="shared" si="12"/>
        <v>Loss Making</v>
      </c>
      <c r="M187" s="2" t="str">
        <f t="shared" si="13"/>
        <v>Stable Earnings</v>
      </c>
      <c r="N187" s="2" t="str">
        <f t="shared" si="14"/>
        <v>Moderate</v>
      </c>
      <c r="O187" s="4" t="str">
        <f t="shared" si="15"/>
        <v>Accounting Risk</v>
      </c>
      <c r="P187" s="4" t="str">
        <f t="shared" si="16"/>
        <v>Moderate</v>
      </c>
      <c r="Q187" s="4" t="str">
        <f t="shared" si="17"/>
        <v>Strong Long-Term Growth</v>
      </c>
    </row>
    <row r="188" spans="1:17" x14ac:dyDescent="0.35">
      <c r="A188" s="2" t="s">
        <v>198</v>
      </c>
      <c r="B188" s="2">
        <v>5</v>
      </c>
      <c r="C188" s="2">
        <v>94488989.739999995</v>
      </c>
      <c r="D188" s="2">
        <v>0.4</v>
      </c>
      <c r="E188" s="2">
        <v>297610596.5</v>
      </c>
      <c r="F188" s="2">
        <v>-627768325.39999998</v>
      </c>
      <c r="G188" s="2">
        <v>4</v>
      </c>
      <c r="H188" s="2">
        <v>4</v>
      </c>
      <c r="I188" s="2">
        <v>5</v>
      </c>
      <c r="J188" s="2">
        <v>4.2</v>
      </c>
      <c r="K188" s="2" t="s">
        <v>12</v>
      </c>
      <c r="L188" s="2" t="str">
        <f t="shared" si="12"/>
        <v>Profitable</v>
      </c>
      <c r="M188" s="2" t="str">
        <f t="shared" si="13"/>
        <v>Stable Earnings</v>
      </c>
      <c r="N188" s="2" t="str">
        <f t="shared" si="14"/>
        <v>Moderate</v>
      </c>
      <c r="O188" s="4" t="str">
        <f t="shared" si="15"/>
        <v>Accounting Risk</v>
      </c>
      <c r="P188" s="4" t="str">
        <f t="shared" si="16"/>
        <v>Moderate</v>
      </c>
      <c r="Q188" s="4" t="str">
        <f t="shared" si="17"/>
        <v>Strong Long-Term Growth</v>
      </c>
    </row>
    <row r="189" spans="1:17" x14ac:dyDescent="0.35">
      <c r="A189" s="2" t="s">
        <v>199</v>
      </c>
      <c r="B189" s="2">
        <v>5</v>
      </c>
      <c r="C189" s="2">
        <v>-193070816.59999999</v>
      </c>
      <c r="D189" s="2">
        <v>0.2</v>
      </c>
      <c r="E189" s="2">
        <v>287995936.10000002</v>
      </c>
      <c r="F189" s="2">
        <v>-686863516</v>
      </c>
      <c r="G189" s="2">
        <v>4</v>
      </c>
      <c r="H189" s="2">
        <v>4</v>
      </c>
      <c r="I189" s="2">
        <v>5</v>
      </c>
      <c r="J189" s="2">
        <v>4.2</v>
      </c>
      <c r="K189" s="2" t="s">
        <v>12</v>
      </c>
      <c r="L189" s="2" t="str">
        <f t="shared" si="12"/>
        <v>Loss Making</v>
      </c>
      <c r="M189" s="2" t="str">
        <f t="shared" si="13"/>
        <v>Stable Earnings</v>
      </c>
      <c r="N189" s="2" t="str">
        <f t="shared" si="14"/>
        <v>Moderate</v>
      </c>
      <c r="O189" s="4" t="str">
        <f t="shared" si="15"/>
        <v>Accounting Risk</v>
      </c>
      <c r="P189" s="4" t="str">
        <f t="shared" si="16"/>
        <v>Moderate</v>
      </c>
      <c r="Q189" s="4" t="str">
        <f t="shared" si="17"/>
        <v>Strong Long-Term Growth</v>
      </c>
    </row>
    <row r="190" spans="1:17" x14ac:dyDescent="0.35">
      <c r="A190" s="2" t="s">
        <v>200</v>
      </c>
      <c r="B190" s="2">
        <v>5</v>
      </c>
      <c r="C190" s="2">
        <v>-643752597.79999995</v>
      </c>
      <c r="D190" s="2">
        <v>0</v>
      </c>
      <c r="E190" s="2">
        <v>203815411.90000001</v>
      </c>
      <c r="F190" s="2">
        <v>-468429019.30000001</v>
      </c>
      <c r="G190" s="2">
        <v>4</v>
      </c>
      <c r="H190" s="2">
        <v>4</v>
      </c>
      <c r="I190" s="2">
        <v>5</v>
      </c>
      <c r="J190" s="2">
        <v>4.2</v>
      </c>
      <c r="K190" s="2" t="s">
        <v>12</v>
      </c>
      <c r="L190" s="2" t="str">
        <f t="shared" si="12"/>
        <v>Loss Making</v>
      </c>
      <c r="M190" s="2" t="str">
        <f t="shared" si="13"/>
        <v>Stable Earnings</v>
      </c>
      <c r="N190" s="2" t="str">
        <f t="shared" si="14"/>
        <v>Moderate</v>
      </c>
      <c r="O190" s="4" t="str">
        <f t="shared" si="15"/>
        <v>Accounting Risk</v>
      </c>
      <c r="P190" s="4" t="str">
        <f t="shared" si="16"/>
        <v>Moderate</v>
      </c>
      <c r="Q190" s="4" t="str">
        <f t="shared" si="17"/>
        <v>Strong Long-Term Growth</v>
      </c>
    </row>
    <row r="191" spans="1:17" x14ac:dyDescent="0.35">
      <c r="A191" s="2" t="s">
        <v>201</v>
      </c>
      <c r="B191" s="2">
        <v>5</v>
      </c>
      <c r="C191" s="2">
        <v>-66769233.420000002</v>
      </c>
      <c r="D191" s="2">
        <v>0.4</v>
      </c>
      <c r="E191" s="2">
        <v>226279367.80000001</v>
      </c>
      <c r="F191" s="2">
        <v>-593589603.29999995</v>
      </c>
      <c r="G191" s="2">
        <v>4</v>
      </c>
      <c r="H191" s="2">
        <v>4</v>
      </c>
      <c r="I191" s="2">
        <v>5</v>
      </c>
      <c r="J191" s="2">
        <v>4.2</v>
      </c>
      <c r="K191" s="2" t="s">
        <v>12</v>
      </c>
      <c r="L191" s="2" t="str">
        <f t="shared" si="12"/>
        <v>Loss Making</v>
      </c>
      <c r="M191" s="2" t="str">
        <f t="shared" si="13"/>
        <v>Stable Earnings</v>
      </c>
      <c r="N191" s="2" t="str">
        <f t="shared" si="14"/>
        <v>Moderate</v>
      </c>
      <c r="O191" s="4" t="str">
        <f t="shared" si="15"/>
        <v>Accounting Risk</v>
      </c>
      <c r="P191" s="4" t="str">
        <f t="shared" si="16"/>
        <v>Moderate</v>
      </c>
      <c r="Q191" s="4" t="str">
        <f t="shared" si="17"/>
        <v>Strong Long-Term Growth</v>
      </c>
    </row>
    <row r="192" spans="1:17" x14ac:dyDescent="0.35">
      <c r="A192" s="2" t="s">
        <v>202</v>
      </c>
      <c r="B192" s="2">
        <v>5</v>
      </c>
      <c r="C192" s="2">
        <v>-167775914.19999999</v>
      </c>
      <c r="D192" s="2">
        <v>0</v>
      </c>
      <c r="E192" s="2">
        <v>239658023.09999999</v>
      </c>
      <c r="F192" s="2">
        <v>-565626798.79999995</v>
      </c>
      <c r="G192" s="2">
        <v>4</v>
      </c>
      <c r="H192" s="2">
        <v>4</v>
      </c>
      <c r="I192" s="2">
        <v>5</v>
      </c>
      <c r="J192" s="2">
        <v>4.2</v>
      </c>
      <c r="K192" s="2" t="s">
        <v>12</v>
      </c>
      <c r="L192" s="2" t="str">
        <f t="shared" si="12"/>
        <v>Loss Making</v>
      </c>
      <c r="M192" s="2" t="str">
        <f t="shared" si="13"/>
        <v>Stable Earnings</v>
      </c>
      <c r="N192" s="2" t="str">
        <f t="shared" si="14"/>
        <v>Moderate</v>
      </c>
      <c r="O192" s="4" t="str">
        <f t="shared" si="15"/>
        <v>Accounting Risk</v>
      </c>
      <c r="P192" s="4" t="str">
        <f t="shared" si="16"/>
        <v>Moderate</v>
      </c>
      <c r="Q192" s="4" t="str">
        <f t="shared" si="17"/>
        <v>Strong Long-Term Growth</v>
      </c>
    </row>
    <row r="193" spans="1:17" x14ac:dyDescent="0.35">
      <c r="A193" s="2" t="s">
        <v>203</v>
      </c>
      <c r="B193" s="2">
        <v>5</v>
      </c>
      <c r="C193" s="2">
        <v>-5421815545</v>
      </c>
      <c r="D193" s="2">
        <v>0</v>
      </c>
      <c r="E193" s="2">
        <v>8806099721</v>
      </c>
      <c r="F193" s="2">
        <v>20926281061</v>
      </c>
      <c r="G193" s="2">
        <v>5</v>
      </c>
      <c r="H193" s="2">
        <v>5</v>
      </c>
      <c r="I193" s="2">
        <v>1</v>
      </c>
      <c r="J193" s="2">
        <v>4.2</v>
      </c>
      <c r="K193" s="2" t="s">
        <v>12</v>
      </c>
      <c r="L193" s="2" t="str">
        <f t="shared" si="12"/>
        <v>Loss Making</v>
      </c>
      <c r="M193" s="2" t="str">
        <f t="shared" si="13"/>
        <v>Stable Earnings</v>
      </c>
      <c r="N193" s="2" t="str">
        <f t="shared" si="14"/>
        <v>Moderate</v>
      </c>
      <c r="O193" s="4" t="str">
        <f t="shared" si="15"/>
        <v>Accounting Risk</v>
      </c>
      <c r="P193" s="4" t="str">
        <f t="shared" si="16"/>
        <v>Moderate</v>
      </c>
      <c r="Q193" s="4" t="str">
        <f t="shared" si="17"/>
        <v>Weak Growth</v>
      </c>
    </row>
    <row r="194" spans="1:17" x14ac:dyDescent="0.35">
      <c r="A194" s="2" t="s">
        <v>204</v>
      </c>
      <c r="B194" s="2">
        <v>5</v>
      </c>
      <c r="C194" s="2">
        <v>-1452167100</v>
      </c>
      <c r="D194" s="2">
        <v>0</v>
      </c>
      <c r="E194" s="2">
        <v>830824442.39999998</v>
      </c>
      <c r="F194" s="2">
        <v>2255234554</v>
      </c>
      <c r="G194" s="2">
        <v>5</v>
      </c>
      <c r="H194" s="2">
        <v>5</v>
      </c>
      <c r="I194" s="2">
        <v>1</v>
      </c>
      <c r="J194" s="2">
        <v>4.2</v>
      </c>
      <c r="K194" s="2" t="s">
        <v>12</v>
      </c>
      <c r="L194" s="2" t="str">
        <f t="shared" ref="L194:L257" si="18">IF(C194&gt;0,"Profitable","Loss Making")</f>
        <v>Loss Making</v>
      </c>
      <c r="M194" s="2" t="str">
        <f t="shared" ref="M194:M257" si="19">IF(C194&gt;500000000,"High Volatility","Stable Earnings")</f>
        <v>Stable Earnings</v>
      </c>
      <c r="N194" s="2" t="str">
        <f t="shared" ref="N194:N257" si="20">IF(G194&gt;=7,"High Quality",IF(G194&gt;=4,"Moderate","Low Quality"))</f>
        <v>Moderate</v>
      </c>
      <c r="O194" s="4" t="str">
        <f t="shared" ref="O194:O257" si="21">IF(AND(F194&gt;0,D194&gt;0.6),"Operational Growth","Accounting Risk")</f>
        <v>Accounting Risk</v>
      </c>
      <c r="P194" s="4" t="str">
        <f t="shared" ref="P194:P257" si="22">IF(G194&gt;=7,"High Quality", IF(G194&gt;=4,"Moderate","Low Quality"))</f>
        <v>Moderate</v>
      </c>
      <c r="Q194" s="4" t="str">
        <f t="shared" ref="Q194:Q257" si="23">IF(I194&gt;=4,"Strong Long-Term Growth",IF(I194&gt;=2,"Moderate Growth","Weak Growth"))</f>
        <v>Weak Growth</v>
      </c>
    </row>
    <row r="195" spans="1:17" x14ac:dyDescent="0.35">
      <c r="A195" s="2" t="s">
        <v>205</v>
      </c>
      <c r="B195" s="2">
        <v>5</v>
      </c>
      <c r="C195" s="2">
        <v>-835225206.20000005</v>
      </c>
      <c r="D195" s="2">
        <v>0</v>
      </c>
      <c r="E195" s="2">
        <v>636031317.70000005</v>
      </c>
      <c r="F195" s="2">
        <v>1275434938</v>
      </c>
      <c r="G195" s="2">
        <v>5</v>
      </c>
      <c r="H195" s="2">
        <v>5</v>
      </c>
      <c r="I195" s="2">
        <v>1</v>
      </c>
      <c r="J195" s="2">
        <v>4.2</v>
      </c>
      <c r="K195" s="2" t="s">
        <v>12</v>
      </c>
      <c r="L195" s="2" t="str">
        <f t="shared" si="18"/>
        <v>Loss Making</v>
      </c>
      <c r="M195" s="2" t="str">
        <f t="shared" si="19"/>
        <v>Stable Earnings</v>
      </c>
      <c r="N195" s="2" t="str">
        <f t="shared" si="20"/>
        <v>Moderate</v>
      </c>
      <c r="O195" s="4" t="str">
        <f t="shared" si="21"/>
        <v>Accounting Risk</v>
      </c>
      <c r="P195" s="4" t="str">
        <f t="shared" si="22"/>
        <v>Moderate</v>
      </c>
      <c r="Q195" s="4" t="str">
        <f t="shared" si="23"/>
        <v>Weak Growth</v>
      </c>
    </row>
    <row r="196" spans="1:17" x14ac:dyDescent="0.35">
      <c r="A196" s="2" t="s">
        <v>206</v>
      </c>
      <c r="B196" s="2">
        <v>5</v>
      </c>
      <c r="C196" s="2">
        <v>-819065929.5</v>
      </c>
      <c r="D196" s="2">
        <v>0</v>
      </c>
      <c r="E196" s="2">
        <v>537783922.60000002</v>
      </c>
      <c r="F196" s="2">
        <v>406051284.5</v>
      </c>
      <c r="G196" s="2">
        <v>5</v>
      </c>
      <c r="H196" s="2">
        <v>5</v>
      </c>
      <c r="I196" s="2">
        <v>1</v>
      </c>
      <c r="J196" s="2">
        <v>4.2</v>
      </c>
      <c r="K196" s="2" t="s">
        <v>12</v>
      </c>
      <c r="L196" s="2" t="str">
        <f t="shared" si="18"/>
        <v>Loss Making</v>
      </c>
      <c r="M196" s="2" t="str">
        <f t="shared" si="19"/>
        <v>Stable Earnings</v>
      </c>
      <c r="N196" s="2" t="str">
        <f t="shared" si="20"/>
        <v>Moderate</v>
      </c>
      <c r="O196" s="4" t="str">
        <f t="shared" si="21"/>
        <v>Accounting Risk</v>
      </c>
      <c r="P196" s="4" t="str">
        <f t="shared" si="22"/>
        <v>Moderate</v>
      </c>
      <c r="Q196" s="4" t="str">
        <f t="shared" si="23"/>
        <v>Weak Growth</v>
      </c>
    </row>
    <row r="197" spans="1:17" x14ac:dyDescent="0.35">
      <c r="A197" s="2" t="s">
        <v>207</v>
      </c>
      <c r="B197" s="2">
        <v>5</v>
      </c>
      <c r="C197" s="2">
        <v>-323126871</v>
      </c>
      <c r="D197" s="2">
        <v>0</v>
      </c>
      <c r="E197" s="2">
        <v>173222476.80000001</v>
      </c>
      <c r="F197" s="2">
        <v>147165249.30000001</v>
      </c>
      <c r="G197" s="2">
        <v>5</v>
      </c>
      <c r="H197" s="2">
        <v>4</v>
      </c>
      <c r="I197" s="2">
        <v>2</v>
      </c>
      <c r="J197" s="2">
        <v>4.0999999999999996</v>
      </c>
      <c r="K197" s="2" t="s">
        <v>12</v>
      </c>
      <c r="L197" s="2" t="str">
        <f t="shared" si="18"/>
        <v>Loss Making</v>
      </c>
      <c r="M197" s="2" t="str">
        <f t="shared" si="19"/>
        <v>Stable Earnings</v>
      </c>
      <c r="N197" s="2" t="str">
        <f t="shared" si="20"/>
        <v>Moderate</v>
      </c>
      <c r="O197" s="4" t="str">
        <f t="shared" si="21"/>
        <v>Accounting Risk</v>
      </c>
      <c r="P197" s="4" t="str">
        <f t="shared" si="22"/>
        <v>Moderate</v>
      </c>
      <c r="Q197" s="4" t="str">
        <f t="shared" si="23"/>
        <v>Moderate Growth</v>
      </c>
    </row>
    <row r="198" spans="1:17" x14ac:dyDescent="0.35">
      <c r="A198" s="2" t="s">
        <v>208</v>
      </c>
      <c r="B198" s="2">
        <v>5</v>
      </c>
      <c r="C198" s="2">
        <v>-254420090.59999999</v>
      </c>
      <c r="D198" s="2">
        <v>0</v>
      </c>
      <c r="E198" s="2">
        <v>178051818.5</v>
      </c>
      <c r="F198" s="2">
        <v>142392205</v>
      </c>
      <c r="G198" s="2">
        <v>5</v>
      </c>
      <c r="H198" s="2">
        <v>4</v>
      </c>
      <c r="I198" s="2">
        <v>2</v>
      </c>
      <c r="J198" s="2">
        <v>4.0999999999999996</v>
      </c>
      <c r="K198" s="2" t="s">
        <v>12</v>
      </c>
      <c r="L198" s="2" t="str">
        <f t="shared" si="18"/>
        <v>Loss Making</v>
      </c>
      <c r="M198" s="2" t="str">
        <f t="shared" si="19"/>
        <v>Stable Earnings</v>
      </c>
      <c r="N198" s="2" t="str">
        <f t="shared" si="20"/>
        <v>Moderate</v>
      </c>
      <c r="O198" s="4" t="str">
        <f t="shared" si="21"/>
        <v>Accounting Risk</v>
      </c>
      <c r="P198" s="4" t="str">
        <f t="shared" si="22"/>
        <v>Moderate</v>
      </c>
      <c r="Q198" s="4" t="str">
        <f t="shared" si="23"/>
        <v>Moderate Growth</v>
      </c>
    </row>
    <row r="199" spans="1:17" x14ac:dyDescent="0.35">
      <c r="A199" s="2" t="s">
        <v>209</v>
      </c>
      <c r="B199" s="2">
        <v>5</v>
      </c>
      <c r="C199" s="2">
        <v>-358690629</v>
      </c>
      <c r="D199" s="2">
        <v>0</v>
      </c>
      <c r="E199" s="2">
        <v>177016897.40000001</v>
      </c>
      <c r="F199" s="2">
        <v>75733461.599999994</v>
      </c>
      <c r="G199" s="2">
        <v>5</v>
      </c>
      <c r="H199" s="2">
        <v>4</v>
      </c>
      <c r="I199" s="2">
        <v>2</v>
      </c>
      <c r="J199" s="2">
        <v>4.0999999999999996</v>
      </c>
      <c r="K199" s="2" t="s">
        <v>12</v>
      </c>
      <c r="L199" s="2" t="str">
        <f t="shared" si="18"/>
        <v>Loss Making</v>
      </c>
      <c r="M199" s="2" t="str">
        <f t="shared" si="19"/>
        <v>Stable Earnings</v>
      </c>
      <c r="N199" s="2" t="str">
        <f t="shared" si="20"/>
        <v>Moderate</v>
      </c>
      <c r="O199" s="4" t="str">
        <f t="shared" si="21"/>
        <v>Accounting Risk</v>
      </c>
      <c r="P199" s="4" t="str">
        <f t="shared" si="22"/>
        <v>Moderate</v>
      </c>
      <c r="Q199" s="4" t="str">
        <f t="shared" si="23"/>
        <v>Moderate Growth</v>
      </c>
    </row>
    <row r="200" spans="1:17" x14ac:dyDescent="0.35">
      <c r="A200" s="2" t="s">
        <v>210</v>
      </c>
      <c r="B200" s="2">
        <v>5</v>
      </c>
      <c r="C200" s="2">
        <v>-420937176.5</v>
      </c>
      <c r="D200" s="2">
        <v>0.2</v>
      </c>
      <c r="E200" s="2">
        <v>472829879.80000001</v>
      </c>
      <c r="F200" s="2">
        <v>17949361</v>
      </c>
      <c r="G200" s="2">
        <v>4</v>
      </c>
      <c r="H200" s="2">
        <v>5</v>
      </c>
      <c r="I200" s="2">
        <v>3</v>
      </c>
      <c r="J200" s="2">
        <v>4.0999999999999996</v>
      </c>
      <c r="K200" s="2" t="s">
        <v>12</v>
      </c>
      <c r="L200" s="2" t="str">
        <f t="shared" si="18"/>
        <v>Loss Making</v>
      </c>
      <c r="M200" s="2" t="str">
        <f t="shared" si="19"/>
        <v>Stable Earnings</v>
      </c>
      <c r="N200" s="2" t="str">
        <f t="shared" si="20"/>
        <v>Moderate</v>
      </c>
      <c r="O200" s="4" t="str">
        <f t="shared" si="21"/>
        <v>Accounting Risk</v>
      </c>
      <c r="P200" s="4" t="str">
        <f t="shared" si="22"/>
        <v>Moderate</v>
      </c>
      <c r="Q200" s="4" t="str">
        <f t="shared" si="23"/>
        <v>Moderate Growth</v>
      </c>
    </row>
    <row r="201" spans="1:17" x14ac:dyDescent="0.35">
      <c r="A201" s="2" t="s">
        <v>211</v>
      </c>
      <c r="B201" s="2">
        <v>5</v>
      </c>
      <c r="C201" s="2">
        <v>-66957671.5</v>
      </c>
      <c r="D201" s="2">
        <v>0</v>
      </c>
      <c r="E201" s="2">
        <v>43723876.450000003</v>
      </c>
      <c r="F201" s="2">
        <v>-109198813.3</v>
      </c>
      <c r="G201" s="2">
        <v>5</v>
      </c>
      <c r="H201" s="2">
        <v>2</v>
      </c>
      <c r="I201" s="2">
        <v>5</v>
      </c>
      <c r="J201" s="2">
        <v>4.0999999999999996</v>
      </c>
      <c r="K201" s="2" t="s">
        <v>12</v>
      </c>
      <c r="L201" s="2" t="str">
        <f t="shared" si="18"/>
        <v>Loss Making</v>
      </c>
      <c r="M201" s="2" t="str">
        <f t="shared" si="19"/>
        <v>Stable Earnings</v>
      </c>
      <c r="N201" s="2" t="str">
        <f t="shared" si="20"/>
        <v>Moderate</v>
      </c>
      <c r="O201" s="4" t="str">
        <f t="shared" si="21"/>
        <v>Accounting Risk</v>
      </c>
      <c r="P201" s="4" t="str">
        <f t="shared" si="22"/>
        <v>Moderate</v>
      </c>
      <c r="Q201" s="4" t="str">
        <f t="shared" si="23"/>
        <v>Strong Long-Term Growth</v>
      </c>
    </row>
    <row r="202" spans="1:17" x14ac:dyDescent="0.35">
      <c r="A202" s="2" t="s">
        <v>212</v>
      </c>
      <c r="B202" s="2">
        <v>5</v>
      </c>
      <c r="C202" s="2">
        <v>-79394962.359999999</v>
      </c>
      <c r="D202" s="2">
        <v>0</v>
      </c>
      <c r="E202" s="2">
        <v>44075061.5</v>
      </c>
      <c r="F202" s="2">
        <v>-99905830.599999994</v>
      </c>
      <c r="G202" s="2">
        <v>5</v>
      </c>
      <c r="H202" s="2">
        <v>2</v>
      </c>
      <c r="I202" s="2">
        <v>5</v>
      </c>
      <c r="J202" s="2">
        <v>4.0999999999999996</v>
      </c>
      <c r="K202" s="2" t="s">
        <v>12</v>
      </c>
      <c r="L202" s="2" t="str">
        <f t="shared" si="18"/>
        <v>Loss Making</v>
      </c>
      <c r="M202" s="2" t="str">
        <f t="shared" si="19"/>
        <v>Stable Earnings</v>
      </c>
      <c r="N202" s="2" t="str">
        <f t="shared" si="20"/>
        <v>Moderate</v>
      </c>
      <c r="O202" s="4" t="str">
        <f t="shared" si="21"/>
        <v>Accounting Risk</v>
      </c>
      <c r="P202" s="4" t="str">
        <f t="shared" si="22"/>
        <v>Moderate</v>
      </c>
      <c r="Q202" s="4" t="str">
        <f t="shared" si="23"/>
        <v>Strong Long-Term Growth</v>
      </c>
    </row>
    <row r="203" spans="1:17" x14ac:dyDescent="0.35">
      <c r="A203" s="2" t="s">
        <v>213</v>
      </c>
      <c r="B203" s="2">
        <v>5</v>
      </c>
      <c r="C203" s="2">
        <v>-113691010.09999999</v>
      </c>
      <c r="D203" s="2">
        <v>0</v>
      </c>
      <c r="E203" s="2">
        <v>39843616.520000003</v>
      </c>
      <c r="F203" s="2">
        <v>-100618635.7</v>
      </c>
      <c r="G203" s="2">
        <v>5</v>
      </c>
      <c r="H203" s="2">
        <v>2</v>
      </c>
      <c r="I203" s="2">
        <v>5</v>
      </c>
      <c r="J203" s="2">
        <v>4.0999999999999996</v>
      </c>
      <c r="K203" s="2" t="s">
        <v>12</v>
      </c>
      <c r="L203" s="2" t="str">
        <f t="shared" si="18"/>
        <v>Loss Making</v>
      </c>
      <c r="M203" s="2" t="str">
        <f t="shared" si="19"/>
        <v>Stable Earnings</v>
      </c>
      <c r="N203" s="2" t="str">
        <f t="shared" si="20"/>
        <v>Moderate</v>
      </c>
      <c r="O203" s="4" t="str">
        <f t="shared" si="21"/>
        <v>Accounting Risk</v>
      </c>
      <c r="P203" s="4" t="str">
        <f t="shared" si="22"/>
        <v>Moderate</v>
      </c>
      <c r="Q203" s="4" t="str">
        <f t="shared" si="23"/>
        <v>Strong Long-Term Growth</v>
      </c>
    </row>
    <row r="204" spans="1:17" x14ac:dyDescent="0.35">
      <c r="A204" s="2" t="s">
        <v>214</v>
      </c>
      <c r="B204" s="2">
        <v>5</v>
      </c>
      <c r="C204" s="2">
        <v>-97841469.420000002</v>
      </c>
      <c r="D204" s="2">
        <v>0</v>
      </c>
      <c r="E204" s="2">
        <v>38175441.020000003</v>
      </c>
      <c r="F204" s="2">
        <v>-102204249.8</v>
      </c>
      <c r="G204" s="2">
        <v>5</v>
      </c>
      <c r="H204" s="2">
        <v>2</v>
      </c>
      <c r="I204" s="2">
        <v>5</v>
      </c>
      <c r="J204" s="2">
        <v>4.0999999999999996</v>
      </c>
      <c r="K204" s="2" t="s">
        <v>12</v>
      </c>
      <c r="L204" s="2" t="str">
        <f t="shared" si="18"/>
        <v>Loss Making</v>
      </c>
      <c r="M204" s="2" t="str">
        <f t="shared" si="19"/>
        <v>Stable Earnings</v>
      </c>
      <c r="N204" s="2" t="str">
        <f t="shared" si="20"/>
        <v>Moderate</v>
      </c>
      <c r="O204" s="4" t="str">
        <f t="shared" si="21"/>
        <v>Accounting Risk</v>
      </c>
      <c r="P204" s="4" t="str">
        <f t="shared" si="22"/>
        <v>Moderate</v>
      </c>
      <c r="Q204" s="4" t="str">
        <f t="shared" si="23"/>
        <v>Strong Long-Term Growth</v>
      </c>
    </row>
    <row r="205" spans="1:17" x14ac:dyDescent="0.35">
      <c r="A205" s="2" t="s">
        <v>215</v>
      </c>
      <c r="B205" s="2">
        <v>5</v>
      </c>
      <c r="C205" s="2">
        <v>-96530102.879999995</v>
      </c>
      <c r="D205" s="2">
        <v>0</v>
      </c>
      <c r="E205" s="2">
        <v>38891908.390000001</v>
      </c>
      <c r="F205" s="2">
        <v>-102707440.59999999</v>
      </c>
      <c r="G205" s="2">
        <v>5</v>
      </c>
      <c r="H205" s="2">
        <v>2</v>
      </c>
      <c r="I205" s="2">
        <v>5</v>
      </c>
      <c r="J205" s="2">
        <v>4.0999999999999996</v>
      </c>
      <c r="K205" s="2" t="s">
        <v>12</v>
      </c>
      <c r="L205" s="2" t="str">
        <f t="shared" si="18"/>
        <v>Loss Making</v>
      </c>
      <c r="M205" s="2" t="str">
        <f t="shared" si="19"/>
        <v>Stable Earnings</v>
      </c>
      <c r="N205" s="2" t="str">
        <f t="shared" si="20"/>
        <v>Moderate</v>
      </c>
      <c r="O205" s="4" t="str">
        <f t="shared" si="21"/>
        <v>Accounting Risk</v>
      </c>
      <c r="P205" s="4" t="str">
        <f t="shared" si="22"/>
        <v>Moderate</v>
      </c>
      <c r="Q205" s="4" t="str">
        <f t="shared" si="23"/>
        <v>Strong Long-Term Growth</v>
      </c>
    </row>
    <row r="206" spans="1:17" x14ac:dyDescent="0.35">
      <c r="A206" s="2" t="s">
        <v>216</v>
      </c>
      <c r="B206" s="2">
        <v>5</v>
      </c>
      <c r="C206" s="2">
        <v>-105920876.2</v>
      </c>
      <c r="D206" s="2">
        <v>0</v>
      </c>
      <c r="E206" s="2">
        <v>40683802.359999999</v>
      </c>
      <c r="F206" s="2">
        <v>-102959370.5</v>
      </c>
      <c r="G206" s="2">
        <v>5</v>
      </c>
      <c r="H206" s="2">
        <v>2</v>
      </c>
      <c r="I206" s="2">
        <v>5</v>
      </c>
      <c r="J206" s="2">
        <v>4.0999999999999996</v>
      </c>
      <c r="K206" s="2" t="s">
        <v>12</v>
      </c>
      <c r="L206" s="2" t="str">
        <f t="shared" si="18"/>
        <v>Loss Making</v>
      </c>
      <c r="M206" s="2" t="str">
        <f t="shared" si="19"/>
        <v>Stable Earnings</v>
      </c>
      <c r="N206" s="2" t="str">
        <f t="shared" si="20"/>
        <v>Moderate</v>
      </c>
      <c r="O206" s="4" t="str">
        <f t="shared" si="21"/>
        <v>Accounting Risk</v>
      </c>
      <c r="P206" s="4" t="str">
        <f t="shared" si="22"/>
        <v>Moderate</v>
      </c>
      <c r="Q206" s="4" t="str">
        <f t="shared" si="23"/>
        <v>Strong Long-Term Growth</v>
      </c>
    </row>
    <row r="207" spans="1:17" x14ac:dyDescent="0.35">
      <c r="A207" s="2" t="s">
        <v>217</v>
      </c>
      <c r="B207" s="2">
        <v>5</v>
      </c>
      <c r="C207" s="2">
        <v>-43905340.079999998</v>
      </c>
      <c r="D207" s="2">
        <v>0</v>
      </c>
      <c r="E207" s="2">
        <v>42690457.030000001</v>
      </c>
      <c r="F207" s="2">
        <v>-97313170.099999994</v>
      </c>
      <c r="G207" s="2">
        <v>5</v>
      </c>
      <c r="H207" s="2">
        <v>2</v>
      </c>
      <c r="I207" s="2">
        <v>5</v>
      </c>
      <c r="J207" s="2">
        <v>4.0999999999999996</v>
      </c>
      <c r="K207" s="2" t="s">
        <v>12</v>
      </c>
      <c r="L207" s="2" t="str">
        <f t="shared" si="18"/>
        <v>Loss Making</v>
      </c>
      <c r="M207" s="2" t="str">
        <f t="shared" si="19"/>
        <v>Stable Earnings</v>
      </c>
      <c r="N207" s="2" t="str">
        <f t="shared" si="20"/>
        <v>Moderate</v>
      </c>
      <c r="O207" s="4" t="str">
        <f t="shared" si="21"/>
        <v>Accounting Risk</v>
      </c>
      <c r="P207" s="4" t="str">
        <f t="shared" si="22"/>
        <v>Moderate</v>
      </c>
      <c r="Q207" s="4" t="str">
        <f t="shared" si="23"/>
        <v>Strong Long-Term Growth</v>
      </c>
    </row>
    <row r="208" spans="1:17" x14ac:dyDescent="0.35">
      <c r="A208" s="2" t="s">
        <v>218</v>
      </c>
      <c r="B208" s="2">
        <v>5</v>
      </c>
      <c r="C208" s="2">
        <v>-72442541.519999996</v>
      </c>
      <c r="D208" s="2">
        <v>0</v>
      </c>
      <c r="E208" s="2">
        <v>36078951.960000001</v>
      </c>
      <c r="F208" s="2">
        <v>-95805518.900000006</v>
      </c>
      <c r="G208" s="2">
        <v>5</v>
      </c>
      <c r="H208" s="2">
        <v>2</v>
      </c>
      <c r="I208" s="2">
        <v>5</v>
      </c>
      <c r="J208" s="2">
        <v>4.0999999999999996</v>
      </c>
      <c r="K208" s="2" t="s">
        <v>12</v>
      </c>
      <c r="L208" s="2" t="str">
        <f t="shared" si="18"/>
        <v>Loss Making</v>
      </c>
      <c r="M208" s="2" t="str">
        <f t="shared" si="19"/>
        <v>Stable Earnings</v>
      </c>
      <c r="N208" s="2" t="str">
        <f t="shared" si="20"/>
        <v>Moderate</v>
      </c>
      <c r="O208" s="4" t="str">
        <f t="shared" si="21"/>
        <v>Accounting Risk</v>
      </c>
      <c r="P208" s="4" t="str">
        <f t="shared" si="22"/>
        <v>Moderate</v>
      </c>
      <c r="Q208" s="4" t="str">
        <f t="shared" si="23"/>
        <v>Strong Long-Term Growth</v>
      </c>
    </row>
    <row r="209" spans="1:17" x14ac:dyDescent="0.35">
      <c r="A209" s="2" t="s">
        <v>219</v>
      </c>
      <c r="B209" s="2">
        <v>5</v>
      </c>
      <c r="C209" s="2">
        <v>-86080075.180000007</v>
      </c>
      <c r="D209" s="2">
        <v>0</v>
      </c>
      <c r="E209" s="2">
        <v>39784666.770000003</v>
      </c>
      <c r="F209" s="2">
        <v>-95909937.700000003</v>
      </c>
      <c r="G209" s="2">
        <v>5</v>
      </c>
      <c r="H209" s="2">
        <v>2</v>
      </c>
      <c r="I209" s="2">
        <v>5</v>
      </c>
      <c r="J209" s="2">
        <v>4.0999999999999996</v>
      </c>
      <c r="K209" s="2" t="s">
        <v>12</v>
      </c>
      <c r="L209" s="2" t="str">
        <f t="shared" si="18"/>
        <v>Loss Making</v>
      </c>
      <c r="M209" s="2" t="str">
        <f t="shared" si="19"/>
        <v>Stable Earnings</v>
      </c>
      <c r="N209" s="2" t="str">
        <f t="shared" si="20"/>
        <v>Moderate</v>
      </c>
      <c r="O209" s="4" t="str">
        <f t="shared" si="21"/>
        <v>Accounting Risk</v>
      </c>
      <c r="P209" s="4" t="str">
        <f t="shared" si="22"/>
        <v>Moderate</v>
      </c>
      <c r="Q209" s="4" t="str">
        <f t="shared" si="23"/>
        <v>Strong Long-Term Growth</v>
      </c>
    </row>
    <row r="210" spans="1:17" x14ac:dyDescent="0.35">
      <c r="A210" s="2" t="s">
        <v>220</v>
      </c>
      <c r="B210" s="2">
        <v>5</v>
      </c>
      <c r="C210" s="2">
        <v>-115211545.8</v>
      </c>
      <c r="D210" s="2">
        <v>0</v>
      </c>
      <c r="E210" s="2">
        <v>38991545.950000003</v>
      </c>
      <c r="F210" s="2">
        <v>-97422158.200000003</v>
      </c>
      <c r="G210" s="2">
        <v>5</v>
      </c>
      <c r="H210" s="2">
        <v>2</v>
      </c>
      <c r="I210" s="2">
        <v>5</v>
      </c>
      <c r="J210" s="2">
        <v>4.0999999999999996</v>
      </c>
      <c r="K210" s="2" t="s">
        <v>12</v>
      </c>
      <c r="L210" s="2" t="str">
        <f t="shared" si="18"/>
        <v>Loss Making</v>
      </c>
      <c r="M210" s="2" t="str">
        <f t="shared" si="19"/>
        <v>Stable Earnings</v>
      </c>
      <c r="N210" s="2" t="str">
        <f t="shared" si="20"/>
        <v>Moderate</v>
      </c>
      <c r="O210" s="4" t="str">
        <f t="shared" si="21"/>
        <v>Accounting Risk</v>
      </c>
      <c r="P210" s="4" t="str">
        <f t="shared" si="22"/>
        <v>Moderate</v>
      </c>
      <c r="Q210" s="4" t="str">
        <f t="shared" si="23"/>
        <v>Strong Long-Term Growth</v>
      </c>
    </row>
    <row r="211" spans="1:17" x14ac:dyDescent="0.35">
      <c r="A211" s="2" t="s">
        <v>221</v>
      </c>
      <c r="B211" s="2">
        <v>5</v>
      </c>
      <c r="C211" s="2">
        <v>-86501295.620000005</v>
      </c>
      <c r="D211" s="2">
        <v>0</v>
      </c>
      <c r="E211" s="2">
        <v>38394524.43</v>
      </c>
      <c r="F211" s="2">
        <v>-97662850</v>
      </c>
      <c r="G211" s="2">
        <v>5</v>
      </c>
      <c r="H211" s="2">
        <v>2</v>
      </c>
      <c r="I211" s="2">
        <v>5</v>
      </c>
      <c r="J211" s="2">
        <v>4.0999999999999996</v>
      </c>
      <c r="K211" s="2" t="s">
        <v>12</v>
      </c>
      <c r="L211" s="2" t="str">
        <f t="shared" si="18"/>
        <v>Loss Making</v>
      </c>
      <c r="M211" s="2" t="str">
        <f t="shared" si="19"/>
        <v>Stable Earnings</v>
      </c>
      <c r="N211" s="2" t="str">
        <f t="shared" si="20"/>
        <v>Moderate</v>
      </c>
      <c r="O211" s="4" t="str">
        <f t="shared" si="21"/>
        <v>Accounting Risk</v>
      </c>
      <c r="P211" s="4" t="str">
        <f t="shared" si="22"/>
        <v>Moderate</v>
      </c>
      <c r="Q211" s="4" t="str">
        <f t="shared" si="23"/>
        <v>Strong Long-Term Growth</v>
      </c>
    </row>
    <row r="212" spans="1:17" x14ac:dyDescent="0.35">
      <c r="A212" s="2" t="s">
        <v>222</v>
      </c>
      <c r="B212" s="2">
        <v>5</v>
      </c>
      <c r="C212" s="2">
        <v>-129611960.5</v>
      </c>
      <c r="D212" s="2">
        <v>0</v>
      </c>
      <c r="E212" s="2">
        <v>38787989.189999998</v>
      </c>
      <c r="F212" s="2">
        <v>-99099585.900000006</v>
      </c>
      <c r="G212" s="2">
        <v>5</v>
      </c>
      <c r="H212" s="2">
        <v>2</v>
      </c>
      <c r="I212" s="2">
        <v>5</v>
      </c>
      <c r="J212" s="2">
        <v>4.0999999999999996</v>
      </c>
      <c r="K212" s="2" t="s">
        <v>12</v>
      </c>
      <c r="L212" s="2" t="str">
        <f t="shared" si="18"/>
        <v>Loss Making</v>
      </c>
      <c r="M212" s="2" t="str">
        <f t="shared" si="19"/>
        <v>Stable Earnings</v>
      </c>
      <c r="N212" s="2" t="str">
        <f t="shared" si="20"/>
        <v>Moderate</v>
      </c>
      <c r="O212" s="4" t="str">
        <f t="shared" si="21"/>
        <v>Accounting Risk</v>
      </c>
      <c r="P212" s="4" t="str">
        <f t="shared" si="22"/>
        <v>Moderate</v>
      </c>
      <c r="Q212" s="4" t="str">
        <f t="shared" si="23"/>
        <v>Strong Long-Term Growth</v>
      </c>
    </row>
    <row r="213" spans="1:17" x14ac:dyDescent="0.35">
      <c r="A213" s="2" t="s">
        <v>223</v>
      </c>
      <c r="B213" s="2">
        <v>5</v>
      </c>
      <c r="C213" s="2">
        <v>-91087021.159999996</v>
      </c>
      <c r="D213" s="2">
        <v>0</v>
      </c>
      <c r="E213" s="2">
        <v>28848415.870000001</v>
      </c>
      <c r="F213" s="2">
        <v>-78759184.099999994</v>
      </c>
      <c r="G213" s="2">
        <v>5</v>
      </c>
      <c r="H213" s="2">
        <v>2</v>
      </c>
      <c r="I213" s="2">
        <v>5</v>
      </c>
      <c r="J213" s="2">
        <v>4.0999999999999996</v>
      </c>
      <c r="K213" s="2" t="s">
        <v>12</v>
      </c>
      <c r="L213" s="2" t="str">
        <f t="shared" si="18"/>
        <v>Loss Making</v>
      </c>
      <c r="M213" s="2" t="str">
        <f t="shared" si="19"/>
        <v>Stable Earnings</v>
      </c>
      <c r="N213" s="2" t="str">
        <f t="shared" si="20"/>
        <v>Moderate</v>
      </c>
      <c r="O213" s="4" t="str">
        <f t="shared" si="21"/>
        <v>Accounting Risk</v>
      </c>
      <c r="P213" s="4" t="str">
        <f t="shared" si="22"/>
        <v>Moderate</v>
      </c>
      <c r="Q213" s="4" t="str">
        <f t="shared" si="23"/>
        <v>Strong Long-Term Growth</v>
      </c>
    </row>
    <row r="214" spans="1:17" x14ac:dyDescent="0.35">
      <c r="A214" s="2" t="s">
        <v>224</v>
      </c>
      <c r="B214" s="2">
        <v>5</v>
      </c>
      <c r="C214" s="2">
        <v>-36861287.359999999</v>
      </c>
      <c r="D214" s="2">
        <v>0</v>
      </c>
      <c r="E214" s="2">
        <v>31283169.879999999</v>
      </c>
      <c r="F214" s="2">
        <v>-79238557.099999994</v>
      </c>
      <c r="G214" s="2">
        <v>5</v>
      </c>
      <c r="H214" s="2">
        <v>2</v>
      </c>
      <c r="I214" s="2">
        <v>5</v>
      </c>
      <c r="J214" s="2">
        <v>4.0999999999999996</v>
      </c>
      <c r="K214" s="2" t="s">
        <v>12</v>
      </c>
      <c r="L214" s="2" t="str">
        <f t="shared" si="18"/>
        <v>Loss Making</v>
      </c>
      <c r="M214" s="2" t="str">
        <f t="shared" si="19"/>
        <v>Stable Earnings</v>
      </c>
      <c r="N214" s="2" t="str">
        <f t="shared" si="20"/>
        <v>Moderate</v>
      </c>
      <c r="O214" s="4" t="str">
        <f t="shared" si="21"/>
        <v>Accounting Risk</v>
      </c>
      <c r="P214" s="4" t="str">
        <f t="shared" si="22"/>
        <v>Moderate</v>
      </c>
      <c r="Q214" s="4" t="str">
        <f t="shared" si="23"/>
        <v>Strong Long-Term Growth</v>
      </c>
    </row>
    <row r="215" spans="1:17" x14ac:dyDescent="0.35">
      <c r="A215" s="2" t="s">
        <v>225</v>
      </c>
      <c r="B215" s="2">
        <v>5</v>
      </c>
      <c r="C215" s="2">
        <v>-88141538.819999993</v>
      </c>
      <c r="D215" s="2">
        <v>0</v>
      </c>
      <c r="E215" s="2">
        <v>35557916.590000004</v>
      </c>
      <c r="F215" s="2">
        <v>-81987866.099999994</v>
      </c>
      <c r="G215" s="2">
        <v>5</v>
      </c>
      <c r="H215" s="2">
        <v>2</v>
      </c>
      <c r="I215" s="2">
        <v>5</v>
      </c>
      <c r="J215" s="2">
        <v>4.0999999999999996</v>
      </c>
      <c r="K215" s="2" t="s">
        <v>12</v>
      </c>
      <c r="L215" s="2" t="str">
        <f t="shared" si="18"/>
        <v>Loss Making</v>
      </c>
      <c r="M215" s="2" t="str">
        <f t="shared" si="19"/>
        <v>Stable Earnings</v>
      </c>
      <c r="N215" s="2" t="str">
        <f t="shared" si="20"/>
        <v>Moderate</v>
      </c>
      <c r="O215" s="4" t="str">
        <f t="shared" si="21"/>
        <v>Accounting Risk</v>
      </c>
      <c r="P215" s="4" t="str">
        <f t="shared" si="22"/>
        <v>Moderate</v>
      </c>
      <c r="Q215" s="4" t="str">
        <f t="shared" si="23"/>
        <v>Strong Long-Term Growth</v>
      </c>
    </row>
    <row r="216" spans="1:17" x14ac:dyDescent="0.35">
      <c r="A216" s="2" t="s">
        <v>226</v>
      </c>
      <c r="B216" s="2">
        <v>5</v>
      </c>
      <c r="C216" s="2">
        <v>-69289956.439999998</v>
      </c>
      <c r="D216" s="2">
        <v>0</v>
      </c>
      <c r="E216" s="2">
        <v>39570162.859999999</v>
      </c>
      <c r="F216" s="2">
        <v>-80474297.900000006</v>
      </c>
      <c r="G216" s="2">
        <v>5</v>
      </c>
      <c r="H216" s="2">
        <v>2</v>
      </c>
      <c r="I216" s="2">
        <v>5</v>
      </c>
      <c r="J216" s="2">
        <v>4.0999999999999996</v>
      </c>
      <c r="K216" s="2" t="s">
        <v>12</v>
      </c>
      <c r="L216" s="2" t="str">
        <f t="shared" si="18"/>
        <v>Loss Making</v>
      </c>
      <c r="M216" s="2" t="str">
        <f t="shared" si="19"/>
        <v>Stable Earnings</v>
      </c>
      <c r="N216" s="2" t="str">
        <f t="shared" si="20"/>
        <v>Moderate</v>
      </c>
      <c r="O216" s="4" t="str">
        <f t="shared" si="21"/>
        <v>Accounting Risk</v>
      </c>
      <c r="P216" s="4" t="str">
        <f t="shared" si="22"/>
        <v>Moderate</v>
      </c>
      <c r="Q216" s="4" t="str">
        <f t="shared" si="23"/>
        <v>Strong Long-Term Growth</v>
      </c>
    </row>
    <row r="217" spans="1:17" x14ac:dyDescent="0.35">
      <c r="A217" s="2" t="s">
        <v>227</v>
      </c>
      <c r="B217" s="2">
        <v>5</v>
      </c>
      <c r="C217" s="2">
        <v>-156595409.40000001</v>
      </c>
      <c r="D217" s="2">
        <v>0</v>
      </c>
      <c r="E217" s="2">
        <v>33512215.949999999</v>
      </c>
      <c r="F217" s="2">
        <v>-84400228</v>
      </c>
      <c r="G217" s="2">
        <v>5</v>
      </c>
      <c r="H217" s="2">
        <v>2</v>
      </c>
      <c r="I217" s="2">
        <v>5</v>
      </c>
      <c r="J217" s="2">
        <v>4.0999999999999996</v>
      </c>
      <c r="K217" s="2" t="s">
        <v>12</v>
      </c>
      <c r="L217" s="2" t="str">
        <f t="shared" si="18"/>
        <v>Loss Making</v>
      </c>
      <c r="M217" s="2" t="str">
        <f t="shared" si="19"/>
        <v>Stable Earnings</v>
      </c>
      <c r="N217" s="2" t="str">
        <f t="shared" si="20"/>
        <v>Moderate</v>
      </c>
      <c r="O217" s="4" t="str">
        <f t="shared" si="21"/>
        <v>Accounting Risk</v>
      </c>
      <c r="P217" s="4" t="str">
        <f t="shared" si="22"/>
        <v>Moderate</v>
      </c>
      <c r="Q217" s="4" t="str">
        <f t="shared" si="23"/>
        <v>Strong Long-Term Growth</v>
      </c>
    </row>
    <row r="218" spans="1:17" x14ac:dyDescent="0.35">
      <c r="A218" s="2" t="s">
        <v>228</v>
      </c>
      <c r="B218" s="2">
        <v>5</v>
      </c>
      <c r="C218" s="2">
        <v>-74471907.840000004</v>
      </c>
      <c r="D218" s="2">
        <v>0</v>
      </c>
      <c r="E218" s="2">
        <v>43469347.18</v>
      </c>
      <c r="F218" s="2">
        <v>-83795008</v>
      </c>
      <c r="G218" s="2">
        <v>5</v>
      </c>
      <c r="H218" s="2">
        <v>2</v>
      </c>
      <c r="I218" s="2">
        <v>5</v>
      </c>
      <c r="J218" s="2">
        <v>4.0999999999999996</v>
      </c>
      <c r="K218" s="2" t="s">
        <v>12</v>
      </c>
      <c r="L218" s="2" t="str">
        <f t="shared" si="18"/>
        <v>Loss Making</v>
      </c>
      <c r="M218" s="2" t="str">
        <f t="shared" si="19"/>
        <v>Stable Earnings</v>
      </c>
      <c r="N218" s="2" t="str">
        <f t="shared" si="20"/>
        <v>Moderate</v>
      </c>
      <c r="O218" s="4" t="str">
        <f t="shared" si="21"/>
        <v>Accounting Risk</v>
      </c>
      <c r="P218" s="4" t="str">
        <f t="shared" si="22"/>
        <v>Moderate</v>
      </c>
      <c r="Q218" s="4" t="str">
        <f t="shared" si="23"/>
        <v>Strong Long-Term Growth</v>
      </c>
    </row>
    <row r="219" spans="1:17" x14ac:dyDescent="0.35">
      <c r="A219" s="2" t="s">
        <v>229</v>
      </c>
      <c r="B219" s="2">
        <v>5</v>
      </c>
      <c r="C219" s="2">
        <v>-86766530.280000001</v>
      </c>
      <c r="D219" s="2">
        <v>0</v>
      </c>
      <c r="E219" s="2">
        <v>38995950.960000001</v>
      </c>
      <c r="F219" s="2">
        <v>-91631263.599999994</v>
      </c>
      <c r="G219" s="2">
        <v>5</v>
      </c>
      <c r="H219" s="2">
        <v>2</v>
      </c>
      <c r="I219" s="2">
        <v>5</v>
      </c>
      <c r="J219" s="2">
        <v>4.0999999999999996</v>
      </c>
      <c r="K219" s="2" t="s">
        <v>12</v>
      </c>
      <c r="L219" s="2" t="str">
        <f t="shared" si="18"/>
        <v>Loss Making</v>
      </c>
      <c r="M219" s="2" t="str">
        <f t="shared" si="19"/>
        <v>Stable Earnings</v>
      </c>
      <c r="N219" s="2" t="str">
        <f t="shared" si="20"/>
        <v>Moderate</v>
      </c>
      <c r="O219" s="4" t="str">
        <f t="shared" si="21"/>
        <v>Accounting Risk</v>
      </c>
      <c r="P219" s="4" t="str">
        <f t="shared" si="22"/>
        <v>Moderate</v>
      </c>
      <c r="Q219" s="4" t="str">
        <f t="shared" si="23"/>
        <v>Strong Long-Term Growth</v>
      </c>
    </row>
    <row r="220" spans="1:17" x14ac:dyDescent="0.35">
      <c r="A220" s="2" t="s">
        <v>230</v>
      </c>
      <c r="B220" s="2">
        <v>5</v>
      </c>
      <c r="C220" s="2">
        <v>-71501071.859999999</v>
      </c>
      <c r="D220" s="2">
        <v>0</v>
      </c>
      <c r="E220" s="2">
        <v>39436289.659999996</v>
      </c>
      <c r="F220" s="2">
        <v>-87300943.400000006</v>
      </c>
      <c r="G220" s="2">
        <v>5</v>
      </c>
      <c r="H220" s="2">
        <v>2</v>
      </c>
      <c r="I220" s="2">
        <v>5</v>
      </c>
      <c r="J220" s="2">
        <v>4.0999999999999996</v>
      </c>
      <c r="K220" s="2" t="s">
        <v>12</v>
      </c>
      <c r="L220" s="2" t="str">
        <f t="shared" si="18"/>
        <v>Loss Making</v>
      </c>
      <c r="M220" s="2" t="str">
        <f t="shared" si="19"/>
        <v>Stable Earnings</v>
      </c>
      <c r="N220" s="2" t="str">
        <f t="shared" si="20"/>
        <v>Moderate</v>
      </c>
      <c r="O220" s="4" t="str">
        <f t="shared" si="21"/>
        <v>Accounting Risk</v>
      </c>
      <c r="P220" s="4" t="str">
        <f t="shared" si="22"/>
        <v>Moderate</v>
      </c>
      <c r="Q220" s="4" t="str">
        <f t="shared" si="23"/>
        <v>Strong Long-Term Growth</v>
      </c>
    </row>
    <row r="221" spans="1:17" x14ac:dyDescent="0.35">
      <c r="A221" s="2" t="s">
        <v>231</v>
      </c>
      <c r="B221" s="2">
        <v>5</v>
      </c>
      <c r="C221" s="2">
        <v>-85775793.159999996</v>
      </c>
      <c r="D221" s="2">
        <v>0</v>
      </c>
      <c r="E221" s="2">
        <v>40192838.710000001</v>
      </c>
      <c r="F221" s="2">
        <v>-89855096.799999997</v>
      </c>
      <c r="G221" s="2">
        <v>5</v>
      </c>
      <c r="H221" s="2">
        <v>2</v>
      </c>
      <c r="I221" s="2">
        <v>5</v>
      </c>
      <c r="J221" s="2">
        <v>4.0999999999999996</v>
      </c>
      <c r="K221" s="2" t="s">
        <v>12</v>
      </c>
      <c r="L221" s="2" t="str">
        <f t="shared" si="18"/>
        <v>Loss Making</v>
      </c>
      <c r="M221" s="2" t="str">
        <f t="shared" si="19"/>
        <v>Stable Earnings</v>
      </c>
      <c r="N221" s="2" t="str">
        <f t="shared" si="20"/>
        <v>Moderate</v>
      </c>
      <c r="O221" s="4" t="str">
        <f t="shared" si="21"/>
        <v>Accounting Risk</v>
      </c>
      <c r="P221" s="4" t="str">
        <f t="shared" si="22"/>
        <v>Moderate</v>
      </c>
      <c r="Q221" s="4" t="str">
        <f t="shared" si="23"/>
        <v>Strong Long-Term Growth</v>
      </c>
    </row>
    <row r="222" spans="1:17" x14ac:dyDescent="0.35">
      <c r="A222" s="2" t="s">
        <v>232</v>
      </c>
      <c r="B222" s="2">
        <v>5</v>
      </c>
      <c r="C222" s="2">
        <v>-39087497.600000001</v>
      </c>
      <c r="D222" s="2">
        <v>0</v>
      </c>
      <c r="E222" s="2">
        <v>37317869.020000003</v>
      </c>
      <c r="F222" s="2">
        <v>-92799560.900000006</v>
      </c>
      <c r="G222" s="2">
        <v>5</v>
      </c>
      <c r="H222" s="2">
        <v>2</v>
      </c>
      <c r="I222" s="2">
        <v>5</v>
      </c>
      <c r="J222" s="2">
        <v>4.0999999999999996</v>
      </c>
      <c r="K222" s="2" t="s">
        <v>12</v>
      </c>
      <c r="L222" s="2" t="str">
        <f t="shared" si="18"/>
        <v>Loss Making</v>
      </c>
      <c r="M222" s="2" t="str">
        <f t="shared" si="19"/>
        <v>Stable Earnings</v>
      </c>
      <c r="N222" s="2" t="str">
        <f t="shared" si="20"/>
        <v>Moderate</v>
      </c>
      <c r="O222" s="4" t="str">
        <f t="shared" si="21"/>
        <v>Accounting Risk</v>
      </c>
      <c r="P222" s="4" t="str">
        <f t="shared" si="22"/>
        <v>Moderate</v>
      </c>
      <c r="Q222" s="4" t="str">
        <f t="shared" si="23"/>
        <v>Strong Long-Term Growth</v>
      </c>
    </row>
    <row r="223" spans="1:17" x14ac:dyDescent="0.35">
      <c r="A223" s="2" t="s">
        <v>233</v>
      </c>
      <c r="B223" s="2">
        <v>5</v>
      </c>
      <c r="C223" s="2">
        <v>-113122936.5</v>
      </c>
      <c r="D223" s="2">
        <v>0</v>
      </c>
      <c r="E223" s="2">
        <v>43085159.060000002</v>
      </c>
      <c r="F223" s="2">
        <v>-94371699.200000003</v>
      </c>
      <c r="G223" s="2">
        <v>5</v>
      </c>
      <c r="H223" s="2">
        <v>2</v>
      </c>
      <c r="I223" s="2">
        <v>5</v>
      </c>
      <c r="J223" s="2">
        <v>4.0999999999999996</v>
      </c>
      <c r="K223" s="2" t="s">
        <v>12</v>
      </c>
      <c r="L223" s="2" t="str">
        <f t="shared" si="18"/>
        <v>Loss Making</v>
      </c>
      <c r="M223" s="2" t="str">
        <f t="shared" si="19"/>
        <v>Stable Earnings</v>
      </c>
      <c r="N223" s="2" t="str">
        <f t="shared" si="20"/>
        <v>Moderate</v>
      </c>
      <c r="O223" s="4" t="str">
        <f t="shared" si="21"/>
        <v>Accounting Risk</v>
      </c>
      <c r="P223" s="4" t="str">
        <f t="shared" si="22"/>
        <v>Moderate</v>
      </c>
      <c r="Q223" s="4" t="str">
        <f t="shared" si="23"/>
        <v>Strong Long-Term Growth</v>
      </c>
    </row>
    <row r="224" spans="1:17" x14ac:dyDescent="0.35">
      <c r="A224" s="2" t="s">
        <v>234</v>
      </c>
      <c r="B224" s="2">
        <v>5</v>
      </c>
      <c r="C224" s="2">
        <v>-69920407.540000007</v>
      </c>
      <c r="D224" s="2">
        <v>0.4</v>
      </c>
      <c r="E224" s="2">
        <v>157695742.80000001</v>
      </c>
      <c r="F224" s="2">
        <v>-71340586.799999997</v>
      </c>
      <c r="G224" s="2">
        <v>4</v>
      </c>
      <c r="H224" s="2">
        <v>4</v>
      </c>
      <c r="I224" s="2">
        <v>4</v>
      </c>
      <c r="J224" s="2">
        <v>4</v>
      </c>
      <c r="K224" s="2" t="s">
        <v>12</v>
      </c>
      <c r="L224" s="2" t="str">
        <f t="shared" si="18"/>
        <v>Loss Making</v>
      </c>
      <c r="M224" s="2" t="str">
        <f t="shared" si="19"/>
        <v>Stable Earnings</v>
      </c>
      <c r="N224" s="2" t="str">
        <f t="shared" si="20"/>
        <v>Moderate</v>
      </c>
      <c r="O224" s="4" t="str">
        <f t="shared" si="21"/>
        <v>Accounting Risk</v>
      </c>
      <c r="P224" s="4" t="str">
        <f t="shared" si="22"/>
        <v>Moderate</v>
      </c>
      <c r="Q224" s="4" t="str">
        <f t="shared" si="23"/>
        <v>Strong Long-Term Growth</v>
      </c>
    </row>
    <row r="225" spans="1:17" x14ac:dyDescent="0.35">
      <c r="A225" s="2" t="s">
        <v>235</v>
      </c>
      <c r="B225" s="2">
        <v>5</v>
      </c>
      <c r="C225" s="2">
        <v>-56160311.200000003</v>
      </c>
      <c r="D225" s="2">
        <v>0.2</v>
      </c>
      <c r="E225" s="2">
        <v>132908701</v>
      </c>
      <c r="F225" s="2">
        <v>-76656453.900000006</v>
      </c>
      <c r="G225" s="2">
        <v>4</v>
      </c>
      <c r="H225" s="2">
        <v>4</v>
      </c>
      <c r="I225" s="2">
        <v>4</v>
      </c>
      <c r="J225" s="2">
        <v>4</v>
      </c>
      <c r="K225" s="2" t="s">
        <v>12</v>
      </c>
      <c r="L225" s="2" t="str">
        <f t="shared" si="18"/>
        <v>Loss Making</v>
      </c>
      <c r="M225" s="2" t="str">
        <f t="shared" si="19"/>
        <v>Stable Earnings</v>
      </c>
      <c r="N225" s="2" t="str">
        <f t="shared" si="20"/>
        <v>Moderate</v>
      </c>
      <c r="O225" s="4" t="str">
        <f t="shared" si="21"/>
        <v>Accounting Risk</v>
      </c>
      <c r="P225" s="4" t="str">
        <f t="shared" si="22"/>
        <v>Moderate</v>
      </c>
      <c r="Q225" s="4" t="str">
        <f t="shared" si="23"/>
        <v>Strong Long-Term Growth</v>
      </c>
    </row>
    <row r="226" spans="1:17" x14ac:dyDescent="0.35">
      <c r="A226" s="2" t="s">
        <v>236</v>
      </c>
      <c r="B226" s="2">
        <v>5</v>
      </c>
      <c r="C226" s="2">
        <v>2088182629</v>
      </c>
      <c r="D226" s="2">
        <v>0.8</v>
      </c>
      <c r="E226" s="2">
        <v>3980545891</v>
      </c>
      <c r="F226" s="2">
        <v>-109802555.2</v>
      </c>
      <c r="G226" s="2">
        <v>3</v>
      </c>
      <c r="H226" s="2">
        <v>5</v>
      </c>
      <c r="I226" s="2">
        <v>5</v>
      </c>
      <c r="J226" s="2">
        <v>4</v>
      </c>
      <c r="K226" s="2" t="s">
        <v>12</v>
      </c>
      <c r="L226" s="2" t="str">
        <f t="shared" si="18"/>
        <v>Profitable</v>
      </c>
      <c r="M226" s="2" t="str">
        <f t="shared" si="19"/>
        <v>High Volatility</v>
      </c>
      <c r="N226" s="2" t="str">
        <f t="shared" si="20"/>
        <v>Low Quality</v>
      </c>
      <c r="O226" s="4" t="str">
        <f t="shared" si="21"/>
        <v>Accounting Risk</v>
      </c>
      <c r="P226" s="4" t="str">
        <f t="shared" si="22"/>
        <v>Low Quality</v>
      </c>
      <c r="Q226" s="4" t="str">
        <f t="shared" si="23"/>
        <v>Strong Long-Term Growth</v>
      </c>
    </row>
    <row r="227" spans="1:17" x14ac:dyDescent="0.35">
      <c r="A227" s="2" t="s">
        <v>237</v>
      </c>
      <c r="B227" s="2">
        <v>5</v>
      </c>
      <c r="C227" s="2">
        <v>-108709421.09999999</v>
      </c>
      <c r="D227" s="2">
        <v>0.2</v>
      </c>
      <c r="E227" s="2">
        <v>257147854.19999999</v>
      </c>
      <c r="F227" s="2">
        <v>-42830356</v>
      </c>
      <c r="G227" s="2">
        <v>4</v>
      </c>
      <c r="H227" s="2">
        <v>4</v>
      </c>
      <c r="I227" s="2">
        <v>4</v>
      </c>
      <c r="J227" s="2">
        <v>4</v>
      </c>
      <c r="K227" s="2" t="s">
        <v>12</v>
      </c>
      <c r="L227" s="2" t="str">
        <f t="shared" si="18"/>
        <v>Loss Making</v>
      </c>
      <c r="M227" s="2" t="str">
        <f t="shared" si="19"/>
        <v>Stable Earnings</v>
      </c>
      <c r="N227" s="2" t="str">
        <f t="shared" si="20"/>
        <v>Moderate</v>
      </c>
      <c r="O227" s="4" t="str">
        <f t="shared" si="21"/>
        <v>Accounting Risk</v>
      </c>
      <c r="P227" s="4" t="str">
        <f t="shared" si="22"/>
        <v>Moderate</v>
      </c>
      <c r="Q227" s="4" t="str">
        <f t="shared" si="23"/>
        <v>Strong Long-Term Growth</v>
      </c>
    </row>
    <row r="228" spans="1:17" x14ac:dyDescent="0.35">
      <c r="A228" s="2" t="s">
        <v>238</v>
      </c>
      <c r="B228" s="2">
        <v>5</v>
      </c>
      <c r="C228" s="2">
        <v>51587026.780000001</v>
      </c>
      <c r="D228" s="2">
        <v>0.4</v>
      </c>
      <c r="E228" s="2">
        <v>179483771.5</v>
      </c>
      <c r="F228" s="2">
        <v>-37899984.600000001</v>
      </c>
      <c r="G228" s="2">
        <v>4</v>
      </c>
      <c r="H228" s="2">
        <v>4</v>
      </c>
      <c r="I228" s="2">
        <v>4</v>
      </c>
      <c r="J228" s="2">
        <v>4</v>
      </c>
      <c r="K228" s="2" t="s">
        <v>12</v>
      </c>
      <c r="L228" s="2" t="str">
        <f t="shared" si="18"/>
        <v>Profitable</v>
      </c>
      <c r="M228" s="2" t="str">
        <f t="shared" si="19"/>
        <v>Stable Earnings</v>
      </c>
      <c r="N228" s="2" t="str">
        <f t="shared" si="20"/>
        <v>Moderate</v>
      </c>
      <c r="O228" s="4" t="str">
        <f t="shared" si="21"/>
        <v>Accounting Risk</v>
      </c>
      <c r="P228" s="4" t="str">
        <f t="shared" si="22"/>
        <v>Moderate</v>
      </c>
      <c r="Q228" s="4" t="str">
        <f t="shared" si="23"/>
        <v>Strong Long-Term Growth</v>
      </c>
    </row>
    <row r="229" spans="1:17" x14ac:dyDescent="0.35">
      <c r="A229" s="2" t="s">
        <v>239</v>
      </c>
      <c r="B229" s="2">
        <v>5</v>
      </c>
      <c r="C229" s="2">
        <v>-43884121.359999999</v>
      </c>
      <c r="D229" s="2">
        <v>0.4</v>
      </c>
      <c r="E229" s="2">
        <v>217027992.30000001</v>
      </c>
      <c r="F229" s="2">
        <v>-39749890.200000003</v>
      </c>
      <c r="G229" s="2">
        <v>4</v>
      </c>
      <c r="H229" s="2">
        <v>4</v>
      </c>
      <c r="I229" s="2">
        <v>4</v>
      </c>
      <c r="J229" s="2">
        <v>4</v>
      </c>
      <c r="K229" s="2" t="s">
        <v>12</v>
      </c>
      <c r="L229" s="2" t="str">
        <f t="shared" si="18"/>
        <v>Loss Making</v>
      </c>
      <c r="M229" s="2" t="str">
        <f t="shared" si="19"/>
        <v>Stable Earnings</v>
      </c>
      <c r="N229" s="2" t="str">
        <f t="shared" si="20"/>
        <v>Moderate</v>
      </c>
      <c r="O229" s="4" t="str">
        <f t="shared" si="21"/>
        <v>Accounting Risk</v>
      </c>
      <c r="P229" s="4" t="str">
        <f t="shared" si="22"/>
        <v>Moderate</v>
      </c>
      <c r="Q229" s="4" t="str">
        <f t="shared" si="23"/>
        <v>Strong Long-Term Growth</v>
      </c>
    </row>
    <row r="230" spans="1:17" x14ac:dyDescent="0.35">
      <c r="A230" s="2" t="s">
        <v>240</v>
      </c>
      <c r="B230" s="2">
        <v>5</v>
      </c>
      <c r="C230" s="2">
        <v>35000646.68</v>
      </c>
      <c r="D230" s="2">
        <v>0.4</v>
      </c>
      <c r="E230" s="2">
        <v>163220274.90000001</v>
      </c>
      <c r="F230" s="2">
        <v>-71578566.700000003</v>
      </c>
      <c r="G230" s="2">
        <v>4</v>
      </c>
      <c r="H230" s="2">
        <v>4</v>
      </c>
      <c r="I230" s="2">
        <v>4</v>
      </c>
      <c r="J230" s="2">
        <v>4</v>
      </c>
      <c r="K230" s="2" t="s">
        <v>12</v>
      </c>
      <c r="L230" s="2" t="str">
        <f t="shared" si="18"/>
        <v>Profitable</v>
      </c>
      <c r="M230" s="2" t="str">
        <f t="shared" si="19"/>
        <v>Stable Earnings</v>
      </c>
      <c r="N230" s="2" t="str">
        <f t="shared" si="20"/>
        <v>Moderate</v>
      </c>
      <c r="O230" s="4" t="str">
        <f t="shared" si="21"/>
        <v>Accounting Risk</v>
      </c>
      <c r="P230" s="4" t="str">
        <f t="shared" si="22"/>
        <v>Moderate</v>
      </c>
      <c r="Q230" s="4" t="str">
        <f t="shared" si="23"/>
        <v>Strong Long-Term Growth</v>
      </c>
    </row>
    <row r="231" spans="1:17" x14ac:dyDescent="0.35">
      <c r="A231" s="2" t="s">
        <v>241</v>
      </c>
      <c r="B231" s="2">
        <v>5</v>
      </c>
      <c r="C231" s="2">
        <v>-47618765.460000001</v>
      </c>
      <c r="D231" s="2">
        <v>0.6</v>
      </c>
      <c r="E231" s="2">
        <v>556986457.70000005</v>
      </c>
      <c r="F231" s="2">
        <v>-497748560.10000002</v>
      </c>
      <c r="G231" s="2">
        <v>3</v>
      </c>
      <c r="H231" s="2">
        <v>5</v>
      </c>
      <c r="I231" s="2">
        <v>5</v>
      </c>
      <c r="J231" s="2">
        <v>4</v>
      </c>
      <c r="K231" s="2" t="s">
        <v>12</v>
      </c>
      <c r="L231" s="2" t="str">
        <f t="shared" si="18"/>
        <v>Loss Making</v>
      </c>
      <c r="M231" s="2" t="str">
        <f t="shared" si="19"/>
        <v>Stable Earnings</v>
      </c>
      <c r="N231" s="2" t="str">
        <f t="shared" si="20"/>
        <v>Low Quality</v>
      </c>
      <c r="O231" s="4" t="str">
        <f t="shared" si="21"/>
        <v>Accounting Risk</v>
      </c>
      <c r="P231" s="4" t="str">
        <f t="shared" si="22"/>
        <v>Low Quality</v>
      </c>
      <c r="Q231" s="4" t="str">
        <f t="shared" si="23"/>
        <v>Strong Long-Term Growth</v>
      </c>
    </row>
    <row r="232" spans="1:17" x14ac:dyDescent="0.35">
      <c r="A232" s="2" t="s">
        <v>242</v>
      </c>
      <c r="B232" s="2">
        <v>5</v>
      </c>
      <c r="C232" s="2">
        <v>45221703</v>
      </c>
      <c r="D232" s="2">
        <v>0.8</v>
      </c>
      <c r="E232" s="2">
        <v>787200408.70000005</v>
      </c>
      <c r="F232" s="2">
        <v>-513993689.39999998</v>
      </c>
      <c r="G232" s="2">
        <v>3</v>
      </c>
      <c r="H232" s="2">
        <v>5</v>
      </c>
      <c r="I232" s="2">
        <v>5</v>
      </c>
      <c r="J232" s="2">
        <v>4</v>
      </c>
      <c r="K232" s="2" t="s">
        <v>12</v>
      </c>
      <c r="L232" s="2" t="str">
        <f t="shared" si="18"/>
        <v>Profitable</v>
      </c>
      <c r="M232" s="2" t="str">
        <f t="shared" si="19"/>
        <v>Stable Earnings</v>
      </c>
      <c r="N232" s="2" t="str">
        <f t="shared" si="20"/>
        <v>Low Quality</v>
      </c>
      <c r="O232" s="4" t="str">
        <f t="shared" si="21"/>
        <v>Accounting Risk</v>
      </c>
      <c r="P232" s="4" t="str">
        <f t="shared" si="22"/>
        <v>Low Quality</v>
      </c>
      <c r="Q232" s="4" t="str">
        <f t="shared" si="23"/>
        <v>Strong Long-Term Growth</v>
      </c>
    </row>
    <row r="233" spans="1:17" x14ac:dyDescent="0.35">
      <c r="A233" s="2" t="s">
        <v>243</v>
      </c>
      <c r="B233" s="2">
        <v>5</v>
      </c>
      <c r="C233" s="2">
        <v>93921919.200000003</v>
      </c>
      <c r="D233" s="2">
        <v>0.6</v>
      </c>
      <c r="E233" s="2">
        <v>585541795.39999998</v>
      </c>
      <c r="F233" s="2">
        <v>-534779024</v>
      </c>
      <c r="G233" s="2">
        <v>3</v>
      </c>
      <c r="H233" s="2">
        <v>5</v>
      </c>
      <c r="I233" s="2">
        <v>5</v>
      </c>
      <c r="J233" s="2">
        <v>4</v>
      </c>
      <c r="K233" s="2" t="s">
        <v>12</v>
      </c>
      <c r="L233" s="2" t="str">
        <f t="shared" si="18"/>
        <v>Profitable</v>
      </c>
      <c r="M233" s="2" t="str">
        <f t="shared" si="19"/>
        <v>Stable Earnings</v>
      </c>
      <c r="N233" s="2" t="str">
        <f t="shared" si="20"/>
        <v>Low Quality</v>
      </c>
      <c r="O233" s="4" t="str">
        <f t="shared" si="21"/>
        <v>Accounting Risk</v>
      </c>
      <c r="P233" s="4" t="str">
        <f t="shared" si="22"/>
        <v>Low Quality</v>
      </c>
      <c r="Q233" s="4" t="str">
        <f t="shared" si="23"/>
        <v>Strong Long-Term Growth</v>
      </c>
    </row>
    <row r="234" spans="1:17" x14ac:dyDescent="0.35">
      <c r="A234" s="2" t="s">
        <v>244</v>
      </c>
      <c r="B234" s="2">
        <v>5</v>
      </c>
      <c r="C234" s="2">
        <v>374432353.19999999</v>
      </c>
      <c r="D234" s="2">
        <v>0.6</v>
      </c>
      <c r="E234" s="2">
        <v>559383622.29999995</v>
      </c>
      <c r="F234" s="2">
        <v>-559970358</v>
      </c>
      <c r="G234" s="2">
        <v>3</v>
      </c>
      <c r="H234" s="2">
        <v>5</v>
      </c>
      <c r="I234" s="2">
        <v>5</v>
      </c>
      <c r="J234" s="2">
        <v>4</v>
      </c>
      <c r="K234" s="2" t="s">
        <v>12</v>
      </c>
      <c r="L234" s="2" t="str">
        <f t="shared" si="18"/>
        <v>Profitable</v>
      </c>
      <c r="M234" s="2" t="str">
        <f t="shared" si="19"/>
        <v>Stable Earnings</v>
      </c>
      <c r="N234" s="2" t="str">
        <f t="shared" si="20"/>
        <v>Low Quality</v>
      </c>
      <c r="O234" s="4" t="str">
        <f t="shared" si="21"/>
        <v>Accounting Risk</v>
      </c>
      <c r="P234" s="4" t="str">
        <f t="shared" si="22"/>
        <v>Low Quality</v>
      </c>
      <c r="Q234" s="4" t="str">
        <f t="shared" si="23"/>
        <v>Strong Long-Term Growth</v>
      </c>
    </row>
    <row r="235" spans="1:17" x14ac:dyDescent="0.35">
      <c r="A235" s="2" t="s">
        <v>245</v>
      </c>
      <c r="B235" s="2">
        <v>5</v>
      </c>
      <c r="C235" s="2">
        <v>-615937029.89999998</v>
      </c>
      <c r="D235" s="2">
        <v>0.6</v>
      </c>
      <c r="E235" s="2">
        <v>4292454631</v>
      </c>
      <c r="F235" s="2">
        <v>-409933336</v>
      </c>
      <c r="G235" s="2">
        <v>3</v>
      </c>
      <c r="H235" s="2">
        <v>5</v>
      </c>
      <c r="I235" s="2">
        <v>5</v>
      </c>
      <c r="J235" s="2">
        <v>4</v>
      </c>
      <c r="K235" s="2" t="s">
        <v>12</v>
      </c>
      <c r="L235" s="2" t="str">
        <f t="shared" si="18"/>
        <v>Loss Making</v>
      </c>
      <c r="M235" s="2" t="str">
        <f t="shared" si="19"/>
        <v>Stable Earnings</v>
      </c>
      <c r="N235" s="2" t="str">
        <f t="shared" si="20"/>
        <v>Low Quality</v>
      </c>
      <c r="O235" s="4" t="str">
        <f t="shared" si="21"/>
        <v>Accounting Risk</v>
      </c>
      <c r="P235" s="4" t="str">
        <f t="shared" si="22"/>
        <v>Low Quality</v>
      </c>
      <c r="Q235" s="4" t="str">
        <f t="shared" si="23"/>
        <v>Strong Long-Term Growth</v>
      </c>
    </row>
    <row r="236" spans="1:17" x14ac:dyDescent="0.35">
      <c r="A236" s="2" t="s">
        <v>246</v>
      </c>
      <c r="B236" s="2">
        <v>5</v>
      </c>
      <c r="C236" s="2">
        <v>550527696</v>
      </c>
      <c r="D236" s="2">
        <v>0.8</v>
      </c>
      <c r="E236" s="2">
        <v>911170605.10000002</v>
      </c>
      <c r="F236" s="2">
        <v>-458062786.30000001</v>
      </c>
      <c r="G236" s="2">
        <v>3</v>
      </c>
      <c r="H236" s="2">
        <v>5</v>
      </c>
      <c r="I236" s="2">
        <v>5</v>
      </c>
      <c r="J236" s="2">
        <v>4</v>
      </c>
      <c r="K236" s="2" t="s">
        <v>12</v>
      </c>
      <c r="L236" s="2" t="str">
        <f t="shared" si="18"/>
        <v>Profitable</v>
      </c>
      <c r="M236" s="2" t="str">
        <f t="shared" si="19"/>
        <v>High Volatility</v>
      </c>
      <c r="N236" s="2" t="str">
        <f t="shared" si="20"/>
        <v>Low Quality</v>
      </c>
      <c r="O236" s="4" t="str">
        <f t="shared" si="21"/>
        <v>Accounting Risk</v>
      </c>
      <c r="P236" s="4" t="str">
        <f t="shared" si="22"/>
        <v>Low Quality</v>
      </c>
      <c r="Q236" s="4" t="str">
        <f t="shared" si="23"/>
        <v>Strong Long-Term Growth</v>
      </c>
    </row>
    <row r="237" spans="1:17" x14ac:dyDescent="0.35">
      <c r="A237" s="2" t="s">
        <v>247</v>
      </c>
      <c r="B237" s="2">
        <v>5</v>
      </c>
      <c r="C237" s="2">
        <v>-176878683.59999999</v>
      </c>
      <c r="D237" s="2">
        <v>0.8</v>
      </c>
      <c r="E237" s="2">
        <v>2223588343</v>
      </c>
      <c r="F237" s="2">
        <v>-439386774.80000001</v>
      </c>
      <c r="G237" s="2">
        <v>3</v>
      </c>
      <c r="H237" s="2">
        <v>5</v>
      </c>
      <c r="I237" s="2">
        <v>5</v>
      </c>
      <c r="J237" s="2">
        <v>4</v>
      </c>
      <c r="K237" s="2" t="s">
        <v>12</v>
      </c>
      <c r="L237" s="2" t="str">
        <f t="shared" si="18"/>
        <v>Loss Making</v>
      </c>
      <c r="M237" s="2" t="str">
        <f t="shared" si="19"/>
        <v>Stable Earnings</v>
      </c>
      <c r="N237" s="2" t="str">
        <f t="shared" si="20"/>
        <v>Low Quality</v>
      </c>
      <c r="O237" s="4" t="str">
        <f t="shared" si="21"/>
        <v>Accounting Risk</v>
      </c>
      <c r="P237" s="4" t="str">
        <f t="shared" si="22"/>
        <v>Low Quality</v>
      </c>
      <c r="Q237" s="4" t="str">
        <f t="shared" si="23"/>
        <v>Strong Long-Term Growth</v>
      </c>
    </row>
    <row r="238" spans="1:17" x14ac:dyDescent="0.35">
      <c r="A238" s="2" t="s">
        <v>248</v>
      </c>
      <c r="B238" s="2">
        <v>5</v>
      </c>
      <c r="C238" s="2">
        <v>-12901019.380000001</v>
      </c>
      <c r="D238" s="2">
        <v>0.4</v>
      </c>
      <c r="E238" s="2">
        <v>502488661.10000002</v>
      </c>
      <c r="F238" s="2">
        <v>-441655623.60000002</v>
      </c>
      <c r="G238" s="2">
        <v>3</v>
      </c>
      <c r="H238" s="2">
        <v>5</v>
      </c>
      <c r="I238" s="2">
        <v>5</v>
      </c>
      <c r="J238" s="2">
        <v>4</v>
      </c>
      <c r="K238" s="2" t="s">
        <v>12</v>
      </c>
      <c r="L238" s="2" t="str">
        <f t="shared" si="18"/>
        <v>Loss Making</v>
      </c>
      <c r="M238" s="2" t="str">
        <f t="shared" si="19"/>
        <v>Stable Earnings</v>
      </c>
      <c r="N238" s="2" t="str">
        <f t="shared" si="20"/>
        <v>Low Quality</v>
      </c>
      <c r="O238" s="4" t="str">
        <f t="shared" si="21"/>
        <v>Accounting Risk</v>
      </c>
      <c r="P238" s="4" t="str">
        <f t="shared" si="22"/>
        <v>Low Quality</v>
      </c>
      <c r="Q238" s="4" t="str">
        <f t="shared" si="23"/>
        <v>Strong Long-Term Growth</v>
      </c>
    </row>
    <row r="239" spans="1:17" x14ac:dyDescent="0.35">
      <c r="A239" s="2" t="s">
        <v>249</v>
      </c>
      <c r="B239" s="2">
        <v>5</v>
      </c>
      <c r="C239" s="2">
        <v>71981314.239999995</v>
      </c>
      <c r="D239" s="2">
        <v>0.6</v>
      </c>
      <c r="E239" s="2">
        <v>439344050.10000002</v>
      </c>
      <c r="F239" s="2">
        <v>-719498128.10000002</v>
      </c>
      <c r="G239" s="2">
        <v>3</v>
      </c>
      <c r="H239" s="2">
        <v>5</v>
      </c>
      <c r="I239" s="2">
        <v>5</v>
      </c>
      <c r="J239" s="2">
        <v>4</v>
      </c>
      <c r="K239" s="2" t="s">
        <v>12</v>
      </c>
      <c r="L239" s="2" t="str">
        <f t="shared" si="18"/>
        <v>Profitable</v>
      </c>
      <c r="M239" s="2" t="str">
        <f t="shared" si="19"/>
        <v>Stable Earnings</v>
      </c>
      <c r="N239" s="2" t="str">
        <f t="shared" si="20"/>
        <v>Low Quality</v>
      </c>
      <c r="O239" s="4" t="str">
        <f t="shared" si="21"/>
        <v>Accounting Risk</v>
      </c>
      <c r="P239" s="4" t="str">
        <f t="shared" si="22"/>
        <v>Low Quality</v>
      </c>
      <c r="Q239" s="4" t="str">
        <f t="shared" si="23"/>
        <v>Strong Long-Term Growth</v>
      </c>
    </row>
    <row r="240" spans="1:17" x14ac:dyDescent="0.35">
      <c r="A240" s="2" t="s">
        <v>250</v>
      </c>
      <c r="B240" s="2">
        <v>5</v>
      </c>
      <c r="C240" s="2">
        <v>768320403.70000005</v>
      </c>
      <c r="D240" s="2">
        <v>0.8</v>
      </c>
      <c r="E240" s="2">
        <v>602349439.29999995</v>
      </c>
      <c r="F240" s="2">
        <v>-813304279.79999995</v>
      </c>
      <c r="G240" s="2">
        <v>3</v>
      </c>
      <c r="H240" s="2">
        <v>5</v>
      </c>
      <c r="I240" s="2">
        <v>5</v>
      </c>
      <c r="J240" s="2">
        <v>4</v>
      </c>
      <c r="K240" s="2" t="s">
        <v>12</v>
      </c>
      <c r="L240" s="2" t="str">
        <f t="shared" si="18"/>
        <v>Profitable</v>
      </c>
      <c r="M240" s="2" t="str">
        <f t="shared" si="19"/>
        <v>High Volatility</v>
      </c>
      <c r="N240" s="2" t="str">
        <f t="shared" si="20"/>
        <v>Low Quality</v>
      </c>
      <c r="O240" s="4" t="str">
        <f t="shared" si="21"/>
        <v>Accounting Risk</v>
      </c>
      <c r="P240" s="4" t="str">
        <f t="shared" si="22"/>
        <v>Low Quality</v>
      </c>
      <c r="Q240" s="4" t="str">
        <f t="shared" si="23"/>
        <v>Strong Long-Term Growth</v>
      </c>
    </row>
    <row r="241" spans="1:17" x14ac:dyDescent="0.35">
      <c r="A241" s="2" t="s">
        <v>251</v>
      </c>
      <c r="B241" s="2">
        <v>5</v>
      </c>
      <c r="C241" s="2">
        <v>957689175.20000005</v>
      </c>
      <c r="D241" s="2">
        <v>0.8</v>
      </c>
      <c r="E241" s="2">
        <v>1173989113</v>
      </c>
      <c r="F241" s="2">
        <v>-874450034</v>
      </c>
      <c r="G241" s="2">
        <v>3</v>
      </c>
      <c r="H241" s="2">
        <v>5</v>
      </c>
      <c r="I241" s="2">
        <v>5</v>
      </c>
      <c r="J241" s="2">
        <v>4</v>
      </c>
      <c r="K241" s="2" t="s">
        <v>12</v>
      </c>
      <c r="L241" s="2" t="str">
        <f t="shared" si="18"/>
        <v>Profitable</v>
      </c>
      <c r="M241" s="2" t="str">
        <f t="shared" si="19"/>
        <v>High Volatility</v>
      </c>
      <c r="N241" s="2" t="str">
        <f t="shared" si="20"/>
        <v>Low Quality</v>
      </c>
      <c r="O241" s="4" t="str">
        <f t="shared" si="21"/>
        <v>Accounting Risk</v>
      </c>
      <c r="P241" s="4" t="str">
        <f t="shared" si="22"/>
        <v>Low Quality</v>
      </c>
      <c r="Q241" s="4" t="str">
        <f t="shared" si="23"/>
        <v>Strong Long-Term Growth</v>
      </c>
    </row>
    <row r="242" spans="1:17" x14ac:dyDescent="0.35">
      <c r="A242" s="2" t="s">
        <v>252</v>
      </c>
      <c r="B242" s="2">
        <v>5</v>
      </c>
      <c r="C242" s="2">
        <v>105951017.5</v>
      </c>
      <c r="D242" s="2">
        <v>0.6</v>
      </c>
      <c r="E242" s="2">
        <v>489069269</v>
      </c>
      <c r="F242" s="2">
        <v>-875615296.60000002</v>
      </c>
      <c r="G242" s="2">
        <v>3</v>
      </c>
      <c r="H242" s="2">
        <v>5</v>
      </c>
      <c r="I242" s="2">
        <v>5</v>
      </c>
      <c r="J242" s="2">
        <v>4</v>
      </c>
      <c r="K242" s="2" t="s">
        <v>12</v>
      </c>
      <c r="L242" s="2" t="str">
        <f t="shared" si="18"/>
        <v>Profitable</v>
      </c>
      <c r="M242" s="2" t="str">
        <f t="shared" si="19"/>
        <v>Stable Earnings</v>
      </c>
      <c r="N242" s="2" t="str">
        <f t="shared" si="20"/>
        <v>Low Quality</v>
      </c>
      <c r="O242" s="4" t="str">
        <f t="shared" si="21"/>
        <v>Accounting Risk</v>
      </c>
      <c r="P242" s="4" t="str">
        <f t="shared" si="22"/>
        <v>Low Quality</v>
      </c>
      <c r="Q242" s="4" t="str">
        <f t="shared" si="23"/>
        <v>Strong Long-Term Growth</v>
      </c>
    </row>
    <row r="243" spans="1:17" x14ac:dyDescent="0.35">
      <c r="A243" s="2" t="s">
        <v>253</v>
      </c>
      <c r="B243" s="2">
        <v>5</v>
      </c>
      <c r="C243" s="2">
        <v>-270609195</v>
      </c>
      <c r="D243" s="2">
        <v>0.8</v>
      </c>
      <c r="E243" s="2">
        <v>7004197934</v>
      </c>
      <c r="F243" s="2">
        <v>-613215848</v>
      </c>
      <c r="G243" s="2">
        <v>3</v>
      </c>
      <c r="H243" s="2">
        <v>5</v>
      </c>
      <c r="I243" s="2">
        <v>5</v>
      </c>
      <c r="J243" s="2">
        <v>4</v>
      </c>
      <c r="K243" s="2" t="s">
        <v>12</v>
      </c>
      <c r="L243" s="2" t="str">
        <f t="shared" si="18"/>
        <v>Loss Making</v>
      </c>
      <c r="M243" s="2" t="str">
        <f t="shared" si="19"/>
        <v>Stable Earnings</v>
      </c>
      <c r="N243" s="2" t="str">
        <f t="shared" si="20"/>
        <v>Low Quality</v>
      </c>
      <c r="O243" s="4" t="str">
        <f t="shared" si="21"/>
        <v>Accounting Risk</v>
      </c>
      <c r="P243" s="4" t="str">
        <f t="shared" si="22"/>
        <v>Low Quality</v>
      </c>
      <c r="Q243" s="4" t="str">
        <f t="shared" si="23"/>
        <v>Strong Long-Term Growth</v>
      </c>
    </row>
    <row r="244" spans="1:17" x14ac:dyDescent="0.35">
      <c r="A244" s="2" t="s">
        <v>254</v>
      </c>
      <c r="B244" s="2">
        <v>5</v>
      </c>
      <c r="C244" s="2">
        <v>-1631148040</v>
      </c>
      <c r="D244" s="2">
        <v>0.6</v>
      </c>
      <c r="E244" s="2">
        <v>4165397433</v>
      </c>
      <c r="F244" s="2">
        <v>-826036367.5</v>
      </c>
      <c r="G244" s="2">
        <v>3</v>
      </c>
      <c r="H244" s="2">
        <v>5</v>
      </c>
      <c r="I244" s="2">
        <v>5</v>
      </c>
      <c r="J244" s="2">
        <v>4</v>
      </c>
      <c r="K244" s="2" t="s">
        <v>12</v>
      </c>
      <c r="L244" s="2" t="str">
        <f t="shared" si="18"/>
        <v>Loss Making</v>
      </c>
      <c r="M244" s="2" t="str">
        <f t="shared" si="19"/>
        <v>Stable Earnings</v>
      </c>
      <c r="N244" s="2" t="str">
        <f t="shared" si="20"/>
        <v>Low Quality</v>
      </c>
      <c r="O244" s="4" t="str">
        <f t="shared" si="21"/>
        <v>Accounting Risk</v>
      </c>
      <c r="P244" s="4" t="str">
        <f t="shared" si="22"/>
        <v>Low Quality</v>
      </c>
      <c r="Q244" s="4" t="str">
        <f t="shared" si="23"/>
        <v>Strong Long-Term Growth</v>
      </c>
    </row>
    <row r="245" spans="1:17" x14ac:dyDescent="0.35">
      <c r="A245" s="2" t="s">
        <v>255</v>
      </c>
      <c r="B245" s="2">
        <v>5</v>
      </c>
      <c r="C245" s="2">
        <v>-37176460.32</v>
      </c>
      <c r="D245" s="2">
        <v>0.4</v>
      </c>
      <c r="E245" s="2">
        <v>1282298896</v>
      </c>
      <c r="F245" s="2">
        <v>-939361013.29999995</v>
      </c>
      <c r="G245" s="2">
        <v>3</v>
      </c>
      <c r="H245" s="2">
        <v>5</v>
      </c>
      <c r="I245" s="2">
        <v>5</v>
      </c>
      <c r="J245" s="2">
        <v>4</v>
      </c>
      <c r="K245" s="2" t="s">
        <v>12</v>
      </c>
      <c r="L245" s="2" t="str">
        <f t="shared" si="18"/>
        <v>Loss Making</v>
      </c>
      <c r="M245" s="2" t="str">
        <f t="shared" si="19"/>
        <v>Stable Earnings</v>
      </c>
      <c r="N245" s="2" t="str">
        <f t="shared" si="20"/>
        <v>Low Quality</v>
      </c>
      <c r="O245" s="4" t="str">
        <f t="shared" si="21"/>
        <v>Accounting Risk</v>
      </c>
      <c r="P245" s="4" t="str">
        <f t="shared" si="22"/>
        <v>Low Quality</v>
      </c>
      <c r="Q245" s="4" t="str">
        <f t="shared" si="23"/>
        <v>Strong Long-Term Growth</v>
      </c>
    </row>
    <row r="246" spans="1:17" x14ac:dyDescent="0.35">
      <c r="A246" s="2" t="s">
        <v>256</v>
      </c>
      <c r="B246" s="2">
        <v>5</v>
      </c>
      <c r="C246" s="2">
        <v>335359614.80000001</v>
      </c>
      <c r="D246" s="2">
        <v>0.8</v>
      </c>
      <c r="E246" s="2">
        <v>368176848.5</v>
      </c>
      <c r="F246" s="2">
        <v>-1018779892</v>
      </c>
      <c r="G246" s="2">
        <v>3</v>
      </c>
      <c r="H246" s="2">
        <v>5</v>
      </c>
      <c r="I246" s="2">
        <v>5</v>
      </c>
      <c r="J246" s="2">
        <v>4</v>
      </c>
      <c r="K246" s="2" t="s">
        <v>12</v>
      </c>
      <c r="L246" s="2" t="str">
        <f t="shared" si="18"/>
        <v>Profitable</v>
      </c>
      <c r="M246" s="2" t="str">
        <f t="shared" si="19"/>
        <v>Stable Earnings</v>
      </c>
      <c r="N246" s="2" t="str">
        <f t="shared" si="20"/>
        <v>Low Quality</v>
      </c>
      <c r="O246" s="4" t="str">
        <f t="shared" si="21"/>
        <v>Accounting Risk</v>
      </c>
      <c r="P246" s="4" t="str">
        <f t="shared" si="22"/>
        <v>Low Quality</v>
      </c>
      <c r="Q246" s="4" t="str">
        <f t="shared" si="23"/>
        <v>Strong Long-Term Growth</v>
      </c>
    </row>
    <row r="247" spans="1:17" x14ac:dyDescent="0.35">
      <c r="A247" s="2" t="s">
        <v>257</v>
      </c>
      <c r="B247" s="2">
        <v>5</v>
      </c>
      <c r="C247" s="2">
        <v>861875147.70000005</v>
      </c>
      <c r="D247" s="2">
        <v>0.8</v>
      </c>
      <c r="E247" s="2">
        <v>1310100312</v>
      </c>
      <c r="F247" s="2">
        <v>-951371074.60000002</v>
      </c>
      <c r="G247" s="2">
        <v>3</v>
      </c>
      <c r="H247" s="2">
        <v>5</v>
      </c>
      <c r="I247" s="2">
        <v>5</v>
      </c>
      <c r="J247" s="2">
        <v>4</v>
      </c>
      <c r="K247" s="2" t="s">
        <v>12</v>
      </c>
      <c r="L247" s="2" t="str">
        <f t="shared" si="18"/>
        <v>Profitable</v>
      </c>
      <c r="M247" s="2" t="str">
        <f t="shared" si="19"/>
        <v>High Volatility</v>
      </c>
      <c r="N247" s="2" t="str">
        <f t="shared" si="20"/>
        <v>Low Quality</v>
      </c>
      <c r="O247" s="4" t="str">
        <f t="shared" si="21"/>
        <v>Accounting Risk</v>
      </c>
      <c r="P247" s="4" t="str">
        <f t="shared" si="22"/>
        <v>Low Quality</v>
      </c>
      <c r="Q247" s="4" t="str">
        <f t="shared" si="23"/>
        <v>Strong Long-Term Growth</v>
      </c>
    </row>
    <row r="248" spans="1:17" x14ac:dyDescent="0.35">
      <c r="A248" s="2" t="s">
        <v>258</v>
      </c>
      <c r="B248" s="2">
        <v>5</v>
      </c>
      <c r="C248" s="2">
        <v>-454163930.89999998</v>
      </c>
      <c r="D248" s="2">
        <v>0.6</v>
      </c>
      <c r="E248" s="2">
        <v>1934682587</v>
      </c>
      <c r="F248" s="2">
        <v>-997221620.60000002</v>
      </c>
      <c r="G248" s="2">
        <v>3</v>
      </c>
      <c r="H248" s="2">
        <v>5</v>
      </c>
      <c r="I248" s="2">
        <v>5</v>
      </c>
      <c r="J248" s="2">
        <v>4</v>
      </c>
      <c r="K248" s="2" t="s">
        <v>12</v>
      </c>
      <c r="L248" s="2" t="str">
        <f t="shared" si="18"/>
        <v>Loss Making</v>
      </c>
      <c r="M248" s="2" t="str">
        <f t="shared" si="19"/>
        <v>Stable Earnings</v>
      </c>
      <c r="N248" s="2" t="str">
        <f t="shared" si="20"/>
        <v>Low Quality</v>
      </c>
      <c r="O248" s="4" t="str">
        <f t="shared" si="21"/>
        <v>Accounting Risk</v>
      </c>
      <c r="P248" s="4" t="str">
        <f t="shared" si="22"/>
        <v>Low Quality</v>
      </c>
      <c r="Q248" s="4" t="str">
        <f t="shared" si="23"/>
        <v>Strong Long-Term Growth</v>
      </c>
    </row>
    <row r="249" spans="1:17" x14ac:dyDescent="0.35">
      <c r="A249" s="2" t="s">
        <v>259</v>
      </c>
      <c r="B249" s="2">
        <v>5</v>
      </c>
      <c r="C249" s="2">
        <v>38143994.200000003</v>
      </c>
      <c r="D249" s="2">
        <v>0.6</v>
      </c>
      <c r="E249" s="2">
        <v>361455531.10000002</v>
      </c>
      <c r="F249" s="2">
        <v>-1003825033</v>
      </c>
      <c r="G249" s="2">
        <v>3</v>
      </c>
      <c r="H249" s="2">
        <v>5</v>
      </c>
      <c r="I249" s="2">
        <v>5</v>
      </c>
      <c r="J249" s="2">
        <v>4</v>
      </c>
      <c r="K249" s="2" t="s">
        <v>12</v>
      </c>
      <c r="L249" s="2" t="str">
        <f t="shared" si="18"/>
        <v>Profitable</v>
      </c>
      <c r="M249" s="2" t="str">
        <f t="shared" si="19"/>
        <v>Stable Earnings</v>
      </c>
      <c r="N249" s="2" t="str">
        <f t="shared" si="20"/>
        <v>Low Quality</v>
      </c>
      <c r="O249" s="4" t="str">
        <f t="shared" si="21"/>
        <v>Accounting Risk</v>
      </c>
      <c r="P249" s="4" t="str">
        <f t="shared" si="22"/>
        <v>Low Quality</v>
      </c>
      <c r="Q249" s="4" t="str">
        <f t="shared" si="23"/>
        <v>Strong Long-Term Growth</v>
      </c>
    </row>
    <row r="250" spans="1:17" x14ac:dyDescent="0.35">
      <c r="A250" s="2" t="s">
        <v>260</v>
      </c>
      <c r="B250" s="2">
        <v>5</v>
      </c>
      <c r="C250" s="2">
        <v>113926261.40000001</v>
      </c>
      <c r="D250" s="2">
        <v>0.6</v>
      </c>
      <c r="E250" s="2">
        <v>407797427.39999998</v>
      </c>
      <c r="F250" s="2">
        <v>-320916308</v>
      </c>
      <c r="G250" s="2">
        <v>3</v>
      </c>
      <c r="H250" s="2">
        <v>5</v>
      </c>
      <c r="I250" s="2">
        <v>5</v>
      </c>
      <c r="J250" s="2">
        <v>4</v>
      </c>
      <c r="K250" s="2" t="s">
        <v>12</v>
      </c>
      <c r="L250" s="2" t="str">
        <f t="shared" si="18"/>
        <v>Profitable</v>
      </c>
      <c r="M250" s="2" t="str">
        <f t="shared" si="19"/>
        <v>Stable Earnings</v>
      </c>
      <c r="N250" s="2" t="str">
        <f t="shared" si="20"/>
        <v>Low Quality</v>
      </c>
      <c r="O250" s="4" t="str">
        <f t="shared" si="21"/>
        <v>Accounting Risk</v>
      </c>
      <c r="P250" s="4" t="str">
        <f t="shared" si="22"/>
        <v>Low Quality</v>
      </c>
      <c r="Q250" s="4" t="str">
        <f t="shared" si="23"/>
        <v>Strong Long-Term Growth</v>
      </c>
    </row>
    <row r="251" spans="1:17" x14ac:dyDescent="0.35">
      <c r="A251" s="2" t="s">
        <v>261</v>
      </c>
      <c r="B251" s="2">
        <v>5</v>
      </c>
      <c r="C251" s="2">
        <v>69695527.299999997</v>
      </c>
      <c r="D251" s="2">
        <v>0.8</v>
      </c>
      <c r="E251" s="2">
        <v>448612024.60000002</v>
      </c>
      <c r="F251" s="2">
        <v>-352824980.69999999</v>
      </c>
      <c r="G251" s="2">
        <v>3</v>
      </c>
      <c r="H251" s="2">
        <v>5</v>
      </c>
      <c r="I251" s="2">
        <v>5</v>
      </c>
      <c r="J251" s="2">
        <v>4</v>
      </c>
      <c r="K251" s="2" t="s">
        <v>12</v>
      </c>
      <c r="L251" s="2" t="str">
        <f t="shared" si="18"/>
        <v>Profitable</v>
      </c>
      <c r="M251" s="2" t="str">
        <f t="shared" si="19"/>
        <v>Stable Earnings</v>
      </c>
      <c r="N251" s="2" t="str">
        <f t="shared" si="20"/>
        <v>Low Quality</v>
      </c>
      <c r="O251" s="4" t="str">
        <f t="shared" si="21"/>
        <v>Accounting Risk</v>
      </c>
      <c r="P251" s="4" t="str">
        <f t="shared" si="22"/>
        <v>Low Quality</v>
      </c>
      <c r="Q251" s="4" t="str">
        <f t="shared" si="23"/>
        <v>Strong Long-Term Growth</v>
      </c>
    </row>
    <row r="252" spans="1:17" x14ac:dyDescent="0.35">
      <c r="A252" s="2" t="s">
        <v>262</v>
      </c>
      <c r="B252" s="2">
        <v>5</v>
      </c>
      <c r="C252" s="2">
        <v>353780463.69999999</v>
      </c>
      <c r="D252" s="2">
        <v>0.6</v>
      </c>
      <c r="E252" s="2">
        <v>467813102.60000002</v>
      </c>
      <c r="F252" s="2">
        <v>-395016050.30000001</v>
      </c>
      <c r="G252" s="2">
        <v>3</v>
      </c>
      <c r="H252" s="2">
        <v>5</v>
      </c>
      <c r="I252" s="2">
        <v>5</v>
      </c>
      <c r="J252" s="2">
        <v>4</v>
      </c>
      <c r="K252" s="2" t="s">
        <v>12</v>
      </c>
      <c r="L252" s="2" t="str">
        <f t="shared" si="18"/>
        <v>Profitable</v>
      </c>
      <c r="M252" s="2" t="str">
        <f t="shared" si="19"/>
        <v>Stable Earnings</v>
      </c>
      <c r="N252" s="2" t="str">
        <f t="shared" si="20"/>
        <v>Low Quality</v>
      </c>
      <c r="O252" s="4" t="str">
        <f t="shared" si="21"/>
        <v>Accounting Risk</v>
      </c>
      <c r="P252" s="4" t="str">
        <f t="shared" si="22"/>
        <v>Low Quality</v>
      </c>
      <c r="Q252" s="4" t="str">
        <f t="shared" si="23"/>
        <v>Strong Long-Term Growth</v>
      </c>
    </row>
    <row r="253" spans="1:17" x14ac:dyDescent="0.35">
      <c r="A253" s="2" t="s">
        <v>263</v>
      </c>
      <c r="B253" s="2">
        <v>5</v>
      </c>
      <c r="C253" s="2">
        <v>264653290.69999999</v>
      </c>
      <c r="D253" s="2">
        <v>0.8</v>
      </c>
      <c r="E253" s="2">
        <v>538302332.70000005</v>
      </c>
      <c r="F253" s="2">
        <v>-308677898.19999999</v>
      </c>
      <c r="G253" s="2">
        <v>3</v>
      </c>
      <c r="H253" s="2">
        <v>5</v>
      </c>
      <c r="I253" s="2">
        <v>5</v>
      </c>
      <c r="J253" s="2">
        <v>4</v>
      </c>
      <c r="K253" s="2" t="s">
        <v>12</v>
      </c>
      <c r="L253" s="2" t="str">
        <f t="shared" si="18"/>
        <v>Profitable</v>
      </c>
      <c r="M253" s="2" t="str">
        <f t="shared" si="19"/>
        <v>Stable Earnings</v>
      </c>
      <c r="N253" s="2" t="str">
        <f t="shared" si="20"/>
        <v>Low Quality</v>
      </c>
      <c r="O253" s="4" t="str">
        <f t="shared" si="21"/>
        <v>Accounting Risk</v>
      </c>
      <c r="P253" s="4" t="str">
        <f t="shared" si="22"/>
        <v>Low Quality</v>
      </c>
      <c r="Q253" s="4" t="str">
        <f t="shared" si="23"/>
        <v>Strong Long-Term Growth</v>
      </c>
    </row>
    <row r="254" spans="1:17" x14ac:dyDescent="0.35">
      <c r="A254" s="2" t="s">
        <v>264</v>
      </c>
      <c r="B254" s="2">
        <v>5</v>
      </c>
      <c r="C254" s="2">
        <v>-20518470.920000002</v>
      </c>
      <c r="D254" s="2">
        <v>0.6</v>
      </c>
      <c r="E254" s="2">
        <v>376017097.30000001</v>
      </c>
      <c r="F254" s="2">
        <v>-136280050.5</v>
      </c>
      <c r="G254" s="2">
        <v>3</v>
      </c>
      <c r="H254" s="2">
        <v>5</v>
      </c>
      <c r="I254" s="2">
        <v>5</v>
      </c>
      <c r="J254" s="2">
        <v>4</v>
      </c>
      <c r="K254" s="2" t="s">
        <v>12</v>
      </c>
      <c r="L254" s="2" t="str">
        <f t="shared" si="18"/>
        <v>Loss Making</v>
      </c>
      <c r="M254" s="2" t="str">
        <f t="shared" si="19"/>
        <v>Stable Earnings</v>
      </c>
      <c r="N254" s="2" t="str">
        <f t="shared" si="20"/>
        <v>Low Quality</v>
      </c>
      <c r="O254" s="4" t="str">
        <f t="shared" si="21"/>
        <v>Accounting Risk</v>
      </c>
      <c r="P254" s="4" t="str">
        <f t="shared" si="22"/>
        <v>Low Quality</v>
      </c>
      <c r="Q254" s="4" t="str">
        <f t="shared" si="23"/>
        <v>Strong Long-Term Growth</v>
      </c>
    </row>
    <row r="255" spans="1:17" x14ac:dyDescent="0.35">
      <c r="A255" s="2" t="s">
        <v>265</v>
      </c>
      <c r="B255" s="2">
        <v>5</v>
      </c>
      <c r="C255" s="2">
        <v>223821118.19999999</v>
      </c>
      <c r="D255" s="2">
        <v>0.6</v>
      </c>
      <c r="E255" s="2">
        <v>382493809.19999999</v>
      </c>
      <c r="F255" s="2">
        <v>-192512103.80000001</v>
      </c>
      <c r="G255" s="2">
        <v>3</v>
      </c>
      <c r="H255" s="2">
        <v>5</v>
      </c>
      <c r="I255" s="2">
        <v>5</v>
      </c>
      <c r="J255" s="2">
        <v>4</v>
      </c>
      <c r="K255" s="2" t="s">
        <v>12</v>
      </c>
      <c r="L255" s="2" t="str">
        <f t="shared" si="18"/>
        <v>Profitable</v>
      </c>
      <c r="M255" s="2" t="str">
        <f t="shared" si="19"/>
        <v>Stable Earnings</v>
      </c>
      <c r="N255" s="2" t="str">
        <f t="shared" si="20"/>
        <v>Low Quality</v>
      </c>
      <c r="O255" s="4" t="str">
        <f t="shared" si="21"/>
        <v>Accounting Risk</v>
      </c>
      <c r="P255" s="4" t="str">
        <f t="shared" si="22"/>
        <v>Low Quality</v>
      </c>
      <c r="Q255" s="4" t="str">
        <f t="shared" si="23"/>
        <v>Strong Long-Term Growth</v>
      </c>
    </row>
    <row r="256" spans="1:17" x14ac:dyDescent="0.35">
      <c r="A256" s="2" t="s">
        <v>266</v>
      </c>
      <c r="B256" s="2">
        <v>5</v>
      </c>
      <c r="C256" s="2">
        <v>309154467.80000001</v>
      </c>
      <c r="D256" s="2">
        <v>0.6</v>
      </c>
      <c r="E256" s="2">
        <v>685825710.10000002</v>
      </c>
      <c r="F256" s="2">
        <v>-222364022.40000001</v>
      </c>
      <c r="G256" s="2">
        <v>3</v>
      </c>
      <c r="H256" s="2">
        <v>5</v>
      </c>
      <c r="I256" s="2">
        <v>5</v>
      </c>
      <c r="J256" s="2">
        <v>4</v>
      </c>
      <c r="K256" s="2" t="s">
        <v>12</v>
      </c>
      <c r="L256" s="2" t="str">
        <f t="shared" si="18"/>
        <v>Profitable</v>
      </c>
      <c r="M256" s="2" t="str">
        <f t="shared" si="19"/>
        <v>Stable Earnings</v>
      </c>
      <c r="N256" s="2" t="str">
        <f t="shared" si="20"/>
        <v>Low Quality</v>
      </c>
      <c r="O256" s="4" t="str">
        <f t="shared" si="21"/>
        <v>Accounting Risk</v>
      </c>
      <c r="P256" s="4" t="str">
        <f t="shared" si="22"/>
        <v>Low Quality</v>
      </c>
      <c r="Q256" s="4" t="str">
        <f t="shared" si="23"/>
        <v>Strong Long-Term Growth</v>
      </c>
    </row>
    <row r="257" spans="1:17" x14ac:dyDescent="0.35">
      <c r="A257" s="2" t="s">
        <v>267</v>
      </c>
      <c r="B257" s="2">
        <v>5</v>
      </c>
      <c r="C257" s="2">
        <v>267390175.09999999</v>
      </c>
      <c r="D257" s="2">
        <v>0.6</v>
      </c>
      <c r="E257" s="2">
        <v>509888102</v>
      </c>
      <c r="F257" s="2">
        <v>-219214144.59999999</v>
      </c>
      <c r="G257" s="2">
        <v>3</v>
      </c>
      <c r="H257" s="2">
        <v>5</v>
      </c>
      <c r="I257" s="2">
        <v>5</v>
      </c>
      <c r="J257" s="2">
        <v>4</v>
      </c>
      <c r="K257" s="2" t="s">
        <v>12</v>
      </c>
      <c r="L257" s="2" t="str">
        <f t="shared" si="18"/>
        <v>Profitable</v>
      </c>
      <c r="M257" s="2" t="str">
        <f t="shared" si="19"/>
        <v>Stable Earnings</v>
      </c>
      <c r="N257" s="2" t="str">
        <f t="shared" si="20"/>
        <v>Low Quality</v>
      </c>
      <c r="O257" s="4" t="str">
        <f t="shared" si="21"/>
        <v>Accounting Risk</v>
      </c>
      <c r="P257" s="4" t="str">
        <f t="shared" si="22"/>
        <v>Low Quality</v>
      </c>
      <c r="Q257" s="4" t="str">
        <f t="shared" si="23"/>
        <v>Strong Long-Term Growth</v>
      </c>
    </row>
    <row r="258" spans="1:17" x14ac:dyDescent="0.35">
      <c r="A258" s="2" t="s">
        <v>268</v>
      </c>
      <c r="B258" s="2">
        <v>5</v>
      </c>
      <c r="C258" s="2">
        <v>103975027.90000001</v>
      </c>
      <c r="D258" s="2">
        <v>0.8</v>
      </c>
      <c r="E258" s="2">
        <v>364509338.19999999</v>
      </c>
      <c r="F258" s="2">
        <v>-236803413.19999999</v>
      </c>
      <c r="G258" s="2">
        <v>3</v>
      </c>
      <c r="H258" s="2">
        <v>5</v>
      </c>
      <c r="I258" s="2">
        <v>5</v>
      </c>
      <c r="J258" s="2">
        <v>4</v>
      </c>
      <c r="K258" s="2" t="s">
        <v>12</v>
      </c>
      <c r="L258" s="2" t="str">
        <f t="shared" ref="L258:L321" si="24">IF(C258&gt;0,"Profitable","Loss Making")</f>
        <v>Profitable</v>
      </c>
      <c r="M258" s="2" t="str">
        <f t="shared" ref="M258:M321" si="25">IF(C258&gt;500000000,"High Volatility","Stable Earnings")</f>
        <v>Stable Earnings</v>
      </c>
      <c r="N258" s="2" t="str">
        <f t="shared" ref="N258:N321" si="26">IF(G258&gt;=7,"High Quality",IF(G258&gt;=4,"Moderate","Low Quality"))</f>
        <v>Low Quality</v>
      </c>
      <c r="O258" s="4" t="str">
        <f t="shared" ref="O258:O321" si="27">IF(AND(F258&gt;0,D258&gt;0.6),"Operational Growth","Accounting Risk")</f>
        <v>Accounting Risk</v>
      </c>
      <c r="P258" s="4" t="str">
        <f t="shared" ref="P258:P321" si="28">IF(G258&gt;=7,"High Quality", IF(G258&gt;=4,"Moderate","Low Quality"))</f>
        <v>Low Quality</v>
      </c>
      <c r="Q258" s="4" t="str">
        <f t="shared" ref="Q258:Q321" si="29">IF(I258&gt;=4,"Strong Long-Term Growth",IF(I258&gt;=2,"Moderate Growth","Weak Growth"))</f>
        <v>Strong Long-Term Growth</v>
      </c>
    </row>
    <row r="259" spans="1:17" x14ac:dyDescent="0.35">
      <c r="A259" s="2" t="s">
        <v>269</v>
      </c>
      <c r="B259" s="2">
        <v>5</v>
      </c>
      <c r="C259" s="2">
        <v>803263425</v>
      </c>
      <c r="D259" s="2">
        <v>0.8</v>
      </c>
      <c r="E259" s="2">
        <v>1137681932</v>
      </c>
      <c r="F259" s="2">
        <v>-224647268</v>
      </c>
      <c r="G259" s="2">
        <v>3</v>
      </c>
      <c r="H259" s="2">
        <v>5</v>
      </c>
      <c r="I259" s="2">
        <v>5</v>
      </c>
      <c r="J259" s="2">
        <v>4</v>
      </c>
      <c r="K259" s="2" t="s">
        <v>12</v>
      </c>
      <c r="L259" s="2" t="str">
        <f t="shared" si="24"/>
        <v>Profitable</v>
      </c>
      <c r="M259" s="2" t="str">
        <f t="shared" si="25"/>
        <v>High Volatility</v>
      </c>
      <c r="N259" s="2" t="str">
        <f t="shared" si="26"/>
        <v>Low Quality</v>
      </c>
      <c r="O259" s="4" t="str">
        <f t="shared" si="27"/>
        <v>Accounting Risk</v>
      </c>
      <c r="P259" s="4" t="str">
        <f t="shared" si="28"/>
        <v>Low Quality</v>
      </c>
      <c r="Q259" s="4" t="str">
        <f t="shared" si="29"/>
        <v>Strong Long-Term Growth</v>
      </c>
    </row>
    <row r="260" spans="1:17" x14ac:dyDescent="0.35">
      <c r="A260" s="2" t="s">
        <v>270</v>
      </c>
      <c r="B260" s="2">
        <v>5</v>
      </c>
      <c r="C260" s="2">
        <v>-252813420.69999999</v>
      </c>
      <c r="D260" s="2">
        <v>0</v>
      </c>
      <c r="E260" s="2">
        <v>68598504.769999996</v>
      </c>
      <c r="F260" s="2">
        <v>-247967.6</v>
      </c>
      <c r="G260" s="2">
        <v>5</v>
      </c>
      <c r="H260" s="2">
        <v>3</v>
      </c>
      <c r="I260" s="2">
        <v>3</v>
      </c>
      <c r="J260" s="2">
        <v>4</v>
      </c>
      <c r="K260" s="2" t="s">
        <v>12</v>
      </c>
      <c r="L260" s="2" t="str">
        <f t="shared" si="24"/>
        <v>Loss Making</v>
      </c>
      <c r="M260" s="2" t="str">
        <f t="shared" si="25"/>
        <v>Stable Earnings</v>
      </c>
      <c r="N260" s="2" t="str">
        <f t="shared" si="26"/>
        <v>Moderate</v>
      </c>
      <c r="O260" s="4" t="str">
        <f t="shared" si="27"/>
        <v>Accounting Risk</v>
      </c>
      <c r="P260" s="4" t="str">
        <f t="shared" si="28"/>
        <v>Moderate</v>
      </c>
      <c r="Q260" s="4" t="str">
        <f t="shared" si="29"/>
        <v>Moderate Growth</v>
      </c>
    </row>
    <row r="261" spans="1:17" x14ac:dyDescent="0.35">
      <c r="A261" s="2" t="s">
        <v>271</v>
      </c>
      <c r="B261" s="2">
        <v>5</v>
      </c>
      <c r="C261" s="2">
        <v>-130488819</v>
      </c>
      <c r="D261" s="2">
        <v>0</v>
      </c>
      <c r="E261" s="2">
        <v>48093572.810000002</v>
      </c>
      <c r="F261" s="2">
        <v>-645348.6</v>
      </c>
      <c r="G261" s="2">
        <v>5</v>
      </c>
      <c r="H261" s="2">
        <v>3</v>
      </c>
      <c r="I261" s="2">
        <v>3</v>
      </c>
      <c r="J261" s="2">
        <v>4</v>
      </c>
      <c r="K261" s="2" t="s">
        <v>12</v>
      </c>
      <c r="L261" s="2" t="str">
        <f t="shared" si="24"/>
        <v>Loss Making</v>
      </c>
      <c r="M261" s="2" t="str">
        <f t="shared" si="25"/>
        <v>Stable Earnings</v>
      </c>
      <c r="N261" s="2" t="str">
        <f t="shared" si="26"/>
        <v>Moderate</v>
      </c>
      <c r="O261" s="4" t="str">
        <f t="shared" si="27"/>
        <v>Accounting Risk</v>
      </c>
      <c r="P261" s="4" t="str">
        <f t="shared" si="28"/>
        <v>Moderate</v>
      </c>
      <c r="Q261" s="4" t="str">
        <f t="shared" si="29"/>
        <v>Moderate Growth</v>
      </c>
    </row>
    <row r="262" spans="1:17" x14ac:dyDescent="0.35">
      <c r="A262" s="2" t="s">
        <v>272</v>
      </c>
      <c r="B262" s="2">
        <v>5</v>
      </c>
      <c r="C262" s="2">
        <v>-78037637.079999998</v>
      </c>
      <c r="D262" s="2">
        <v>0</v>
      </c>
      <c r="E262" s="2">
        <v>68262994.540000007</v>
      </c>
      <c r="F262" s="2">
        <v>6730016.7000000002</v>
      </c>
      <c r="G262" s="2">
        <v>5</v>
      </c>
      <c r="H262" s="2">
        <v>3</v>
      </c>
      <c r="I262" s="2">
        <v>3</v>
      </c>
      <c r="J262" s="2">
        <v>4</v>
      </c>
      <c r="K262" s="2" t="s">
        <v>12</v>
      </c>
      <c r="L262" s="2" t="str">
        <f t="shared" si="24"/>
        <v>Loss Making</v>
      </c>
      <c r="M262" s="2" t="str">
        <f t="shared" si="25"/>
        <v>Stable Earnings</v>
      </c>
      <c r="N262" s="2" t="str">
        <f t="shared" si="26"/>
        <v>Moderate</v>
      </c>
      <c r="O262" s="4" t="str">
        <f t="shared" si="27"/>
        <v>Accounting Risk</v>
      </c>
      <c r="P262" s="4" t="str">
        <f t="shared" si="28"/>
        <v>Moderate</v>
      </c>
      <c r="Q262" s="4" t="str">
        <f t="shared" si="29"/>
        <v>Moderate Growth</v>
      </c>
    </row>
    <row r="263" spans="1:17" x14ac:dyDescent="0.35">
      <c r="A263" s="2" t="s">
        <v>273</v>
      </c>
      <c r="B263" s="2">
        <v>5</v>
      </c>
      <c r="C263" s="2">
        <v>-79179368.719999999</v>
      </c>
      <c r="D263" s="2">
        <v>0</v>
      </c>
      <c r="E263" s="2">
        <v>52205146.549999997</v>
      </c>
      <c r="F263" s="2">
        <v>4531264.5999999996</v>
      </c>
      <c r="G263" s="2">
        <v>5</v>
      </c>
      <c r="H263" s="2">
        <v>3</v>
      </c>
      <c r="I263" s="2">
        <v>3</v>
      </c>
      <c r="J263" s="2">
        <v>4</v>
      </c>
      <c r="K263" s="2" t="s">
        <v>12</v>
      </c>
      <c r="L263" s="2" t="str">
        <f t="shared" si="24"/>
        <v>Loss Making</v>
      </c>
      <c r="M263" s="2" t="str">
        <f t="shared" si="25"/>
        <v>Stable Earnings</v>
      </c>
      <c r="N263" s="2" t="str">
        <f t="shared" si="26"/>
        <v>Moderate</v>
      </c>
      <c r="O263" s="4" t="str">
        <f t="shared" si="27"/>
        <v>Accounting Risk</v>
      </c>
      <c r="P263" s="4" t="str">
        <f t="shared" si="28"/>
        <v>Moderate</v>
      </c>
      <c r="Q263" s="4" t="str">
        <f t="shared" si="29"/>
        <v>Moderate Growth</v>
      </c>
    </row>
    <row r="264" spans="1:17" x14ac:dyDescent="0.35">
      <c r="A264" s="2" t="s">
        <v>274</v>
      </c>
      <c r="B264" s="2">
        <v>5</v>
      </c>
      <c r="C264" s="2">
        <v>-227151671.5</v>
      </c>
      <c r="D264" s="2">
        <v>0</v>
      </c>
      <c r="E264" s="2">
        <v>53100766.009999998</v>
      </c>
      <c r="F264" s="2">
        <v>4001426.8</v>
      </c>
      <c r="G264" s="2">
        <v>5</v>
      </c>
      <c r="H264" s="2">
        <v>3</v>
      </c>
      <c r="I264" s="2">
        <v>3</v>
      </c>
      <c r="J264" s="2">
        <v>4</v>
      </c>
      <c r="K264" s="2" t="s">
        <v>12</v>
      </c>
      <c r="L264" s="2" t="str">
        <f t="shared" si="24"/>
        <v>Loss Making</v>
      </c>
      <c r="M264" s="2" t="str">
        <f t="shared" si="25"/>
        <v>Stable Earnings</v>
      </c>
      <c r="N264" s="2" t="str">
        <f t="shared" si="26"/>
        <v>Moderate</v>
      </c>
      <c r="O264" s="4" t="str">
        <f t="shared" si="27"/>
        <v>Accounting Risk</v>
      </c>
      <c r="P264" s="4" t="str">
        <f t="shared" si="28"/>
        <v>Moderate</v>
      </c>
      <c r="Q264" s="4" t="str">
        <f t="shared" si="29"/>
        <v>Moderate Growth</v>
      </c>
    </row>
    <row r="265" spans="1:17" x14ac:dyDescent="0.35">
      <c r="A265" s="2" t="s">
        <v>275</v>
      </c>
      <c r="B265" s="2">
        <v>5</v>
      </c>
      <c r="C265" s="2">
        <v>27914869.780000001</v>
      </c>
      <c r="D265" s="2">
        <v>0.2</v>
      </c>
      <c r="E265" s="2">
        <v>135646447.19999999</v>
      </c>
      <c r="F265" s="2">
        <v>-10064563</v>
      </c>
      <c r="G265" s="2">
        <v>4</v>
      </c>
      <c r="H265" s="2">
        <v>4</v>
      </c>
      <c r="I265" s="2">
        <v>4</v>
      </c>
      <c r="J265" s="2">
        <v>4</v>
      </c>
      <c r="K265" s="2" t="s">
        <v>12</v>
      </c>
      <c r="L265" s="2" t="str">
        <f t="shared" si="24"/>
        <v>Profitable</v>
      </c>
      <c r="M265" s="2" t="str">
        <f t="shared" si="25"/>
        <v>Stable Earnings</v>
      </c>
      <c r="N265" s="2" t="str">
        <f t="shared" si="26"/>
        <v>Moderate</v>
      </c>
      <c r="O265" s="4" t="str">
        <f t="shared" si="27"/>
        <v>Accounting Risk</v>
      </c>
      <c r="P265" s="4" t="str">
        <f t="shared" si="28"/>
        <v>Moderate</v>
      </c>
      <c r="Q265" s="4" t="str">
        <f t="shared" si="29"/>
        <v>Strong Long-Term Growth</v>
      </c>
    </row>
    <row r="266" spans="1:17" x14ac:dyDescent="0.35">
      <c r="A266" s="2" t="s">
        <v>276</v>
      </c>
      <c r="B266" s="2">
        <v>5</v>
      </c>
      <c r="C266" s="2">
        <v>64945902.759999998</v>
      </c>
      <c r="D266" s="2">
        <v>0.4</v>
      </c>
      <c r="E266" s="2">
        <v>152824982.90000001</v>
      </c>
      <c r="F266" s="2">
        <v>-13735895.5</v>
      </c>
      <c r="G266" s="2">
        <v>4</v>
      </c>
      <c r="H266" s="2">
        <v>4</v>
      </c>
      <c r="I266" s="2">
        <v>4</v>
      </c>
      <c r="J266" s="2">
        <v>4</v>
      </c>
      <c r="K266" s="2" t="s">
        <v>12</v>
      </c>
      <c r="L266" s="2" t="str">
        <f t="shared" si="24"/>
        <v>Profitable</v>
      </c>
      <c r="M266" s="2" t="str">
        <f t="shared" si="25"/>
        <v>Stable Earnings</v>
      </c>
      <c r="N266" s="2" t="str">
        <f t="shared" si="26"/>
        <v>Moderate</v>
      </c>
      <c r="O266" s="4" t="str">
        <f t="shared" si="27"/>
        <v>Accounting Risk</v>
      </c>
      <c r="P266" s="4" t="str">
        <f t="shared" si="28"/>
        <v>Moderate</v>
      </c>
      <c r="Q266" s="4" t="str">
        <f t="shared" si="29"/>
        <v>Strong Long-Term Growth</v>
      </c>
    </row>
    <row r="267" spans="1:17" x14ac:dyDescent="0.35">
      <c r="A267" s="2" t="s">
        <v>277</v>
      </c>
      <c r="B267" s="2">
        <v>5</v>
      </c>
      <c r="C267" s="2">
        <v>-75624765.379999995</v>
      </c>
      <c r="D267" s="2">
        <v>0.2</v>
      </c>
      <c r="E267" s="2">
        <v>118738330.59999999</v>
      </c>
      <c r="F267" s="2">
        <v>-21351895.600000001</v>
      </c>
      <c r="G267" s="2">
        <v>4</v>
      </c>
      <c r="H267" s="2">
        <v>4</v>
      </c>
      <c r="I267" s="2">
        <v>4</v>
      </c>
      <c r="J267" s="2">
        <v>4</v>
      </c>
      <c r="K267" s="2" t="s">
        <v>12</v>
      </c>
      <c r="L267" s="2" t="str">
        <f t="shared" si="24"/>
        <v>Loss Making</v>
      </c>
      <c r="M267" s="2" t="str">
        <f t="shared" si="25"/>
        <v>Stable Earnings</v>
      </c>
      <c r="N267" s="2" t="str">
        <f t="shared" si="26"/>
        <v>Moderate</v>
      </c>
      <c r="O267" s="4" t="str">
        <f t="shared" si="27"/>
        <v>Accounting Risk</v>
      </c>
      <c r="P267" s="4" t="str">
        <f t="shared" si="28"/>
        <v>Moderate</v>
      </c>
      <c r="Q267" s="4" t="str">
        <f t="shared" si="29"/>
        <v>Strong Long-Term Growth</v>
      </c>
    </row>
    <row r="268" spans="1:17" x14ac:dyDescent="0.35">
      <c r="A268" s="2" t="s">
        <v>278</v>
      </c>
      <c r="B268" s="2">
        <v>5</v>
      </c>
      <c r="C268" s="2">
        <v>-96011061.560000002</v>
      </c>
      <c r="D268" s="2">
        <v>0.2</v>
      </c>
      <c r="E268" s="2">
        <v>165591969.59999999</v>
      </c>
      <c r="F268" s="2">
        <v>-32076017</v>
      </c>
      <c r="G268" s="2">
        <v>4</v>
      </c>
      <c r="H268" s="2">
        <v>4</v>
      </c>
      <c r="I268" s="2">
        <v>4</v>
      </c>
      <c r="J268" s="2">
        <v>4</v>
      </c>
      <c r="K268" s="2" t="s">
        <v>12</v>
      </c>
      <c r="L268" s="2" t="str">
        <f t="shared" si="24"/>
        <v>Loss Making</v>
      </c>
      <c r="M268" s="2" t="str">
        <f t="shared" si="25"/>
        <v>Stable Earnings</v>
      </c>
      <c r="N268" s="2" t="str">
        <f t="shared" si="26"/>
        <v>Moderate</v>
      </c>
      <c r="O268" s="4" t="str">
        <f t="shared" si="27"/>
        <v>Accounting Risk</v>
      </c>
      <c r="P268" s="4" t="str">
        <f t="shared" si="28"/>
        <v>Moderate</v>
      </c>
      <c r="Q268" s="4" t="str">
        <f t="shared" si="29"/>
        <v>Strong Long-Term Growth</v>
      </c>
    </row>
    <row r="269" spans="1:17" x14ac:dyDescent="0.35">
      <c r="A269" s="2" t="s">
        <v>279</v>
      </c>
      <c r="B269" s="2">
        <v>5</v>
      </c>
      <c r="C269" s="2">
        <v>-16795642.039999999</v>
      </c>
      <c r="D269" s="2">
        <v>0.4</v>
      </c>
      <c r="E269" s="2">
        <v>140320387.40000001</v>
      </c>
      <c r="F269" s="2">
        <v>-32165022.300000001</v>
      </c>
      <c r="G269" s="2">
        <v>4</v>
      </c>
      <c r="H269" s="2">
        <v>4</v>
      </c>
      <c r="I269" s="2">
        <v>4</v>
      </c>
      <c r="J269" s="2">
        <v>4</v>
      </c>
      <c r="K269" s="2" t="s">
        <v>12</v>
      </c>
      <c r="L269" s="2" t="str">
        <f t="shared" si="24"/>
        <v>Loss Making</v>
      </c>
      <c r="M269" s="2" t="str">
        <f t="shared" si="25"/>
        <v>Stable Earnings</v>
      </c>
      <c r="N269" s="2" t="str">
        <f t="shared" si="26"/>
        <v>Moderate</v>
      </c>
      <c r="O269" s="4" t="str">
        <f t="shared" si="27"/>
        <v>Accounting Risk</v>
      </c>
      <c r="P269" s="4" t="str">
        <f t="shared" si="28"/>
        <v>Moderate</v>
      </c>
      <c r="Q269" s="4" t="str">
        <f t="shared" si="29"/>
        <v>Strong Long-Term Growth</v>
      </c>
    </row>
    <row r="270" spans="1:17" x14ac:dyDescent="0.35">
      <c r="A270" s="2" t="s">
        <v>280</v>
      </c>
      <c r="B270" s="2">
        <v>5</v>
      </c>
      <c r="C270" s="2">
        <v>-104505334.09999999</v>
      </c>
      <c r="D270" s="2">
        <v>0</v>
      </c>
      <c r="E270" s="2">
        <v>52267656.880000003</v>
      </c>
      <c r="F270" s="2">
        <v>12638887</v>
      </c>
      <c r="G270" s="2">
        <v>5</v>
      </c>
      <c r="H270" s="2">
        <v>3</v>
      </c>
      <c r="I270" s="2">
        <v>3</v>
      </c>
      <c r="J270" s="2">
        <v>4</v>
      </c>
      <c r="K270" s="2" t="s">
        <v>12</v>
      </c>
      <c r="L270" s="2" t="str">
        <f t="shared" si="24"/>
        <v>Loss Making</v>
      </c>
      <c r="M270" s="2" t="str">
        <f t="shared" si="25"/>
        <v>Stable Earnings</v>
      </c>
      <c r="N270" s="2" t="str">
        <f t="shared" si="26"/>
        <v>Moderate</v>
      </c>
      <c r="O270" s="4" t="str">
        <f t="shared" si="27"/>
        <v>Accounting Risk</v>
      </c>
      <c r="P270" s="4" t="str">
        <f t="shared" si="28"/>
        <v>Moderate</v>
      </c>
      <c r="Q270" s="4" t="str">
        <f t="shared" si="29"/>
        <v>Moderate Growth</v>
      </c>
    </row>
    <row r="271" spans="1:17" x14ac:dyDescent="0.35">
      <c r="A271" s="2" t="s">
        <v>281</v>
      </c>
      <c r="B271" s="2">
        <v>5</v>
      </c>
      <c r="C271" s="2">
        <v>-211848523.69999999</v>
      </c>
      <c r="D271" s="2">
        <v>0</v>
      </c>
      <c r="E271" s="2">
        <v>64640725.850000001</v>
      </c>
      <c r="F271" s="2">
        <v>22233848.699999999</v>
      </c>
      <c r="G271" s="2">
        <v>5</v>
      </c>
      <c r="H271" s="2">
        <v>3</v>
      </c>
      <c r="I271" s="2">
        <v>3</v>
      </c>
      <c r="J271" s="2">
        <v>4</v>
      </c>
      <c r="K271" s="2" t="s">
        <v>12</v>
      </c>
      <c r="L271" s="2" t="str">
        <f t="shared" si="24"/>
        <v>Loss Making</v>
      </c>
      <c r="M271" s="2" t="str">
        <f t="shared" si="25"/>
        <v>Stable Earnings</v>
      </c>
      <c r="N271" s="2" t="str">
        <f t="shared" si="26"/>
        <v>Moderate</v>
      </c>
      <c r="O271" s="4" t="str">
        <f t="shared" si="27"/>
        <v>Accounting Risk</v>
      </c>
      <c r="P271" s="4" t="str">
        <f t="shared" si="28"/>
        <v>Moderate</v>
      </c>
      <c r="Q271" s="4" t="str">
        <f t="shared" si="29"/>
        <v>Moderate Growth</v>
      </c>
    </row>
    <row r="272" spans="1:17" x14ac:dyDescent="0.35">
      <c r="A272" s="2" t="s">
        <v>282</v>
      </c>
      <c r="B272" s="2">
        <v>5</v>
      </c>
      <c r="C272" s="2">
        <v>3188359473</v>
      </c>
      <c r="D272" s="2">
        <v>0.8</v>
      </c>
      <c r="E272" s="2">
        <v>5189698894</v>
      </c>
      <c r="F272" s="2">
        <v>-9085609598</v>
      </c>
      <c r="G272" s="2">
        <v>3</v>
      </c>
      <c r="H272" s="2">
        <v>5</v>
      </c>
      <c r="I272" s="2">
        <v>5</v>
      </c>
      <c r="J272" s="2">
        <v>4</v>
      </c>
      <c r="K272" s="2" t="s">
        <v>12</v>
      </c>
      <c r="L272" s="2" t="str">
        <f t="shared" si="24"/>
        <v>Profitable</v>
      </c>
      <c r="M272" s="2" t="str">
        <f t="shared" si="25"/>
        <v>High Volatility</v>
      </c>
      <c r="N272" s="2" t="str">
        <f t="shared" si="26"/>
        <v>Low Quality</v>
      </c>
      <c r="O272" s="4" t="str">
        <f t="shared" si="27"/>
        <v>Accounting Risk</v>
      </c>
      <c r="P272" s="4" t="str">
        <f t="shared" si="28"/>
        <v>Low Quality</v>
      </c>
      <c r="Q272" s="4" t="str">
        <f t="shared" si="29"/>
        <v>Strong Long-Term Growth</v>
      </c>
    </row>
    <row r="273" spans="1:17" x14ac:dyDescent="0.35">
      <c r="A273" s="2" t="s">
        <v>283</v>
      </c>
      <c r="B273" s="2">
        <v>5</v>
      </c>
      <c r="C273" s="2">
        <v>3615786004</v>
      </c>
      <c r="D273" s="2">
        <v>0.8</v>
      </c>
      <c r="E273" s="2">
        <v>5761867258</v>
      </c>
      <c r="F273" s="2">
        <v>-12450634474</v>
      </c>
      <c r="G273" s="2">
        <v>3</v>
      </c>
      <c r="H273" s="2">
        <v>5</v>
      </c>
      <c r="I273" s="2">
        <v>5</v>
      </c>
      <c r="J273" s="2">
        <v>4</v>
      </c>
      <c r="K273" s="2" t="s">
        <v>12</v>
      </c>
      <c r="L273" s="2" t="str">
        <f t="shared" si="24"/>
        <v>Profitable</v>
      </c>
      <c r="M273" s="2" t="str">
        <f t="shared" si="25"/>
        <v>High Volatility</v>
      </c>
      <c r="N273" s="2" t="str">
        <f t="shared" si="26"/>
        <v>Low Quality</v>
      </c>
      <c r="O273" s="4" t="str">
        <f t="shared" si="27"/>
        <v>Accounting Risk</v>
      </c>
      <c r="P273" s="4" t="str">
        <f t="shared" si="28"/>
        <v>Low Quality</v>
      </c>
      <c r="Q273" s="4" t="str">
        <f t="shared" si="29"/>
        <v>Strong Long-Term Growth</v>
      </c>
    </row>
    <row r="274" spans="1:17" x14ac:dyDescent="0.35">
      <c r="A274" s="2" t="s">
        <v>284</v>
      </c>
      <c r="B274" s="2">
        <v>5</v>
      </c>
      <c r="C274" s="2">
        <v>716442550.10000002</v>
      </c>
      <c r="D274" s="2">
        <v>0.6</v>
      </c>
      <c r="E274" s="2">
        <v>2255082091</v>
      </c>
      <c r="F274" s="2">
        <v>-5286014054</v>
      </c>
      <c r="G274" s="2">
        <v>3</v>
      </c>
      <c r="H274" s="2">
        <v>5</v>
      </c>
      <c r="I274" s="2">
        <v>5</v>
      </c>
      <c r="J274" s="2">
        <v>4</v>
      </c>
      <c r="K274" s="2" t="s">
        <v>12</v>
      </c>
      <c r="L274" s="2" t="str">
        <f t="shared" si="24"/>
        <v>Profitable</v>
      </c>
      <c r="M274" s="2" t="str">
        <f t="shared" si="25"/>
        <v>High Volatility</v>
      </c>
      <c r="N274" s="2" t="str">
        <f t="shared" si="26"/>
        <v>Low Quality</v>
      </c>
      <c r="O274" s="4" t="str">
        <f t="shared" si="27"/>
        <v>Accounting Risk</v>
      </c>
      <c r="P274" s="4" t="str">
        <f t="shared" si="28"/>
        <v>Low Quality</v>
      </c>
      <c r="Q274" s="4" t="str">
        <f t="shared" si="29"/>
        <v>Strong Long-Term Growth</v>
      </c>
    </row>
    <row r="275" spans="1:17" x14ac:dyDescent="0.35">
      <c r="A275" s="2" t="s">
        <v>285</v>
      </c>
      <c r="B275" s="2">
        <v>5</v>
      </c>
      <c r="C275" s="2">
        <v>-1300475238</v>
      </c>
      <c r="D275" s="2">
        <v>0.6</v>
      </c>
      <c r="E275" s="2">
        <v>4151333698</v>
      </c>
      <c r="F275" s="2">
        <v>-5356514157</v>
      </c>
      <c r="G275" s="2">
        <v>3</v>
      </c>
      <c r="H275" s="2">
        <v>5</v>
      </c>
      <c r="I275" s="2">
        <v>5</v>
      </c>
      <c r="J275" s="2">
        <v>4</v>
      </c>
      <c r="K275" s="2" t="s">
        <v>12</v>
      </c>
      <c r="L275" s="2" t="str">
        <f t="shared" si="24"/>
        <v>Loss Making</v>
      </c>
      <c r="M275" s="2" t="str">
        <f t="shared" si="25"/>
        <v>Stable Earnings</v>
      </c>
      <c r="N275" s="2" t="str">
        <f t="shared" si="26"/>
        <v>Low Quality</v>
      </c>
      <c r="O275" s="4" t="str">
        <f t="shared" si="27"/>
        <v>Accounting Risk</v>
      </c>
      <c r="P275" s="4" t="str">
        <f t="shared" si="28"/>
        <v>Low Quality</v>
      </c>
      <c r="Q275" s="4" t="str">
        <f t="shared" si="29"/>
        <v>Strong Long-Term Growth</v>
      </c>
    </row>
    <row r="276" spans="1:17" x14ac:dyDescent="0.35">
      <c r="A276" s="2" t="s">
        <v>286</v>
      </c>
      <c r="B276" s="2">
        <v>5</v>
      </c>
      <c r="C276" s="2">
        <v>1604174965</v>
      </c>
      <c r="D276" s="2">
        <v>0.6</v>
      </c>
      <c r="E276" s="2">
        <v>3065542612</v>
      </c>
      <c r="F276" s="2">
        <v>-5485227374</v>
      </c>
      <c r="G276" s="2">
        <v>3</v>
      </c>
      <c r="H276" s="2">
        <v>5</v>
      </c>
      <c r="I276" s="2">
        <v>5</v>
      </c>
      <c r="J276" s="2">
        <v>4</v>
      </c>
      <c r="K276" s="2" t="s">
        <v>12</v>
      </c>
      <c r="L276" s="2" t="str">
        <f t="shared" si="24"/>
        <v>Profitable</v>
      </c>
      <c r="M276" s="2" t="str">
        <f t="shared" si="25"/>
        <v>High Volatility</v>
      </c>
      <c r="N276" s="2" t="str">
        <f t="shared" si="26"/>
        <v>Low Quality</v>
      </c>
      <c r="O276" s="4" t="str">
        <f t="shared" si="27"/>
        <v>Accounting Risk</v>
      </c>
      <c r="P276" s="4" t="str">
        <f t="shared" si="28"/>
        <v>Low Quality</v>
      </c>
      <c r="Q276" s="4" t="str">
        <f t="shared" si="29"/>
        <v>Strong Long-Term Growth</v>
      </c>
    </row>
    <row r="277" spans="1:17" x14ac:dyDescent="0.35">
      <c r="A277" s="2" t="s">
        <v>287</v>
      </c>
      <c r="B277" s="2">
        <v>5</v>
      </c>
      <c r="C277" s="2">
        <v>557539667.39999998</v>
      </c>
      <c r="D277" s="2">
        <v>0.6</v>
      </c>
      <c r="E277" s="2">
        <v>1489317496</v>
      </c>
      <c r="F277" s="2">
        <v>-3076607794</v>
      </c>
      <c r="G277" s="2">
        <v>3</v>
      </c>
      <c r="H277" s="2">
        <v>5</v>
      </c>
      <c r="I277" s="2">
        <v>5</v>
      </c>
      <c r="J277" s="2">
        <v>4</v>
      </c>
      <c r="K277" s="2" t="s">
        <v>12</v>
      </c>
      <c r="L277" s="2" t="str">
        <f t="shared" si="24"/>
        <v>Profitable</v>
      </c>
      <c r="M277" s="2" t="str">
        <f t="shared" si="25"/>
        <v>High Volatility</v>
      </c>
      <c r="N277" s="2" t="str">
        <f t="shared" si="26"/>
        <v>Low Quality</v>
      </c>
      <c r="O277" s="4" t="str">
        <f t="shared" si="27"/>
        <v>Accounting Risk</v>
      </c>
      <c r="P277" s="4" t="str">
        <f t="shared" si="28"/>
        <v>Low Quality</v>
      </c>
      <c r="Q277" s="4" t="str">
        <f t="shared" si="29"/>
        <v>Strong Long-Term Growth</v>
      </c>
    </row>
    <row r="278" spans="1:17" x14ac:dyDescent="0.35">
      <c r="A278" s="2" t="s">
        <v>288</v>
      </c>
      <c r="B278" s="2">
        <v>5</v>
      </c>
      <c r="C278" s="2">
        <v>306313816.39999998</v>
      </c>
      <c r="D278" s="2">
        <v>0.6</v>
      </c>
      <c r="E278" s="2">
        <v>2016562081</v>
      </c>
      <c r="F278" s="2">
        <v>-3104164408</v>
      </c>
      <c r="G278" s="2">
        <v>3</v>
      </c>
      <c r="H278" s="2">
        <v>5</v>
      </c>
      <c r="I278" s="2">
        <v>5</v>
      </c>
      <c r="J278" s="2">
        <v>4</v>
      </c>
      <c r="K278" s="2" t="s">
        <v>12</v>
      </c>
      <c r="L278" s="2" t="str">
        <f t="shared" si="24"/>
        <v>Profitable</v>
      </c>
      <c r="M278" s="2" t="str">
        <f t="shared" si="25"/>
        <v>Stable Earnings</v>
      </c>
      <c r="N278" s="2" t="str">
        <f t="shared" si="26"/>
        <v>Low Quality</v>
      </c>
      <c r="O278" s="4" t="str">
        <f t="shared" si="27"/>
        <v>Accounting Risk</v>
      </c>
      <c r="P278" s="4" t="str">
        <f t="shared" si="28"/>
        <v>Low Quality</v>
      </c>
      <c r="Q278" s="4" t="str">
        <f t="shared" si="29"/>
        <v>Strong Long-Term Growth</v>
      </c>
    </row>
    <row r="279" spans="1:17" x14ac:dyDescent="0.35">
      <c r="A279" s="2" t="s">
        <v>289</v>
      </c>
      <c r="B279" s="2">
        <v>5</v>
      </c>
      <c r="C279" s="2">
        <v>-685864597.29999995</v>
      </c>
      <c r="D279" s="2">
        <v>0.6</v>
      </c>
      <c r="E279" s="2">
        <v>1465812497</v>
      </c>
      <c r="F279" s="2">
        <v>-3136176435</v>
      </c>
      <c r="G279" s="2">
        <v>3</v>
      </c>
      <c r="H279" s="2">
        <v>5</v>
      </c>
      <c r="I279" s="2">
        <v>5</v>
      </c>
      <c r="J279" s="2">
        <v>4</v>
      </c>
      <c r="K279" s="2" t="s">
        <v>12</v>
      </c>
      <c r="L279" s="2" t="str">
        <f t="shared" si="24"/>
        <v>Loss Making</v>
      </c>
      <c r="M279" s="2" t="str">
        <f t="shared" si="25"/>
        <v>Stable Earnings</v>
      </c>
      <c r="N279" s="2" t="str">
        <f t="shared" si="26"/>
        <v>Low Quality</v>
      </c>
      <c r="O279" s="4" t="str">
        <f t="shared" si="27"/>
        <v>Accounting Risk</v>
      </c>
      <c r="P279" s="4" t="str">
        <f t="shared" si="28"/>
        <v>Low Quality</v>
      </c>
      <c r="Q279" s="4" t="str">
        <f t="shared" si="29"/>
        <v>Strong Long-Term Growth</v>
      </c>
    </row>
    <row r="280" spans="1:17" x14ac:dyDescent="0.35">
      <c r="A280" s="2" t="s">
        <v>290</v>
      </c>
      <c r="B280" s="2">
        <v>5</v>
      </c>
      <c r="C280" s="2">
        <v>793266467.39999998</v>
      </c>
      <c r="D280" s="2">
        <v>0.8</v>
      </c>
      <c r="E280" s="2">
        <v>1058574509</v>
      </c>
      <c r="F280" s="2">
        <v>-1836029828</v>
      </c>
      <c r="G280" s="2">
        <v>3</v>
      </c>
      <c r="H280" s="2">
        <v>5</v>
      </c>
      <c r="I280" s="2">
        <v>5</v>
      </c>
      <c r="J280" s="2">
        <v>4</v>
      </c>
      <c r="K280" s="2" t="s">
        <v>12</v>
      </c>
      <c r="L280" s="2" t="str">
        <f t="shared" si="24"/>
        <v>Profitable</v>
      </c>
      <c r="M280" s="2" t="str">
        <f t="shared" si="25"/>
        <v>High Volatility</v>
      </c>
      <c r="N280" s="2" t="str">
        <f t="shared" si="26"/>
        <v>Low Quality</v>
      </c>
      <c r="O280" s="4" t="str">
        <f t="shared" si="27"/>
        <v>Accounting Risk</v>
      </c>
      <c r="P280" s="4" t="str">
        <f t="shared" si="28"/>
        <v>Low Quality</v>
      </c>
      <c r="Q280" s="4" t="str">
        <f t="shared" si="29"/>
        <v>Strong Long-Term Growth</v>
      </c>
    </row>
    <row r="281" spans="1:17" x14ac:dyDescent="0.35">
      <c r="A281" s="2" t="s">
        <v>291</v>
      </c>
      <c r="B281" s="2">
        <v>5</v>
      </c>
      <c r="C281" s="2">
        <v>-10661820.82</v>
      </c>
      <c r="D281" s="2">
        <v>0.8</v>
      </c>
      <c r="E281" s="2">
        <v>796712596.70000005</v>
      </c>
      <c r="F281" s="2">
        <v>-1933630206</v>
      </c>
      <c r="G281" s="2">
        <v>3</v>
      </c>
      <c r="H281" s="2">
        <v>5</v>
      </c>
      <c r="I281" s="2">
        <v>5</v>
      </c>
      <c r="J281" s="2">
        <v>4</v>
      </c>
      <c r="K281" s="2" t="s">
        <v>12</v>
      </c>
      <c r="L281" s="2" t="str">
        <f t="shared" si="24"/>
        <v>Loss Making</v>
      </c>
      <c r="M281" s="2" t="str">
        <f t="shared" si="25"/>
        <v>Stable Earnings</v>
      </c>
      <c r="N281" s="2" t="str">
        <f t="shared" si="26"/>
        <v>Low Quality</v>
      </c>
      <c r="O281" s="4" t="str">
        <f t="shared" si="27"/>
        <v>Accounting Risk</v>
      </c>
      <c r="P281" s="4" t="str">
        <f t="shared" si="28"/>
        <v>Low Quality</v>
      </c>
      <c r="Q281" s="4" t="str">
        <f t="shared" si="29"/>
        <v>Strong Long-Term Growth</v>
      </c>
    </row>
    <row r="282" spans="1:17" x14ac:dyDescent="0.35">
      <c r="A282" s="2" t="s">
        <v>292</v>
      </c>
      <c r="B282" s="2">
        <v>5</v>
      </c>
      <c r="C282" s="2">
        <v>-88467515.420000002</v>
      </c>
      <c r="D282" s="2">
        <v>0.8</v>
      </c>
      <c r="E282" s="2">
        <v>977714391.60000002</v>
      </c>
      <c r="F282" s="2">
        <v>-1956204419</v>
      </c>
      <c r="G282" s="2">
        <v>3</v>
      </c>
      <c r="H282" s="2">
        <v>5</v>
      </c>
      <c r="I282" s="2">
        <v>5</v>
      </c>
      <c r="J282" s="2">
        <v>4</v>
      </c>
      <c r="K282" s="2" t="s">
        <v>12</v>
      </c>
      <c r="L282" s="2" t="str">
        <f t="shared" si="24"/>
        <v>Loss Making</v>
      </c>
      <c r="M282" s="2" t="str">
        <f t="shared" si="25"/>
        <v>Stable Earnings</v>
      </c>
      <c r="N282" s="2" t="str">
        <f t="shared" si="26"/>
        <v>Low Quality</v>
      </c>
      <c r="O282" s="4" t="str">
        <f t="shared" si="27"/>
        <v>Accounting Risk</v>
      </c>
      <c r="P282" s="4" t="str">
        <f t="shared" si="28"/>
        <v>Low Quality</v>
      </c>
      <c r="Q282" s="4" t="str">
        <f t="shared" si="29"/>
        <v>Strong Long-Term Growth</v>
      </c>
    </row>
    <row r="283" spans="1:17" x14ac:dyDescent="0.35">
      <c r="A283" s="2" t="s">
        <v>293</v>
      </c>
      <c r="B283" s="2">
        <v>5</v>
      </c>
      <c r="C283" s="2">
        <v>1547689730</v>
      </c>
      <c r="D283" s="2">
        <v>0.8</v>
      </c>
      <c r="E283" s="2">
        <v>1749216309</v>
      </c>
      <c r="F283" s="2">
        <v>-2853877002</v>
      </c>
      <c r="G283" s="2">
        <v>3</v>
      </c>
      <c r="H283" s="2">
        <v>5</v>
      </c>
      <c r="I283" s="2">
        <v>5</v>
      </c>
      <c r="J283" s="2">
        <v>4</v>
      </c>
      <c r="K283" s="2" t="s">
        <v>12</v>
      </c>
      <c r="L283" s="2" t="str">
        <f t="shared" si="24"/>
        <v>Profitable</v>
      </c>
      <c r="M283" s="2" t="str">
        <f t="shared" si="25"/>
        <v>High Volatility</v>
      </c>
      <c r="N283" s="2" t="str">
        <f t="shared" si="26"/>
        <v>Low Quality</v>
      </c>
      <c r="O283" s="4" t="str">
        <f t="shared" si="27"/>
        <v>Accounting Risk</v>
      </c>
      <c r="P283" s="4" t="str">
        <f t="shared" si="28"/>
        <v>Low Quality</v>
      </c>
      <c r="Q283" s="4" t="str">
        <f t="shared" si="29"/>
        <v>Strong Long-Term Growth</v>
      </c>
    </row>
    <row r="284" spans="1:17" x14ac:dyDescent="0.35">
      <c r="A284" s="2" t="s">
        <v>294</v>
      </c>
      <c r="B284" s="2">
        <v>5</v>
      </c>
      <c r="C284" s="2">
        <v>658642245.39999998</v>
      </c>
      <c r="D284" s="2">
        <v>0.6</v>
      </c>
      <c r="E284" s="2">
        <v>1883364369</v>
      </c>
      <c r="F284" s="2">
        <v>-1447485588</v>
      </c>
      <c r="G284" s="2">
        <v>3</v>
      </c>
      <c r="H284" s="2">
        <v>5</v>
      </c>
      <c r="I284" s="2">
        <v>5</v>
      </c>
      <c r="J284" s="2">
        <v>4</v>
      </c>
      <c r="K284" s="2" t="s">
        <v>12</v>
      </c>
      <c r="L284" s="2" t="str">
        <f t="shared" si="24"/>
        <v>Profitable</v>
      </c>
      <c r="M284" s="2" t="str">
        <f t="shared" si="25"/>
        <v>High Volatility</v>
      </c>
      <c r="N284" s="2" t="str">
        <f t="shared" si="26"/>
        <v>Low Quality</v>
      </c>
      <c r="O284" s="4" t="str">
        <f t="shared" si="27"/>
        <v>Accounting Risk</v>
      </c>
      <c r="P284" s="4" t="str">
        <f t="shared" si="28"/>
        <v>Low Quality</v>
      </c>
      <c r="Q284" s="4" t="str">
        <f t="shared" si="29"/>
        <v>Strong Long-Term Growth</v>
      </c>
    </row>
    <row r="285" spans="1:17" x14ac:dyDescent="0.35">
      <c r="A285" s="2" t="s">
        <v>295</v>
      </c>
      <c r="B285" s="2">
        <v>5</v>
      </c>
      <c r="C285" s="2">
        <v>165661959.40000001</v>
      </c>
      <c r="D285" s="2">
        <v>0.6</v>
      </c>
      <c r="E285" s="2">
        <v>737497805.20000005</v>
      </c>
      <c r="F285" s="2">
        <v>-1401691953</v>
      </c>
      <c r="G285" s="2">
        <v>3</v>
      </c>
      <c r="H285" s="2">
        <v>5</v>
      </c>
      <c r="I285" s="2">
        <v>5</v>
      </c>
      <c r="J285" s="2">
        <v>4</v>
      </c>
      <c r="K285" s="2" t="s">
        <v>12</v>
      </c>
      <c r="L285" s="2" t="str">
        <f t="shared" si="24"/>
        <v>Profitable</v>
      </c>
      <c r="M285" s="2" t="str">
        <f t="shared" si="25"/>
        <v>Stable Earnings</v>
      </c>
      <c r="N285" s="2" t="str">
        <f t="shared" si="26"/>
        <v>Low Quality</v>
      </c>
      <c r="O285" s="4" t="str">
        <f t="shared" si="27"/>
        <v>Accounting Risk</v>
      </c>
      <c r="P285" s="4" t="str">
        <f t="shared" si="28"/>
        <v>Low Quality</v>
      </c>
      <c r="Q285" s="4" t="str">
        <f t="shared" si="29"/>
        <v>Strong Long-Term Growth</v>
      </c>
    </row>
    <row r="286" spans="1:17" x14ac:dyDescent="0.35">
      <c r="A286" s="2" t="s">
        <v>296</v>
      </c>
      <c r="B286" s="2">
        <v>5</v>
      </c>
      <c r="C286" s="2">
        <v>839671233.60000002</v>
      </c>
      <c r="D286" s="2">
        <v>0.8</v>
      </c>
      <c r="E286" s="2">
        <v>737806928.79999995</v>
      </c>
      <c r="F286" s="2">
        <v>-1339279173</v>
      </c>
      <c r="G286" s="2">
        <v>3</v>
      </c>
      <c r="H286" s="2">
        <v>5</v>
      </c>
      <c r="I286" s="2">
        <v>5</v>
      </c>
      <c r="J286" s="2">
        <v>4</v>
      </c>
      <c r="K286" s="2" t="s">
        <v>12</v>
      </c>
      <c r="L286" s="2" t="str">
        <f t="shared" si="24"/>
        <v>Profitable</v>
      </c>
      <c r="M286" s="2" t="str">
        <f t="shared" si="25"/>
        <v>High Volatility</v>
      </c>
      <c r="N286" s="2" t="str">
        <f t="shared" si="26"/>
        <v>Low Quality</v>
      </c>
      <c r="O286" s="4" t="str">
        <f t="shared" si="27"/>
        <v>Accounting Risk</v>
      </c>
      <c r="P286" s="4" t="str">
        <f t="shared" si="28"/>
        <v>Low Quality</v>
      </c>
      <c r="Q286" s="4" t="str">
        <f t="shared" si="29"/>
        <v>Strong Long-Term Growth</v>
      </c>
    </row>
    <row r="287" spans="1:17" x14ac:dyDescent="0.35">
      <c r="A287" s="2" t="s">
        <v>297</v>
      </c>
      <c r="B287" s="2">
        <v>5</v>
      </c>
      <c r="C287" s="2">
        <v>857150255.79999995</v>
      </c>
      <c r="D287" s="2">
        <v>0.8</v>
      </c>
      <c r="E287" s="2">
        <v>740517355</v>
      </c>
      <c r="F287" s="2">
        <v>-1361239522</v>
      </c>
      <c r="G287" s="2">
        <v>3</v>
      </c>
      <c r="H287" s="2">
        <v>5</v>
      </c>
      <c r="I287" s="2">
        <v>5</v>
      </c>
      <c r="J287" s="2">
        <v>4</v>
      </c>
      <c r="K287" s="2" t="s">
        <v>12</v>
      </c>
      <c r="L287" s="2" t="str">
        <f t="shared" si="24"/>
        <v>Profitable</v>
      </c>
      <c r="M287" s="2" t="str">
        <f t="shared" si="25"/>
        <v>High Volatility</v>
      </c>
      <c r="N287" s="2" t="str">
        <f t="shared" si="26"/>
        <v>Low Quality</v>
      </c>
      <c r="O287" s="4" t="str">
        <f t="shared" si="27"/>
        <v>Accounting Risk</v>
      </c>
      <c r="P287" s="4" t="str">
        <f t="shared" si="28"/>
        <v>Low Quality</v>
      </c>
      <c r="Q287" s="4" t="str">
        <f t="shared" si="29"/>
        <v>Strong Long-Term Growth</v>
      </c>
    </row>
    <row r="288" spans="1:17" x14ac:dyDescent="0.35">
      <c r="A288" s="2" t="s">
        <v>298</v>
      </c>
      <c r="B288" s="2">
        <v>5</v>
      </c>
      <c r="C288" s="2">
        <v>374553900.39999998</v>
      </c>
      <c r="D288" s="2">
        <v>0.8</v>
      </c>
      <c r="E288" s="2">
        <v>574700182.29999995</v>
      </c>
      <c r="F288" s="2">
        <v>-1155815892</v>
      </c>
      <c r="G288" s="2">
        <v>3</v>
      </c>
      <c r="H288" s="2">
        <v>5</v>
      </c>
      <c r="I288" s="2">
        <v>5</v>
      </c>
      <c r="J288" s="2">
        <v>4</v>
      </c>
      <c r="K288" s="2" t="s">
        <v>12</v>
      </c>
      <c r="L288" s="2" t="str">
        <f t="shared" si="24"/>
        <v>Profitable</v>
      </c>
      <c r="M288" s="2" t="str">
        <f t="shared" si="25"/>
        <v>Stable Earnings</v>
      </c>
      <c r="N288" s="2" t="str">
        <f t="shared" si="26"/>
        <v>Low Quality</v>
      </c>
      <c r="O288" s="4" t="str">
        <f t="shared" si="27"/>
        <v>Accounting Risk</v>
      </c>
      <c r="P288" s="4" t="str">
        <f t="shared" si="28"/>
        <v>Low Quality</v>
      </c>
      <c r="Q288" s="4" t="str">
        <f t="shared" si="29"/>
        <v>Strong Long-Term Growth</v>
      </c>
    </row>
    <row r="289" spans="1:17" x14ac:dyDescent="0.35">
      <c r="A289" s="2" t="s">
        <v>299</v>
      </c>
      <c r="B289" s="2">
        <v>5</v>
      </c>
      <c r="C289" s="2">
        <v>344766833.89999998</v>
      </c>
      <c r="D289" s="2">
        <v>0.8</v>
      </c>
      <c r="E289" s="2">
        <v>444964474.89999998</v>
      </c>
      <c r="F289" s="2">
        <v>-846720756.5</v>
      </c>
      <c r="G289" s="2">
        <v>3</v>
      </c>
      <c r="H289" s="2">
        <v>5</v>
      </c>
      <c r="I289" s="2">
        <v>5</v>
      </c>
      <c r="J289" s="2">
        <v>4</v>
      </c>
      <c r="K289" s="2" t="s">
        <v>12</v>
      </c>
      <c r="L289" s="2" t="str">
        <f t="shared" si="24"/>
        <v>Profitable</v>
      </c>
      <c r="M289" s="2" t="str">
        <f t="shared" si="25"/>
        <v>Stable Earnings</v>
      </c>
      <c r="N289" s="2" t="str">
        <f t="shared" si="26"/>
        <v>Low Quality</v>
      </c>
      <c r="O289" s="4" t="str">
        <f t="shared" si="27"/>
        <v>Accounting Risk</v>
      </c>
      <c r="P289" s="4" t="str">
        <f t="shared" si="28"/>
        <v>Low Quality</v>
      </c>
      <c r="Q289" s="4" t="str">
        <f t="shared" si="29"/>
        <v>Strong Long-Term Growth</v>
      </c>
    </row>
    <row r="290" spans="1:17" x14ac:dyDescent="0.35">
      <c r="A290" s="2" t="s">
        <v>300</v>
      </c>
      <c r="B290" s="2">
        <v>5</v>
      </c>
      <c r="C290" s="2">
        <v>-241623123.90000001</v>
      </c>
      <c r="D290" s="2">
        <v>0.4</v>
      </c>
      <c r="E290" s="2">
        <v>615954094.60000002</v>
      </c>
      <c r="F290" s="2">
        <v>-1229117654</v>
      </c>
      <c r="G290" s="2">
        <v>3</v>
      </c>
      <c r="H290" s="2">
        <v>5</v>
      </c>
      <c r="I290" s="2">
        <v>5</v>
      </c>
      <c r="J290" s="2">
        <v>4</v>
      </c>
      <c r="K290" s="2" t="s">
        <v>12</v>
      </c>
      <c r="L290" s="2" t="str">
        <f t="shared" si="24"/>
        <v>Loss Making</v>
      </c>
      <c r="M290" s="2" t="str">
        <f t="shared" si="25"/>
        <v>Stable Earnings</v>
      </c>
      <c r="N290" s="2" t="str">
        <f t="shared" si="26"/>
        <v>Low Quality</v>
      </c>
      <c r="O290" s="4" t="str">
        <f t="shared" si="27"/>
        <v>Accounting Risk</v>
      </c>
      <c r="P290" s="4" t="str">
        <f t="shared" si="28"/>
        <v>Low Quality</v>
      </c>
      <c r="Q290" s="4" t="str">
        <f t="shared" si="29"/>
        <v>Strong Long-Term Growth</v>
      </c>
    </row>
    <row r="291" spans="1:17" x14ac:dyDescent="0.35">
      <c r="A291" s="2" t="s">
        <v>301</v>
      </c>
      <c r="B291" s="2">
        <v>5</v>
      </c>
      <c r="C291" s="2">
        <v>-658339439.20000005</v>
      </c>
      <c r="D291" s="2">
        <v>0.6</v>
      </c>
      <c r="E291" s="2">
        <v>2367457764</v>
      </c>
      <c r="F291" s="2">
        <v>-2148225698</v>
      </c>
      <c r="G291" s="2">
        <v>3</v>
      </c>
      <c r="H291" s="2">
        <v>5</v>
      </c>
      <c r="I291" s="2">
        <v>5</v>
      </c>
      <c r="J291" s="2">
        <v>4</v>
      </c>
      <c r="K291" s="2" t="s">
        <v>12</v>
      </c>
      <c r="L291" s="2" t="str">
        <f t="shared" si="24"/>
        <v>Loss Making</v>
      </c>
      <c r="M291" s="2" t="str">
        <f t="shared" si="25"/>
        <v>Stable Earnings</v>
      </c>
      <c r="N291" s="2" t="str">
        <f t="shared" si="26"/>
        <v>Low Quality</v>
      </c>
      <c r="O291" s="4" t="str">
        <f t="shared" si="27"/>
        <v>Accounting Risk</v>
      </c>
      <c r="P291" s="4" t="str">
        <f t="shared" si="28"/>
        <v>Low Quality</v>
      </c>
      <c r="Q291" s="4" t="str">
        <f t="shared" si="29"/>
        <v>Strong Long-Term Growth</v>
      </c>
    </row>
    <row r="292" spans="1:17" x14ac:dyDescent="0.35">
      <c r="A292" s="2" t="s">
        <v>302</v>
      </c>
      <c r="B292" s="2">
        <v>5</v>
      </c>
      <c r="C292" s="2">
        <v>53699596</v>
      </c>
      <c r="D292" s="2">
        <v>0.6</v>
      </c>
      <c r="E292" s="2">
        <v>1190279053</v>
      </c>
      <c r="F292" s="2">
        <v>-2557431668</v>
      </c>
      <c r="G292" s="2">
        <v>3</v>
      </c>
      <c r="H292" s="2">
        <v>5</v>
      </c>
      <c r="I292" s="2">
        <v>5</v>
      </c>
      <c r="J292" s="2">
        <v>4</v>
      </c>
      <c r="K292" s="2" t="s">
        <v>12</v>
      </c>
      <c r="L292" s="2" t="str">
        <f t="shared" si="24"/>
        <v>Profitable</v>
      </c>
      <c r="M292" s="2" t="str">
        <f t="shared" si="25"/>
        <v>Stable Earnings</v>
      </c>
      <c r="N292" s="2" t="str">
        <f t="shared" si="26"/>
        <v>Low Quality</v>
      </c>
      <c r="O292" s="4" t="str">
        <f t="shared" si="27"/>
        <v>Accounting Risk</v>
      </c>
      <c r="P292" s="4" t="str">
        <f t="shared" si="28"/>
        <v>Low Quality</v>
      </c>
      <c r="Q292" s="4" t="str">
        <f t="shared" si="29"/>
        <v>Strong Long-Term Growth</v>
      </c>
    </row>
    <row r="293" spans="1:17" x14ac:dyDescent="0.35">
      <c r="A293" s="2" t="s">
        <v>303</v>
      </c>
      <c r="B293" s="2">
        <v>5</v>
      </c>
      <c r="C293" s="2">
        <v>1325844865</v>
      </c>
      <c r="D293" s="2">
        <v>0.8</v>
      </c>
      <c r="E293" s="2">
        <v>1450289912</v>
      </c>
      <c r="F293" s="2">
        <v>-2586885760</v>
      </c>
      <c r="G293" s="2">
        <v>3</v>
      </c>
      <c r="H293" s="2">
        <v>5</v>
      </c>
      <c r="I293" s="2">
        <v>5</v>
      </c>
      <c r="J293" s="2">
        <v>4</v>
      </c>
      <c r="K293" s="2" t="s">
        <v>12</v>
      </c>
      <c r="L293" s="2" t="str">
        <f t="shared" si="24"/>
        <v>Profitable</v>
      </c>
      <c r="M293" s="2" t="str">
        <f t="shared" si="25"/>
        <v>High Volatility</v>
      </c>
      <c r="N293" s="2" t="str">
        <f t="shared" si="26"/>
        <v>Low Quality</v>
      </c>
      <c r="O293" s="4" t="str">
        <f t="shared" si="27"/>
        <v>Accounting Risk</v>
      </c>
      <c r="P293" s="4" t="str">
        <f t="shared" si="28"/>
        <v>Low Quality</v>
      </c>
      <c r="Q293" s="4" t="str">
        <f t="shared" si="29"/>
        <v>Strong Long-Term Growth</v>
      </c>
    </row>
    <row r="294" spans="1:17" x14ac:dyDescent="0.35">
      <c r="A294" s="2" t="s">
        <v>304</v>
      </c>
      <c r="B294" s="2">
        <v>5</v>
      </c>
      <c r="C294" s="2">
        <v>240408363.19999999</v>
      </c>
      <c r="D294" s="2">
        <v>0.8</v>
      </c>
      <c r="E294" s="2">
        <v>1915570064</v>
      </c>
      <c r="F294" s="2">
        <v>-1745749050</v>
      </c>
      <c r="G294" s="2">
        <v>3</v>
      </c>
      <c r="H294" s="2">
        <v>5</v>
      </c>
      <c r="I294" s="2">
        <v>5</v>
      </c>
      <c r="J294" s="2">
        <v>4</v>
      </c>
      <c r="K294" s="2" t="s">
        <v>12</v>
      </c>
      <c r="L294" s="2" t="str">
        <f t="shared" si="24"/>
        <v>Profitable</v>
      </c>
      <c r="M294" s="2" t="str">
        <f t="shared" si="25"/>
        <v>Stable Earnings</v>
      </c>
      <c r="N294" s="2" t="str">
        <f t="shared" si="26"/>
        <v>Low Quality</v>
      </c>
      <c r="O294" s="4" t="str">
        <f t="shared" si="27"/>
        <v>Accounting Risk</v>
      </c>
      <c r="P294" s="4" t="str">
        <f t="shared" si="28"/>
        <v>Low Quality</v>
      </c>
      <c r="Q294" s="4" t="str">
        <f t="shared" si="29"/>
        <v>Strong Long-Term Growth</v>
      </c>
    </row>
    <row r="295" spans="1:17" x14ac:dyDescent="0.35">
      <c r="A295" s="2" t="s">
        <v>305</v>
      </c>
      <c r="B295" s="2">
        <v>5</v>
      </c>
      <c r="C295" s="2">
        <v>-593118466.5</v>
      </c>
      <c r="D295" s="2">
        <v>0.2</v>
      </c>
      <c r="E295" s="2">
        <v>613906322.60000002</v>
      </c>
      <c r="F295" s="2">
        <v>195785414.59999999</v>
      </c>
      <c r="G295" s="2">
        <v>4</v>
      </c>
      <c r="H295" s="2">
        <v>5</v>
      </c>
      <c r="I295" s="2">
        <v>2</v>
      </c>
      <c r="J295" s="2">
        <v>3.9</v>
      </c>
      <c r="K295" s="2" t="s">
        <v>306</v>
      </c>
      <c r="L295" s="2" t="str">
        <f t="shared" si="24"/>
        <v>Loss Making</v>
      </c>
      <c r="M295" s="2" t="str">
        <f t="shared" si="25"/>
        <v>Stable Earnings</v>
      </c>
      <c r="N295" s="2" t="str">
        <f t="shared" si="26"/>
        <v>Moderate</v>
      </c>
      <c r="O295" s="4" t="str">
        <f t="shared" si="27"/>
        <v>Accounting Risk</v>
      </c>
      <c r="P295" s="4" t="str">
        <f t="shared" si="28"/>
        <v>Moderate</v>
      </c>
      <c r="Q295" s="4" t="str">
        <f t="shared" si="29"/>
        <v>Moderate Growth</v>
      </c>
    </row>
    <row r="296" spans="1:17" x14ac:dyDescent="0.35">
      <c r="A296" s="2" t="s">
        <v>307</v>
      </c>
      <c r="B296" s="2">
        <v>5</v>
      </c>
      <c r="C296" s="2">
        <v>-322621999.89999998</v>
      </c>
      <c r="D296" s="2">
        <v>0.2</v>
      </c>
      <c r="E296" s="2">
        <v>543406491.70000005</v>
      </c>
      <c r="F296" s="2">
        <v>188122884.80000001</v>
      </c>
      <c r="G296" s="2">
        <v>4</v>
      </c>
      <c r="H296" s="2">
        <v>5</v>
      </c>
      <c r="I296" s="2">
        <v>2</v>
      </c>
      <c r="J296" s="2">
        <v>3.9</v>
      </c>
      <c r="K296" s="2" t="s">
        <v>306</v>
      </c>
      <c r="L296" s="2" t="str">
        <f t="shared" si="24"/>
        <v>Loss Making</v>
      </c>
      <c r="M296" s="2" t="str">
        <f t="shared" si="25"/>
        <v>Stable Earnings</v>
      </c>
      <c r="N296" s="2" t="str">
        <f t="shared" si="26"/>
        <v>Moderate</v>
      </c>
      <c r="O296" s="4" t="str">
        <f t="shared" si="27"/>
        <v>Accounting Risk</v>
      </c>
      <c r="P296" s="4" t="str">
        <f t="shared" si="28"/>
        <v>Moderate</v>
      </c>
      <c r="Q296" s="4" t="str">
        <f t="shared" si="29"/>
        <v>Moderate Growth</v>
      </c>
    </row>
    <row r="297" spans="1:17" x14ac:dyDescent="0.35">
      <c r="A297" s="2" t="s">
        <v>308</v>
      </c>
      <c r="B297" s="2">
        <v>5</v>
      </c>
      <c r="C297" s="2">
        <v>-842162160.60000002</v>
      </c>
      <c r="D297" s="2">
        <v>0</v>
      </c>
      <c r="E297" s="2">
        <v>264613630.5</v>
      </c>
      <c r="F297" s="2">
        <v>438597287.39999998</v>
      </c>
      <c r="G297" s="2">
        <v>5</v>
      </c>
      <c r="H297" s="2">
        <v>4</v>
      </c>
      <c r="I297" s="2">
        <v>1</v>
      </c>
      <c r="J297" s="2">
        <v>3.9</v>
      </c>
      <c r="K297" s="2" t="s">
        <v>306</v>
      </c>
      <c r="L297" s="2" t="str">
        <f t="shared" si="24"/>
        <v>Loss Making</v>
      </c>
      <c r="M297" s="2" t="str">
        <f t="shared" si="25"/>
        <v>Stable Earnings</v>
      </c>
      <c r="N297" s="2" t="str">
        <f t="shared" si="26"/>
        <v>Moderate</v>
      </c>
      <c r="O297" s="4" t="str">
        <f t="shared" si="27"/>
        <v>Accounting Risk</v>
      </c>
      <c r="P297" s="4" t="str">
        <f t="shared" si="28"/>
        <v>Moderate</v>
      </c>
      <c r="Q297" s="4" t="str">
        <f t="shared" si="29"/>
        <v>Weak Growth</v>
      </c>
    </row>
    <row r="298" spans="1:17" x14ac:dyDescent="0.35">
      <c r="A298" s="2" t="s">
        <v>309</v>
      </c>
      <c r="B298" s="2">
        <v>5</v>
      </c>
      <c r="C298" s="2">
        <v>-174846876.40000001</v>
      </c>
      <c r="D298" s="2">
        <v>0</v>
      </c>
      <c r="E298" s="2">
        <v>142993417.40000001</v>
      </c>
      <c r="F298" s="2">
        <v>368916050.69999999</v>
      </c>
      <c r="G298" s="2">
        <v>5</v>
      </c>
      <c r="H298" s="2">
        <v>4</v>
      </c>
      <c r="I298" s="2">
        <v>1</v>
      </c>
      <c r="J298" s="2">
        <v>3.9</v>
      </c>
      <c r="K298" s="2" t="s">
        <v>306</v>
      </c>
      <c r="L298" s="2" t="str">
        <f t="shared" si="24"/>
        <v>Loss Making</v>
      </c>
      <c r="M298" s="2" t="str">
        <f t="shared" si="25"/>
        <v>Stable Earnings</v>
      </c>
      <c r="N298" s="2" t="str">
        <f t="shared" si="26"/>
        <v>Moderate</v>
      </c>
      <c r="O298" s="4" t="str">
        <f t="shared" si="27"/>
        <v>Accounting Risk</v>
      </c>
      <c r="P298" s="4" t="str">
        <f t="shared" si="28"/>
        <v>Moderate</v>
      </c>
      <c r="Q298" s="4" t="str">
        <f t="shared" si="29"/>
        <v>Weak Growth</v>
      </c>
    </row>
    <row r="299" spans="1:17" x14ac:dyDescent="0.35">
      <c r="A299" s="2" t="s">
        <v>310</v>
      </c>
      <c r="B299" s="2">
        <v>5</v>
      </c>
      <c r="C299" s="2">
        <v>-723411650.29999995</v>
      </c>
      <c r="D299" s="2">
        <v>0</v>
      </c>
      <c r="E299" s="2">
        <v>301960258.80000001</v>
      </c>
      <c r="F299" s="2">
        <v>365826791.69999999</v>
      </c>
      <c r="G299" s="2">
        <v>5</v>
      </c>
      <c r="H299" s="2">
        <v>4</v>
      </c>
      <c r="I299" s="2">
        <v>1</v>
      </c>
      <c r="J299" s="2">
        <v>3.9</v>
      </c>
      <c r="K299" s="2" t="s">
        <v>306</v>
      </c>
      <c r="L299" s="2" t="str">
        <f t="shared" si="24"/>
        <v>Loss Making</v>
      </c>
      <c r="M299" s="2" t="str">
        <f t="shared" si="25"/>
        <v>Stable Earnings</v>
      </c>
      <c r="N299" s="2" t="str">
        <f t="shared" si="26"/>
        <v>Moderate</v>
      </c>
      <c r="O299" s="4" t="str">
        <f t="shared" si="27"/>
        <v>Accounting Risk</v>
      </c>
      <c r="P299" s="4" t="str">
        <f t="shared" si="28"/>
        <v>Moderate</v>
      </c>
      <c r="Q299" s="4" t="str">
        <f t="shared" si="29"/>
        <v>Weak Growth</v>
      </c>
    </row>
    <row r="300" spans="1:17" x14ac:dyDescent="0.35">
      <c r="A300" s="2" t="s">
        <v>311</v>
      </c>
      <c r="B300" s="2">
        <v>5</v>
      </c>
      <c r="C300" s="2">
        <v>-787264712.10000002</v>
      </c>
      <c r="D300" s="2">
        <v>0</v>
      </c>
      <c r="E300" s="2">
        <v>268371235.09999999</v>
      </c>
      <c r="F300" s="2">
        <v>290830498</v>
      </c>
      <c r="G300" s="2">
        <v>5</v>
      </c>
      <c r="H300" s="2">
        <v>4</v>
      </c>
      <c r="I300" s="2">
        <v>1</v>
      </c>
      <c r="J300" s="2">
        <v>3.9</v>
      </c>
      <c r="K300" s="2" t="s">
        <v>306</v>
      </c>
      <c r="L300" s="2" t="str">
        <f t="shared" si="24"/>
        <v>Loss Making</v>
      </c>
      <c r="M300" s="2" t="str">
        <f t="shared" si="25"/>
        <v>Stable Earnings</v>
      </c>
      <c r="N300" s="2" t="str">
        <f t="shared" si="26"/>
        <v>Moderate</v>
      </c>
      <c r="O300" s="4" t="str">
        <f t="shared" si="27"/>
        <v>Accounting Risk</v>
      </c>
      <c r="P300" s="4" t="str">
        <f t="shared" si="28"/>
        <v>Moderate</v>
      </c>
      <c r="Q300" s="4" t="str">
        <f t="shared" si="29"/>
        <v>Weak Growth</v>
      </c>
    </row>
    <row r="301" spans="1:17" x14ac:dyDescent="0.35">
      <c r="A301" s="2" t="s">
        <v>312</v>
      </c>
      <c r="B301" s="2">
        <v>5</v>
      </c>
      <c r="C301" s="2">
        <v>-251130794.09999999</v>
      </c>
      <c r="D301" s="2">
        <v>0</v>
      </c>
      <c r="E301" s="2">
        <v>170588572</v>
      </c>
      <c r="F301" s="2">
        <v>244653245.19999999</v>
      </c>
      <c r="G301" s="2">
        <v>5</v>
      </c>
      <c r="H301" s="2">
        <v>4</v>
      </c>
      <c r="I301" s="2">
        <v>1</v>
      </c>
      <c r="J301" s="2">
        <v>3.9</v>
      </c>
      <c r="K301" s="2" t="s">
        <v>306</v>
      </c>
      <c r="L301" s="2" t="str">
        <f t="shared" si="24"/>
        <v>Loss Making</v>
      </c>
      <c r="M301" s="2" t="str">
        <f t="shared" si="25"/>
        <v>Stable Earnings</v>
      </c>
      <c r="N301" s="2" t="str">
        <f t="shared" si="26"/>
        <v>Moderate</v>
      </c>
      <c r="O301" s="4" t="str">
        <f t="shared" si="27"/>
        <v>Accounting Risk</v>
      </c>
      <c r="P301" s="4" t="str">
        <f t="shared" si="28"/>
        <v>Moderate</v>
      </c>
      <c r="Q301" s="4" t="str">
        <f t="shared" si="29"/>
        <v>Weak Growth</v>
      </c>
    </row>
    <row r="302" spans="1:17" x14ac:dyDescent="0.35">
      <c r="A302" s="2" t="s">
        <v>313</v>
      </c>
      <c r="B302" s="2">
        <v>5</v>
      </c>
      <c r="C302" s="2">
        <v>-113492341.3</v>
      </c>
      <c r="D302" s="2">
        <v>0</v>
      </c>
      <c r="E302" s="2">
        <v>117823933.3</v>
      </c>
      <c r="F302" s="2">
        <v>242584152.59999999</v>
      </c>
      <c r="G302" s="2">
        <v>5</v>
      </c>
      <c r="H302" s="2">
        <v>4</v>
      </c>
      <c r="I302" s="2">
        <v>1</v>
      </c>
      <c r="J302" s="2">
        <v>3.9</v>
      </c>
      <c r="K302" s="2" t="s">
        <v>306</v>
      </c>
      <c r="L302" s="2" t="str">
        <f t="shared" si="24"/>
        <v>Loss Making</v>
      </c>
      <c r="M302" s="2" t="str">
        <f t="shared" si="25"/>
        <v>Stable Earnings</v>
      </c>
      <c r="N302" s="2" t="str">
        <f t="shared" si="26"/>
        <v>Moderate</v>
      </c>
      <c r="O302" s="4" t="str">
        <f t="shared" si="27"/>
        <v>Accounting Risk</v>
      </c>
      <c r="P302" s="4" t="str">
        <f t="shared" si="28"/>
        <v>Moderate</v>
      </c>
      <c r="Q302" s="4" t="str">
        <f t="shared" si="29"/>
        <v>Weak Growth</v>
      </c>
    </row>
    <row r="303" spans="1:17" x14ac:dyDescent="0.35">
      <c r="A303" s="2" t="s">
        <v>314</v>
      </c>
      <c r="B303" s="2">
        <v>5</v>
      </c>
      <c r="C303" s="2">
        <v>-218936928.90000001</v>
      </c>
      <c r="D303" s="2">
        <v>0</v>
      </c>
      <c r="E303" s="2">
        <v>137374212.09999999</v>
      </c>
      <c r="F303" s="2">
        <v>238193697.90000001</v>
      </c>
      <c r="G303" s="2">
        <v>5</v>
      </c>
      <c r="H303" s="2">
        <v>4</v>
      </c>
      <c r="I303" s="2">
        <v>1</v>
      </c>
      <c r="J303" s="2">
        <v>3.9</v>
      </c>
      <c r="K303" s="2" t="s">
        <v>306</v>
      </c>
      <c r="L303" s="2" t="str">
        <f t="shared" si="24"/>
        <v>Loss Making</v>
      </c>
      <c r="M303" s="2" t="str">
        <f t="shared" si="25"/>
        <v>Stable Earnings</v>
      </c>
      <c r="N303" s="2" t="str">
        <f t="shared" si="26"/>
        <v>Moderate</v>
      </c>
      <c r="O303" s="4" t="str">
        <f t="shared" si="27"/>
        <v>Accounting Risk</v>
      </c>
      <c r="P303" s="4" t="str">
        <f t="shared" si="28"/>
        <v>Moderate</v>
      </c>
      <c r="Q303" s="4" t="str">
        <f t="shared" si="29"/>
        <v>Weak Growth</v>
      </c>
    </row>
    <row r="304" spans="1:17" x14ac:dyDescent="0.35">
      <c r="A304" s="2" t="s">
        <v>315</v>
      </c>
      <c r="B304" s="2">
        <v>5</v>
      </c>
      <c r="C304" s="2">
        <v>-494850889.19999999</v>
      </c>
      <c r="D304" s="2">
        <v>0</v>
      </c>
      <c r="E304" s="2">
        <v>325558309.39999998</v>
      </c>
      <c r="F304" s="2">
        <v>700440788.89999998</v>
      </c>
      <c r="G304" s="2">
        <v>5</v>
      </c>
      <c r="H304" s="2">
        <v>4</v>
      </c>
      <c r="I304" s="2">
        <v>1</v>
      </c>
      <c r="J304" s="2">
        <v>3.9</v>
      </c>
      <c r="K304" s="2" t="s">
        <v>306</v>
      </c>
      <c r="L304" s="2" t="str">
        <f t="shared" si="24"/>
        <v>Loss Making</v>
      </c>
      <c r="M304" s="2" t="str">
        <f t="shared" si="25"/>
        <v>Stable Earnings</v>
      </c>
      <c r="N304" s="2" t="str">
        <f t="shared" si="26"/>
        <v>Moderate</v>
      </c>
      <c r="O304" s="4" t="str">
        <f t="shared" si="27"/>
        <v>Accounting Risk</v>
      </c>
      <c r="P304" s="4" t="str">
        <f t="shared" si="28"/>
        <v>Moderate</v>
      </c>
      <c r="Q304" s="4" t="str">
        <f t="shared" si="29"/>
        <v>Weak Growth</v>
      </c>
    </row>
    <row r="305" spans="1:17" x14ac:dyDescent="0.35">
      <c r="A305" s="2" t="s">
        <v>316</v>
      </c>
      <c r="B305" s="2">
        <v>5</v>
      </c>
      <c r="C305" s="2">
        <v>-154769800.69999999</v>
      </c>
      <c r="D305" s="2">
        <v>0</v>
      </c>
      <c r="E305" s="2">
        <v>220350934</v>
      </c>
      <c r="F305" s="2">
        <v>495597828.10000002</v>
      </c>
      <c r="G305" s="2">
        <v>5</v>
      </c>
      <c r="H305" s="2">
        <v>4</v>
      </c>
      <c r="I305" s="2">
        <v>1</v>
      </c>
      <c r="J305" s="2">
        <v>3.9</v>
      </c>
      <c r="K305" s="2" t="s">
        <v>306</v>
      </c>
      <c r="L305" s="2" t="str">
        <f t="shared" si="24"/>
        <v>Loss Making</v>
      </c>
      <c r="M305" s="2" t="str">
        <f t="shared" si="25"/>
        <v>Stable Earnings</v>
      </c>
      <c r="N305" s="2" t="str">
        <f t="shared" si="26"/>
        <v>Moderate</v>
      </c>
      <c r="O305" s="4" t="str">
        <f t="shared" si="27"/>
        <v>Accounting Risk</v>
      </c>
      <c r="P305" s="4" t="str">
        <f t="shared" si="28"/>
        <v>Moderate</v>
      </c>
      <c r="Q305" s="4" t="str">
        <f t="shared" si="29"/>
        <v>Weak Growth</v>
      </c>
    </row>
    <row r="306" spans="1:17" x14ac:dyDescent="0.35">
      <c r="A306" s="2" t="s">
        <v>317</v>
      </c>
      <c r="B306" s="2">
        <v>5</v>
      </c>
      <c r="C306" s="2">
        <v>-40129409.859999999</v>
      </c>
      <c r="D306" s="2">
        <v>0</v>
      </c>
      <c r="E306" s="2">
        <v>26346903.93</v>
      </c>
      <c r="F306" s="2">
        <v>-32213421</v>
      </c>
      <c r="G306" s="2">
        <v>5</v>
      </c>
      <c r="H306" s="2">
        <v>2</v>
      </c>
      <c r="I306" s="2">
        <v>4</v>
      </c>
      <c r="J306" s="2">
        <v>3.9</v>
      </c>
      <c r="K306" s="2" t="s">
        <v>306</v>
      </c>
      <c r="L306" s="2" t="str">
        <f t="shared" si="24"/>
        <v>Loss Making</v>
      </c>
      <c r="M306" s="2" t="str">
        <f t="shared" si="25"/>
        <v>Stable Earnings</v>
      </c>
      <c r="N306" s="2" t="str">
        <f t="shared" si="26"/>
        <v>Moderate</v>
      </c>
      <c r="O306" s="4" t="str">
        <f t="shared" si="27"/>
        <v>Accounting Risk</v>
      </c>
      <c r="P306" s="4" t="str">
        <f t="shared" si="28"/>
        <v>Moderate</v>
      </c>
      <c r="Q306" s="4" t="str">
        <f t="shared" si="29"/>
        <v>Strong Long-Term Growth</v>
      </c>
    </row>
    <row r="307" spans="1:17" x14ac:dyDescent="0.35">
      <c r="A307" s="2" t="s">
        <v>318</v>
      </c>
      <c r="B307" s="2">
        <v>5</v>
      </c>
      <c r="C307" s="2">
        <v>-82368015.180000007</v>
      </c>
      <c r="D307" s="2">
        <v>0</v>
      </c>
      <c r="E307" s="2">
        <v>30488563.440000001</v>
      </c>
      <c r="F307" s="2">
        <v>-31172696.199999999</v>
      </c>
      <c r="G307" s="2">
        <v>5</v>
      </c>
      <c r="H307" s="2">
        <v>2</v>
      </c>
      <c r="I307" s="2">
        <v>4</v>
      </c>
      <c r="J307" s="2">
        <v>3.9</v>
      </c>
      <c r="K307" s="2" t="s">
        <v>306</v>
      </c>
      <c r="L307" s="2" t="str">
        <f t="shared" si="24"/>
        <v>Loss Making</v>
      </c>
      <c r="M307" s="2" t="str">
        <f t="shared" si="25"/>
        <v>Stable Earnings</v>
      </c>
      <c r="N307" s="2" t="str">
        <f t="shared" si="26"/>
        <v>Moderate</v>
      </c>
      <c r="O307" s="4" t="str">
        <f t="shared" si="27"/>
        <v>Accounting Risk</v>
      </c>
      <c r="P307" s="4" t="str">
        <f t="shared" si="28"/>
        <v>Moderate</v>
      </c>
      <c r="Q307" s="4" t="str">
        <f t="shared" si="29"/>
        <v>Strong Long-Term Growth</v>
      </c>
    </row>
    <row r="308" spans="1:17" x14ac:dyDescent="0.35">
      <c r="A308" s="2" t="s">
        <v>319</v>
      </c>
      <c r="B308" s="2">
        <v>5</v>
      </c>
      <c r="C308" s="2">
        <v>-51806751.380000003</v>
      </c>
      <c r="D308" s="2">
        <v>0</v>
      </c>
      <c r="E308" s="2">
        <v>17656405.510000002</v>
      </c>
      <c r="F308" s="2">
        <v>-29583196.100000001</v>
      </c>
      <c r="G308" s="2">
        <v>5</v>
      </c>
      <c r="H308" s="2">
        <v>2</v>
      </c>
      <c r="I308" s="2">
        <v>4</v>
      </c>
      <c r="J308" s="2">
        <v>3.9</v>
      </c>
      <c r="K308" s="2" t="s">
        <v>306</v>
      </c>
      <c r="L308" s="2" t="str">
        <f t="shared" si="24"/>
        <v>Loss Making</v>
      </c>
      <c r="M308" s="2" t="str">
        <f t="shared" si="25"/>
        <v>Stable Earnings</v>
      </c>
      <c r="N308" s="2" t="str">
        <f t="shared" si="26"/>
        <v>Moderate</v>
      </c>
      <c r="O308" s="4" t="str">
        <f t="shared" si="27"/>
        <v>Accounting Risk</v>
      </c>
      <c r="P308" s="4" t="str">
        <f t="shared" si="28"/>
        <v>Moderate</v>
      </c>
      <c r="Q308" s="4" t="str">
        <f t="shared" si="29"/>
        <v>Strong Long-Term Growth</v>
      </c>
    </row>
    <row r="309" spans="1:17" x14ac:dyDescent="0.35">
      <c r="A309" s="2" t="s">
        <v>320</v>
      </c>
      <c r="B309" s="2">
        <v>5</v>
      </c>
      <c r="C309" s="2">
        <v>-56136494.299999997</v>
      </c>
      <c r="D309" s="2">
        <v>0</v>
      </c>
      <c r="E309" s="2">
        <v>19177669.649999999</v>
      </c>
      <c r="F309" s="2">
        <v>-29881292.399999999</v>
      </c>
      <c r="G309" s="2">
        <v>5</v>
      </c>
      <c r="H309" s="2">
        <v>2</v>
      </c>
      <c r="I309" s="2">
        <v>4</v>
      </c>
      <c r="J309" s="2">
        <v>3.9</v>
      </c>
      <c r="K309" s="2" t="s">
        <v>306</v>
      </c>
      <c r="L309" s="2" t="str">
        <f t="shared" si="24"/>
        <v>Loss Making</v>
      </c>
      <c r="M309" s="2" t="str">
        <f t="shared" si="25"/>
        <v>Stable Earnings</v>
      </c>
      <c r="N309" s="2" t="str">
        <f t="shared" si="26"/>
        <v>Moderate</v>
      </c>
      <c r="O309" s="4" t="str">
        <f t="shared" si="27"/>
        <v>Accounting Risk</v>
      </c>
      <c r="P309" s="4" t="str">
        <f t="shared" si="28"/>
        <v>Moderate</v>
      </c>
      <c r="Q309" s="4" t="str">
        <f t="shared" si="29"/>
        <v>Strong Long-Term Growth</v>
      </c>
    </row>
    <row r="310" spans="1:17" x14ac:dyDescent="0.35">
      <c r="A310" s="2" t="s">
        <v>321</v>
      </c>
      <c r="B310" s="2">
        <v>5</v>
      </c>
      <c r="C310" s="2">
        <v>-87166491.420000002</v>
      </c>
      <c r="D310" s="2">
        <v>0</v>
      </c>
      <c r="E310" s="2">
        <v>32365258.609999999</v>
      </c>
      <c r="F310" s="2">
        <v>-30982504.5</v>
      </c>
      <c r="G310" s="2">
        <v>5</v>
      </c>
      <c r="H310" s="2">
        <v>2</v>
      </c>
      <c r="I310" s="2">
        <v>4</v>
      </c>
      <c r="J310" s="2">
        <v>3.9</v>
      </c>
      <c r="K310" s="2" t="s">
        <v>306</v>
      </c>
      <c r="L310" s="2" t="str">
        <f t="shared" si="24"/>
        <v>Loss Making</v>
      </c>
      <c r="M310" s="2" t="str">
        <f t="shared" si="25"/>
        <v>Stable Earnings</v>
      </c>
      <c r="N310" s="2" t="str">
        <f t="shared" si="26"/>
        <v>Moderate</v>
      </c>
      <c r="O310" s="4" t="str">
        <f t="shared" si="27"/>
        <v>Accounting Risk</v>
      </c>
      <c r="P310" s="4" t="str">
        <f t="shared" si="28"/>
        <v>Moderate</v>
      </c>
      <c r="Q310" s="4" t="str">
        <f t="shared" si="29"/>
        <v>Strong Long-Term Growth</v>
      </c>
    </row>
    <row r="311" spans="1:17" x14ac:dyDescent="0.35">
      <c r="A311" s="2" t="s">
        <v>322</v>
      </c>
      <c r="B311" s="2">
        <v>5</v>
      </c>
      <c r="C311" s="2">
        <v>-31840924.280000001</v>
      </c>
      <c r="D311" s="2">
        <v>0</v>
      </c>
      <c r="E311" s="2">
        <v>16128946.52</v>
      </c>
      <c r="F311" s="2">
        <v>-27347973.899999999</v>
      </c>
      <c r="G311" s="2">
        <v>5</v>
      </c>
      <c r="H311" s="2">
        <v>2</v>
      </c>
      <c r="I311" s="2">
        <v>4</v>
      </c>
      <c r="J311" s="2">
        <v>3.9</v>
      </c>
      <c r="K311" s="2" t="s">
        <v>306</v>
      </c>
      <c r="L311" s="2" t="str">
        <f t="shared" si="24"/>
        <v>Loss Making</v>
      </c>
      <c r="M311" s="2" t="str">
        <f t="shared" si="25"/>
        <v>Stable Earnings</v>
      </c>
      <c r="N311" s="2" t="str">
        <f t="shared" si="26"/>
        <v>Moderate</v>
      </c>
      <c r="O311" s="4" t="str">
        <f t="shared" si="27"/>
        <v>Accounting Risk</v>
      </c>
      <c r="P311" s="4" t="str">
        <f t="shared" si="28"/>
        <v>Moderate</v>
      </c>
      <c r="Q311" s="4" t="str">
        <f t="shared" si="29"/>
        <v>Strong Long-Term Growth</v>
      </c>
    </row>
    <row r="312" spans="1:17" x14ac:dyDescent="0.35">
      <c r="A312" s="2" t="s">
        <v>323</v>
      </c>
      <c r="B312" s="2">
        <v>5</v>
      </c>
      <c r="C312" s="2">
        <v>-43956038.140000001</v>
      </c>
      <c r="D312" s="2">
        <v>0</v>
      </c>
      <c r="E312" s="2">
        <v>18771450.609999999</v>
      </c>
      <c r="F312" s="2">
        <v>-28401862</v>
      </c>
      <c r="G312" s="2">
        <v>5</v>
      </c>
      <c r="H312" s="2">
        <v>2</v>
      </c>
      <c r="I312" s="2">
        <v>4</v>
      </c>
      <c r="J312" s="2">
        <v>3.9</v>
      </c>
      <c r="K312" s="2" t="s">
        <v>306</v>
      </c>
      <c r="L312" s="2" t="str">
        <f t="shared" si="24"/>
        <v>Loss Making</v>
      </c>
      <c r="M312" s="2" t="str">
        <f t="shared" si="25"/>
        <v>Stable Earnings</v>
      </c>
      <c r="N312" s="2" t="str">
        <f t="shared" si="26"/>
        <v>Moderate</v>
      </c>
      <c r="O312" s="4" t="str">
        <f t="shared" si="27"/>
        <v>Accounting Risk</v>
      </c>
      <c r="P312" s="4" t="str">
        <f t="shared" si="28"/>
        <v>Moderate</v>
      </c>
      <c r="Q312" s="4" t="str">
        <f t="shared" si="29"/>
        <v>Strong Long-Term Growth</v>
      </c>
    </row>
    <row r="313" spans="1:17" x14ac:dyDescent="0.35">
      <c r="A313" s="2" t="s">
        <v>324</v>
      </c>
      <c r="B313" s="2">
        <v>5</v>
      </c>
      <c r="C313" s="2">
        <v>-25290935.34</v>
      </c>
      <c r="D313" s="2">
        <v>0</v>
      </c>
      <c r="E313" s="2">
        <v>24023935.690000001</v>
      </c>
      <c r="F313" s="2">
        <v>-32854253.899999999</v>
      </c>
      <c r="G313" s="2">
        <v>5</v>
      </c>
      <c r="H313" s="2">
        <v>2</v>
      </c>
      <c r="I313" s="2">
        <v>4</v>
      </c>
      <c r="J313" s="2">
        <v>3.9</v>
      </c>
      <c r="K313" s="2" t="s">
        <v>306</v>
      </c>
      <c r="L313" s="2" t="str">
        <f t="shared" si="24"/>
        <v>Loss Making</v>
      </c>
      <c r="M313" s="2" t="str">
        <f t="shared" si="25"/>
        <v>Stable Earnings</v>
      </c>
      <c r="N313" s="2" t="str">
        <f t="shared" si="26"/>
        <v>Moderate</v>
      </c>
      <c r="O313" s="4" t="str">
        <f t="shared" si="27"/>
        <v>Accounting Risk</v>
      </c>
      <c r="P313" s="4" t="str">
        <f t="shared" si="28"/>
        <v>Moderate</v>
      </c>
      <c r="Q313" s="4" t="str">
        <f t="shared" si="29"/>
        <v>Strong Long-Term Growth</v>
      </c>
    </row>
    <row r="314" spans="1:17" x14ac:dyDescent="0.35">
      <c r="A314" s="2" t="s">
        <v>325</v>
      </c>
      <c r="B314" s="2">
        <v>5</v>
      </c>
      <c r="C314" s="2">
        <v>-25264703.079999998</v>
      </c>
      <c r="D314" s="2">
        <v>0</v>
      </c>
      <c r="E314" s="2">
        <v>16340530.82</v>
      </c>
      <c r="F314" s="2">
        <v>-34845777.799999997</v>
      </c>
      <c r="G314" s="2">
        <v>5</v>
      </c>
      <c r="H314" s="2">
        <v>2</v>
      </c>
      <c r="I314" s="2">
        <v>4</v>
      </c>
      <c r="J314" s="2">
        <v>3.9</v>
      </c>
      <c r="K314" s="2" t="s">
        <v>306</v>
      </c>
      <c r="L314" s="2" t="str">
        <f t="shared" si="24"/>
        <v>Loss Making</v>
      </c>
      <c r="M314" s="2" t="str">
        <f t="shared" si="25"/>
        <v>Stable Earnings</v>
      </c>
      <c r="N314" s="2" t="str">
        <f t="shared" si="26"/>
        <v>Moderate</v>
      </c>
      <c r="O314" s="4" t="str">
        <f t="shared" si="27"/>
        <v>Accounting Risk</v>
      </c>
      <c r="P314" s="4" t="str">
        <f t="shared" si="28"/>
        <v>Moderate</v>
      </c>
      <c r="Q314" s="4" t="str">
        <f t="shared" si="29"/>
        <v>Strong Long-Term Growth</v>
      </c>
    </row>
    <row r="315" spans="1:17" x14ac:dyDescent="0.35">
      <c r="A315" s="2" t="s">
        <v>326</v>
      </c>
      <c r="B315" s="2">
        <v>5</v>
      </c>
      <c r="C315" s="2">
        <v>-105839261.2</v>
      </c>
      <c r="D315" s="2">
        <v>0</v>
      </c>
      <c r="E315" s="2">
        <v>30541122.539999999</v>
      </c>
      <c r="F315" s="2">
        <v>-35031582.700000003</v>
      </c>
      <c r="G315" s="2">
        <v>5</v>
      </c>
      <c r="H315" s="2">
        <v>2</v>
      </c>
      <c r="I315" s="2">
        <v>4</v>
      </c>
      <c r="J315" s="2">
        <v>3.9</v>
      </c>
      <c r="K315" s="2" t="s">
        <v>306</v>
      </c>
      <c r="L315" s="2" t="str">
        <f t="shared" si="24"/>
        <v>Loss Making</v>
      </c>
      <c r="M315" s="2" t="str">
        <f t="shared" si="25"/>
        <v>Stable Earnings</v>
      </c>
      <c r="N315" s="2" t="str">
        <f t="shared" si="26"/>
        <v>Moderate</v>
      </c>
      <c r="O315" s="4" t="str">
        <f t="shared" si="27"/>
        <v>Accounting Risk</v>
      </c>
      <c r="P315" s="4" t="str">
        <f t="shared" si="28"/>
        <v>Moderate</v>
      </c>
      <c r="Q315" s="4" t="str">
        <f t="shared" si="29"/>
        <v>Strong Long-Term Growth</v>
      </c>
    </row>
    <row r="316" spans="1:17" x14ac:dyDescent="0.35">
      <c r="A316" s="2" t="s">
        <v>327</v>
      </c>
      <c r="B316" s="2">
        <v>5</v>
      </c>
      <c r="C316" s="2">
        <v>-96405946.079999998</v>
      </c>
      <c r="D316" s="2">
        <v>0</v>
      </c>
      <c r="E316" s="2">
        <v>29443440.239999998</v>
      </c>
      <c r="F316" s="2">
        <v>-35656778.5</v>
      </c>
      <c r="G316" s="2">
        <v>5</v>
      </c>
      <c r="H316" s="2">
        <v>2</v>
      </c>
      <c r="I316" s="2">
        <v>4</v>
      </c>
      <c r="J316" s="2">
        <v>3.9</v>
      </c>
      <c r="K316" s="2" t="s">
        <v>306</v>
      </c>
      <c r="L316" s="2" t="str">
        <f t="shared" si="24"/>
        <v>Loss Making</v>
      </c>
      <c r="M316" s="2" t="str">
        <f t="shared" si="25"/>
        <v>Stable Earnings</v>
      </c>
      <c r="N316" s="2" t="str">
        <f t="shared" si="26"/>
        <v>Moderate</v>
      </c>
      <c r="O316" s="4" t="str">
        <f t="shared" si="27"/>
        <v>Accounting Risk</v>
      </c>
      <c r="P316" s="4" t="str">
        <f t="shared" si="28"/>
        <v>Moderate</v>
      </c>
      <c r="Q316" s="4" t="str">
        <f t="shared" si="29"/>
        <v>Strong Long-Term Growth</v>
      </c>
    </row>
    <row r="317" spans="1:17" x14ac:dyDescent="0.35">
      <c r="A317" s="2" t="s">
        <v>328</v>
      </c>
      <c r="B317" s="2">
        <v>5</v>
      </c>
      <c r="C317" s="2">
        <v>-54998960.299999997</v>
      </c>
      <c r="D317" s="2">
        <v>0</v>
      </c>
      <c r="E317" s="2">
        <v>20613888.329999998</v>
      </c>
      <c r="F317" s="2">
        <v>-37219409.5</v>
      </c>
      <c r="G317" s="2">
        <v>5</v>
      </c>
      <c r="H317" s="2">
        <v>2</v>
      </c>
      <c r="I317" s="2">
        <v>4</v>
      </c>
      <c r="J317" s="2">
        <v>3.9</v>
      </c>
      <c r="K317" s="2" t="s">
        <v>306</v>
      </c>
      <c r="L317" s="2" t="str">
        <f t="shared" si="24"/>
        <v>Loss Making</v>
      </c>
      <c r="M317" s="2" t="str">
        <f t="shared" si="25"/>
        <v>Stable Earnings</v>
      </c>
      <c r="N317" s="2" t="str">
        <f t="shared" si="26"/>
        <v>Moderate</v>
      </c>
      <c r="O317" s="4" t="str">
        <f t="shared" si="27"/>
        <v>Accounting Risk</v>
      </c>
      <c r="P317" s="4" t="str">
        <f t="shared" si="28"/>
        <v>Moderate</v>
      </c>
      <c r="Q317" s="4" t="str">
        <f t="shared" si="29"/>
        <v>Strong Long-Term Growth</v>
      </c>
    </row>
    <row r="318" spans="1:17" x14ac:dyDescent="0.35">
      <c r="A318" s="2" t="s">
        <v>329</v>
      </c>
      <c r="B318" s="2">
        <v>5</v>
      </c>
      <c r="C318" s="2">
        <v>-24840993.039999999</v>
      </c>
      <c r="D318" s="2">
        <v>0</v>
      </c>
      <c r="E318" s="2">
        <v>16840232.32</v>
      </c>
      <c r="F318" s="2">
        <v>-37355846.399999999</v>
      </c>
      <c r="G318" s="2">
        <v>5</v>
      </c>
      <c r="H318" s="2">
        <v>2</v>
      </c>
      <c r="I318" s="2">
        <v>4</v>
      </c>
      <c r="J318" s="2">
        <v>3.9</v>
      </c>
      <c r="K318" s="2" t="s">
        <v>306</v>
      </c>
      <c r="L318" s="2" t="str">
        <f t="shared" si="24"/>
        <v>Loss Making</v>
      </c>
      <c r="M318" s="2" t="str">
        <f t="shared" si="25"/>
        <v>Stable Earnings</v>
      </c>
      <c r="N318" s="2" t="str">
        <f t="shared" si="26"/>
        <v>Moderate</v>
      </c>
      <c r="O318" s="4" t="str">
        <f t="shared" si="27"/>
        <v>Accounting Risk</v>
      </c>
      <c r="P318" s="4" t="str">
        <f t="shared" si="28"/>
        <v>Moderate</v>
      </c>
      <c r="Q318" s="4" t="str">
        <f t="shared" si="29"/>
        <v>Strong Long-Term Growth</v>
      </c>
    </row>
    <row r="319" spans="1:17" x14ac:dyDescent="0.35">
      <c r="A319" s="2" t="s">
        <v>330</v>
      </c>
      <c r="B319" s="2">
        <v>5</v>
      </c>
      <c r="C319" s="2">
        <v>-62524396.82</v>
      </c>
      <c r="D319" s="2">
        <v>0</v>
      </c>
      <c r="E319" s="2">
        <v>17035493.940000001</v>
      </c>
      <c r="F319" s="2">
        <v>-37375170.799999997</v>
      </c>
      <c r="G319" s="2">
        <v>5</v>
      </c>
      <c r="H319" s="2">
        <v>2</v>
      </c>
      <c r="I319" s="2">
        <v>4</v>
      </c>
      <c r="J319" s="2">
        <v>3.9</v>
      </c>
      <c r="K319" s="2" t="s">
        <v>306</v>
      </c>
      <c r="L319" s="2" t="str">
        <f t="shared" si="24"/>
        <v>Loss Making</v>
      </c>
      <c r="M319" s="2" t="str">
        <f t="shared" si="25"/>
        <v>Stable Earnings</v>
      </c>
      <c r="N319" s="2" t="str">
        <f t="shared" si="26"/>
        <v>Moderate</v>
      </c>
      <c r="O319" s="4" t="str">
        <f t="shared" si="27"/>
        <v>Accounting Risk</v>
      </c>
      <c r="P319" s="4" t="str">
        <f t="shared" si="28"/>
        <v>Moderate</v>
      </c>
      <c r="Q319" s="4" t="str">
        <f t="shared" si="29"/>
        <v>Strong Long-Term Growth</v>
      </c>
    </row>
    <row r="320" spans="1:17" x14ac:dyDescent="0.35">
      <c r="A320" s="2" t="s">
        <v>331</v>
      </c>
      <c r="B320" s="2">
        <v>5</v>
      </c>
      <c r="C320" s="2">
        <v>-43560753.700000003</v>
      </c>
      <c r="D320" s="2">
        <v>0</v>
      </c>
      <c r="E320" s="2">
        <v>16092213.42</v>
      </c>
      <c r="F320" s="2">
        <v>-37432871.5</v>
      </c>
      <c r="G320" s="2">
        <v>5</v>
      </c>
      <c r="H320" s="2">
        <v>2</v>
      </c>
      <c r="I320" s="2">
        <v>4</v>
      </c>
      <c r="J320" s="2">
        <v>3.9</v>
      </c>
      <c r="K320" s="2" t="s">
        <v>306</v>
      </c>
      <c r="L320" s="2" t="str">
        <f t="shared" si="24"/>
        <v>Loss Making</v>
      </c>
      <c r="M320" s="2" t="str">
        <f t="shared" si="25"/>
        <v>Stable Earnings</v>
      </c>
      <c r="N320" s="2" t="str">
        <f t="shared" si="26"/>
        <v>Moderate</v>
      </c>
      <c r="O320" s="4" t="str">
        <f t="shared" si="27"/>
        <v>Accounting Risk</v>
      </c>
      <c r="P320" s="4" t="str">
        <f t="shared" si="28"/>
        <v>Moderate</v>
      </c>
      <c r="Q320" s="4" t="str">
        <f t="shared" si="29"/>
        <v>Strong Long-Term Growth</v>
      </c>
    </row>
    <row r="321" spans="1:17" x14ac:dyDescent="0.35">
      <c r="A321" s="2" t="s">
        <v>332</v>
      </c>
      <c r="B321" s="2">
        <v>5</v>
      </c>
      <c r="C321" s="2">
        <v>-47897649.920000002</v>
      </c>
      <c r="D321" s="2">
        <v>0</v>
      </c>
      <c r="E321" s="2">
        <v>15652998.380000001</v>
      </c>
      <c r="F321" s="2">
        <v>-37000361.899999999</v>
      </c>
      <c r="G321" s="2">
        <v>5</v>
      </c>
      <c r="H321" s="2">
        <v>2</v>
      </c>
      <c r="I321" s="2">
        <v>4</v>
      </c>
      <c r="J321" s="2">
        <v>3.9</v>
      </c>
      <c r="K321" s="2" t="s">
        <v>306</v>
      </c>
      <c r="L321" s="2" t="str">
        <f t="shared" si="24"/>
        <v>Loss Making</v>
      </c>
      <c r="M321" s="2" t="str">
        <f t="shared" si="25"/>
        <v>Stable Earnings</v>
      </c>
      <c r="N321" s="2" t="str">
        <f t="shared" si="26"/>
        <v>Moderate</v>
      </c>
      <c r="O321" s="4" t="str">
        <f t="shared" si="27"/>
        <v>Accounting Risk</v>
      </c>
      <c r="P321" s="4" t="str">
        <f t="shared" si="28"/>
        <v>Moderate</v>
      </c>
      <c r="Q321" s="4" t="str">
        <f t="shared" si="29"/>
        <v>Strong Long-Term Growth</v>
      </c>
    </row>
    <row r="322" spans="1:17" x14ac:dyDescent="0.35">
      <c r="A322" s="2" t="s">
        <v>333</v>
      </c>
      <c r="B322" s="2">
        <v>5</v>
      </c>
      <c r="C322" s="2">
        <v>-36865567.880000003</v>
      </c>
      <c r="D322" s="2">
        <v>0</v>
      </c>
      <c r="E322" s="2">
        <v>33179183.059999999</v>
      </c>
      <c r="F322" s="2">
        <v>-38369235.200000003</v>
      </c>
      <c r="G322" s="2">
        <v>5</v>
      </c>
      <c r="H322" s="2">
        <v>2</v>
      </c>
      <c r="I322" s="2">
        <v>4</v>
      </c>
      <c r="J322" s="2">
        <v>3.9</v>
      </c>
      <c r="K322" s="2" t="s">
        <v>306</v>
      </c>
      <c r="L322" s="2" t="str">
        <f t="shared" ref="L322:L385" si="30">IF(C322&gt;0,"Profitable","Loss Making")</f>
        <v>Loss Making</v>
      </c>
      <c r="M322" s="2" t="str">
        <f t="shared" ref="M322:M385" si="31">IF(C322&gt;500000000,"High Volatility","Stable Earnings")</f>
        <v>Stable Earnings</v>
      </c>
      <c r="N322" s="2" t="str">
        <f t="shared" ref="N322:N385" si="32">IF(G322&gt;=7,"High Quality",IF(G322&gt;=4,"Moderate","Low Quality"))</f>
        <v>Moderate</v>
      </c>
      <c r="O322" s="4" t="str">
        <f t="shared" ref="O322:O385" si="33">IF(AND(F322&gt;0,D322&gt;0.6),"Operational Growth","Accounting Risk")</f>
        <v>Accounting Risk</v>
      </c>
      <c r="P322" s="4" t="str">
        <f t="shared" ref="P322:P385" si="34">IF(G322&gt;=7,"High Quality", IF(G322&gt;=4,"Moderate","Low Quality"))</f>
        <v>Moderate</v>
      </c>
      <c r="Q322" s="4" t="str">
        <f t="shared" ref="Q322:Q385" si="35">IF(I322&gt;=4,"Strong Long-Term Growth",IF(I322&gt;=2,"Moderate Growth","Weak Growth"))</f>
        <v>Strong Long-Term Growth</v>
      </c>
    </row>
    <row r="323" spans="1:17" x14ac:dyDescent="0.35">
      <c r="A323" s="2" t="s">
        <v>334</v>
      </c>
      <c r="B323" s="2">
        <v>5</v>
      </c>
      <c r="C323" s="2">
        <v>-21123803.079999998</v>
      </c>
      <c r="D323" s="2">
        <v>0</v>
      </c>
      <c r="E323" s="2">
        <v>25593198.120000001</v>
      </c>
      <c r="F323" s="2">
        <v>-38425331.100000001</v>
      </c>
      <c r="G323" s="2">
        <v>5</v>
      </c>
      <c r="H323" s="2">
        <v>2</v>
      </c>
      <c r="I323" s="2">
        <v>4</v>
      </c>
      <c r="J323" s="2">
        <v>3.9</v>
      </c>
      <c r="K323" s="2" t="s">
        <v>306</v>
      </c>
      <c r="L323" s="2" t="str">
        <f t="shared" si="30"/>
        <v>Loss Making</v>
      </c>
      <c r="M323" s="2" t="str">
        <f t="shared" si="31"/>
        <v>Stable Earnings</v>
      </c>
      <c r="N323" s="2" t="str">
        <f t="shared" si="32"/>
        <v>Moderate</v>
      </c>
      <c r="O323" s="4" t="str">
        <f t="shared" si="33"/>
        <v>Accounting Risk</v>
      </c>
      <c r="P323" s="4" t="str">
        <f t="shared" si="34"/>
        <v>Moderate</v>
      </c>
      <c r="Q323" s="4" t="str">
        <f t="shared" si="35"/>
        <v>Strong Long-Term Growth</v>
      </c>
    </row>
    <row r="324" spans="1:17" x14ac:dyDescent="0.35">
      <c r="A324" s="2" t="s">
        <v>335</v>
      </c>
      <c r="B324" s="2">
        <v>5</v>
      </c>
      <c r="C324" s="2">
        <v>-103599030.09999999</v>
      </c>
      <c r="D324" s="2">
        <v>0</v>
      </c>
      <c r="E324" s="2">
        <v>27032522.23</v>
      </c>
      <c r="F324" s="2">
        <v>-22619853.399999999</v>
      </c>
      <c r="G324" s="2">
        <v>5</v>
      </c>
      <c r="H324" s="2">
        <v>2</v>
      </c>
      <c r="I324" s="2">
        <v>4</v>
      </c>
      <c r="J324" s="2">
        <v>3.9</v>
      </c>
      <c r="K324" s="2" t="s">
        <v>306</v>
      </c>
      <c r="L324" s="2" t="str">
        <f t="shared" si="30"/>
        <v>Loss Making</v>
      </c>
      <c r="M324" s="2" t="str">
        <f t="shared" si="31"/>
        <v>Stable Earnings</v>
      </c>
      <c r="N324" s="2" t="str">
        <f t="shared" si="32"/>
        <v>Moderate</v>
      </c>
      <c r="O324" s="4" t="str">
        <f t="shared" si="33"/>
        <v>Accounting Risk</v>
      </c>
      <c r="P324" s="4" t="str">
        <f t="shared" si="34"/>
        <v>Moderate</v>
      </c>
      <c r="Q324" s="4" t="str">
        <f t="shared" si="35"/>
        <v>Strong Long-Term Growth</v>
      </c>
    </row>
    <row r="325" spans="1:17" x14ac:dyDescent="0.35">
      <c r="A325" s="2" t="s">
        <v>336</v>
      </c>
      <c r="B325" s="2">
        <v>5</v>
      </c>
      <c r="C325" s="2">
        <v>-73620901.060000002</v>
      </c>
      <c r="D325" s="2">
        <v>0</v>
      </c>
      <c r="E325" s="2">
        <v>42776791.890000001</v>
      </c>
      <c r="F325" s="2">
        <v>-26132585.199999999</v>
      </c>
      <c r="G325" s="2">
        <v>5</v>
      </c>
      <c r="H325" s="2">
        <v>2</v>
      </c>
      <c r="I325" s="2">
        <v>4</v>
      </c>
      <c r="J325" s="2">
        <v>3.9</v>
      </c>
      <c r="K325" s="2" t="s">
        <v>306</v>
      </c>
      <c r="L325" s="2" t="str">
        <f t="shared" si="30"/>
        <v>Loss Making</v>
      </c>
      <c r="M325" s="2" t="str">
        <f t="shared" si="31"/>
        <v>Stable Earnings</v>
      </c>
      <c r="N325" s="2" t="str">
        <f t="shared" si="32"/>
        <v>Moderate</v>
      </c>
      <c r="O325" s="4" t="str">
        <f t="shared" si="33"/>
        <v>Accounting Risk</v>
      </c>
      <c r="P325" s="4" t="str">
        <f t="shared" si="34"/>
        <v>Moderate</v>
      </c>
      <c r="Q325" s="4" t="str">
        <f t="shared" si="35"/>
        <v>Strong Long-Term Growth</v>
      </c>
    </row>
    <row r="326" spans="1:17" x14ac:dyDescent="0.35">
      <c r="A326" s="2" t="s">
        <v>337</v>
      </c>
      <c r="B326" s="2">
        <v>5</v>
      </c>
      <c r="C326" s="2">
        <v>-22952295.98</v>
      </c>
      <c r="D326" s="2">
        <v>0</v>
      </c>
      <c r="E326" s="2">
        <v>15635978.08</v>
      </c>
      <c r="F326" s="2">
        <v>-26615610.300000001</v>
      </c>
      <c r="G326" s="2">
        <v>5</v>
      </c>
      <c r="H326" s="2">
        <v>2</v>
      </c>
      <c r="I326" s="2">
        <v>4</v>
      </c>
      <c r="J326" s="2">
        <v>3.9</v>
      </c>
      <c r="K326" s="2" t="s">
        <v>306</v>
      </c>
      <c r="L326" s="2" t="str">
        <f t="shared" si="30"/>
        <v>Loss Making</v>
      </c>
      <c r="M326" s="2" t="str">
        <f t="shared" si="31"/>
        <v>Stable Earnings</v>
      </c>
      <c r="N326" s="2" t="str">
        <f t="shared" si="32"/>
        <v>Moderate</v>
      </c>
      <c r="O326" s="4" t="str">
        <f t="shared" si="33"/>
        <v>Accounting Risk</v>
      </c>
      <c r="P326" s="4" t="str">
        <f t="shared" si="34"/>
        <v>Moderate</v>
      </c>
      <c r="Q326" s="4" t="str">
        <f t="shared" si="35"/>
        <v>Strong Long-Term Growth</v>
      </c>
    </row>
    <row r="327" spans="1:17" x14ac:dyDescent="0.35">
      <c r="A327" s="2" t="s">
        <v>338</v>
      </c>
      <c r="B327" s="2">
        <v>5</v>
      </c>
      <c r="C327" s="2">
        <v>-49752128.18</v>
      </c>
      <c r="D327" s="2">
        <v>0</v>
      </c>
      <c r="E327" s="2">
        <v>15736019.01</v>
      </c>
      <c r="F327" s="2">
        <v>-27104073.399999999</v>
      </c>
      <c r="G327" s="2">
        <v>5</v>
      </c>
      <c r="H327" s="2">
        <v>2</v>
      </c>
      <c r="I327" s="2">
        <v>4</v>
      </c>
      <c r="J327" s="2">
        <v>3.9</v>
      </c>
      <c r="K327" s="2" t="s">
        <v>306</v>
      </c>
      <c r="L327" s="2" t="str">
        <f t="shared" si="30"/>
        <v>Loss Making</v>
      </c>
      <c r="M327" s="2" t="str">
        <f t="shared" si="31"/>
        <v>Stable Earnings</v>
      </c>
      <c r="N327" s="2" t="str">
        <f t="shared" si="32"/>
        <v>Moderate</v>
      </c>
      <c r="O327" s="4" t="str">
        <f t="shared" si="33"/>
        <v>Accounting Risk</v>
      </c>
      <c r="P327" s="4" t="str">
        <f t="shared" si="34"/>
        <v>Moderate</v>
      </c>
      <c r="Q327" s="4" t="str">
        <f t="shared" si="35"/>
        <v>Strong Long-Term Growth</v>
      </c>
    </row>
    <row r="328" spans="1:17" x14ac:dyDescent="0.35">
      <c r="A328" s="2" t="s">
        <v>339</v>
      </c>
      <c r="B328" s="2">
        <v>5</v>
      </c>
      <c r="C328" s="2">
        <v>-53896694.060000002</v>
      </c>
      <c r="D328" s="2">
        <v>0</v>
      </c>
      <c r="E328" s="2">
        <v>28473705.260000002</v>
      </c>
      <c r="F328" s="2">
        <v>-13612045.4</v>
      </c>
      <c r="G328" s="2">
        <v>5</v>
      </c>
      <c r="H328" s="2">
        <v>2</v>
      </c>
      <c r="I328" s="2">
        <v>4</v>
      </c>
      <c r="J328" s="2">
        <v>3.9</v>
      </c>
      <c r="K328" s="2" t="s">
        <v>306</v>
      </c>
      <c r="L328" s="2" t="str">
        <f t="shared" si="30"/>
        <v>Loss Making</v>
      </c>
      <c r="M328" s="2" t="str">
        <f t="shared" si="31"/>
        <v>Stable Earnings</v>
      </c>
      <c r="N328" s="2" t="str">
        <f t="shared" si="32"/>
        <v>Moderate</v>
      </c>
      <c r="O328" s="4" t="str">
        <f t="shared" si="33"/>
        <v>Accounting Risk</v>
      </c>
      <c r="P328" s="4" t="str">
        <f t="shared" si="34"/>
        <v>Moderate</v>
      </c>
      <c r="Q328" s="4" t="str">
        <f t="shared" si="35"/>
        <v>Strong Long-Term Growth</v>
      </c>
    </row>
    <row r="329" spans="1:17" x14ac:dyDescent="0.35">
      <c r="A329" s="2" t="s">
        <v>340</v>
      </c>
      <c r="B329" s="2">
        <v>5</v>
      </c>
      <c r="C329" s="2">
        <v>-69677712.420000002</v>
      </c>
      <c r="D329" s="2">
        <v>0</v>
      </c>
      <c r="E329" s="2">
        <v>22366837.670000002</v>
      </c>
      <c r="F329" s="2">
        <v>-16016230.4</v>
      </c>
      <c r="G329" s="2">
        <v>5</v>
      </c>
      <c r="H329" s="2">
        <v>2</v>
      </c>
      <c r="I329" s="2">
        <v>4</v>
      </c>
      <c r="J329" s="2">
        <v>3.9</v>
      </c>
      <c r="K329" s="2" t="s">
        <v>306</v>
      </c>
      <c r="L329" s="2" t="str">
        <f t="shared" si="30"/>
        <v>Loss Making</v>
      </c>
      <c r="M329" s="2" t="str">
        <f t="shared" si="31"/>
        <v>Stable Earnings</v>
      </c>
      <c r="N329" s="2" t="str">
        <f t="shared" si="32"/>
        <v>Moderate</v>
      </c>
      <c r="O329" s="4" t="str">
        <f t="shared" si="33"/>
        <v>Accounting Risk</v>
      </c>
      <c r="P329" s="4" t="str">
        <f t="shared" si="34"/>
        <v>Moderate</v>
      </c>
      <c r="Q329" s="4" t="str">
        <f t="shared" si="35"/>
        <v>Strong Long-Term Growth</v>
      </c>
    </row>
    <row r="330" spans="1:17" x14ac:dyDescent="0.35">
      <c r="A330" s="2" t="s">
        <v>341</v>
      </c>
      <c r="B330" s="2">
        <v>5</v>
      </c>
      <c r="C330" s="2">
        <v>-47698573.759999998</v>
      </c>
      <c r="D330" s="2">
        <v>0</v>
      </c>
      <c r="E330" s="2">
        <v>26955912.850000001</v>
      </c>
      <c r="F330" s="2">
        <v>-17244783.800000001</v>
      </c>
      <c r="G330" s="2">
        <v>5</v>
      </c>
      <c r="H330" s="2">
        <v>2</v>
      </c>
      <c r="I330" s="2">
        <v>4</v>
      </c>
      <c r="J330" s="2">
        <v>3.9</v>
      </c>
      <c r="K330" s="2" t="s">
        <v>306</v>
      </c>
      <c r="L330" s="2" t="str">
        <f t="shared" si="30"/>
        <v>Loss Making</v>
      </c>
      <c r="M330" s="2" t="str">
        <f t="shared" si="31"/>
        <v>Stable Earnings</v>
      </c>
      <c r="N330" s="2" t="str">
        <f t="shared" si="32"/>
        <v>Moderate</v>
      </c>
      <c r="O330" s="4" t="str">
        <f t="shared" si="33"/>
        <v>Accounting Risk</v>
      </c>
      <c r="P330" s="4" t="str">
        <f t="shared" si="34"/>
        <v>Moderate</v>
      </c>
      <c r="Q330" s="4" t="str">
        <f t="shared" si="35"/>
        <v>Strong Long-Term Growth</v>
      </c>
    </row>
    <row r="331" spans="1:17" x14ac:dyDescent="0.35">
      <c r="A331" s="2" t="s">
        <v>342</v>
      </c>
      <c r="B331" s="2">
        <v>5</v>
      </c>
      <c r="C331" s="2">
        <v>-37146166.579999998</v>
      </c>
      <c r="D331" s="2">
        <v>0</v>
      </c>
      <c r="E331" s="2">
        <v>24857058.420000002</v>
      </c>
      <c r="F331" s="2">
        <v>-16666278.300000001</v>
      </c>
      <c r="G331" s="2">
        <v>5</v>
      </c>
      <c r="H331" s="2">
        <v>2</v>
      </c>
      <c r="I331" s="2">
        <v>4</v>
      </c>
      <c r="J331" s="2">
        <v>3.9</v>
      </c>
      <c r="K331" s="2" t="s">
        <v>306</v>
      </c>
      <c r="L331" s="2" t="str">
        <f t="shared" si="30"/>
        <v>Loss Making</v>
      </c>
      <c r="M331" s="2" t="str">
        <f t="shared" si="31"/>
        <v>Stable Earnings</v>
      </c>
      <c r="N331" s="2" t="str">
        <f t="shared" si="32"/>
        <v>Moderate</v>
      </c>
      <c r="O331" s="4" t="str">
        <f t="shared" si="33"/>
        <v>Accounting Risk</v>
      </c>
      <c r="P331" s="4" t="str">
        <f t="shared" si="34"/>
        <v>Moderate</v>
      </c>
      <c r="Q331" s="4" t="str">
        <f t="shared" si="35"/>
        <v>Strong Long-Term Growth</v>
      </c>
    </row>
    <row r="332" spans="1:17" x14ac:dyDescent="0.35">
      <c r="A332" s="2" t="s">
        <v>343</v>
      </c>
      <c r="B332" s="2">
        <v>5</v>
      </c>
      <c r="C332" s="2">
        <v>-27739126.359999999</v>
      </c>
      <c r="D332" s="2">
        <v>0</v>
      </c>
      <c r="E332" s="2">
        <v>24799452.5</v>
      </c>
      <c r="F332" s="2">
        <v>-9662057.6999999993</v>
      </c>
      <c r="G332" s="2">
        <v>5</v>
      </c>
      <c r="H332" s="2">
        <v>2</v>
      </c>
      <c r="I332" s="2">
        <v>4</v>
      </c>
      <c r="J332" s="2">
        <v>3.9</v>
      </c>
      <c r="K332" s="2" t="s">
        <v>306</v>
      </c>
      <c r="L332" s="2" t="str">
        <f t="shared" si="30"/>
        <v>Loss Making</v>
      </c>
      <c r="M332" s="2" t="str">
        <f t="shared" si="31"/>
        <v>Stable Earnings</v>
      </c>
      <c r="N332" s="2" t="str">
        <f t="shared" si="32"/>
        <v>Moderate</v>
      </c>
      <c r="O332" s="4" t="str">
        <f t="shared" si="33"/>
        <v>Accounting Risk</v>
      </c>
      <c r="P332" s="4" t="str">
        <f t="shared" si="34"/>
        <v>Moderate</v>
      </c>
      <c r="Q332" s="4" t="str">
        <f t="shared" si="35"/>
        <v>Strong Long-Term Growth</v>
      </c>
    </row>
    <row r="333" spans="1:17" x14ac:dyDescent="0.35">
      <c r="A333" s="2" t="s">
        <v>344</v>
      </c>
      <c r="B333" s="2">
        <v>5</v>
      </c>
      <c r="C333" s="2">
        <v>-161013512.80000001</v>
      </c>
      <c r="D333" s="2">
        <v>0</v>
      </c>
      <c r="E333" s="2">
        <v>40085880.909999996</v>
      </c>
      <c r="F333" s="2">
        <v>-10577120.300000001</v>
      </c>
      <c r="G333" s="2">
        <v>5</v>
      </c>
      <c r="H333" s="2">
        <v>2</v>
      </c>
      <c r="I333" s="2">
        <v>4</v>
      </c>
      <c r="J333" s="2">
        <v>3.9</v>
      </c>
      <c r="K333" s="2" t="s">
        <v>306</v>
      </c>
      <c r="L333" s="2" t="str">
        <f t="shared" si="30"/>
        <v>Loss Making</v>
      </c>
      <c r="M333" s="2" t="str">
        <f t="shared" si="31"/>
        <v>Stable Earnings</v>
      </c>
      <c r="N333" s="2" t="str">
        <f t="shared" si="32"/>
        <v>Moderate</v>
      </c>
      <c r="O333" s="4" t="str">
        <f t="shared" si="33"/>
        <v>Accounting Risk</v>
      </c>
      <c r="P333" s="4" t="str">
        <f t="shared" si="34"/>
        <v>Moderate</v>
      </c>
      <c r="Q333" s="4" t="str">
        <f t="shared" si="35"/>
        <v>Strong Long-Term Growth</v>
      </c>
    </row>
    <row r="334" spans="1:17" x14ac:dyDescent="0.35">
      <c r="A334" s="2" t="s">
        <v>345</v>
      </c>
      <c r="B334" s="2">
        <v>5</v>
      </c>
      <c r="C334" s="2">
        <v>-66753304.640000001</v>
      </c>
      <c r="D334" s="2">
        <v>0</v>
      </c>
      <c r="E334" s="2">
        <v>22299624.460000001</v>
      </c>
      <c r="F334" s="2">
        <v>-10905824.300000001</v>
      </c>
      <c r="G334" s="2">
        <v>5</v>
      </c>
      <c r="H334" s="2">
        <v>2</v>
      </c>
      <c r="I334" s="2">
        <v>4</v>
      </c>
      <c r="J334" s="2">
        <v>3.9</v>
      </c>
      <c r="K334" s="2" t="s">
        <v>306</v>
      </c>
      <c r="L334" s="2" t="str">
        <f t="shared" si="30"/>
        <v>Loss Making</v>
      </c>
      <c r="M334" s="2" t="str">
        <f t="shared" si="31"/>
        <v>Stable Earnings</v>
      </c>
      <c r="N334" s="2" t="str">
        <f t="shared" si="32"/>
        <v>Moderate</v>
      </c>
      <c r="O334" s="4" t="str">
        <f t="shared" si="33"/>
        <v>Accounting Risk</v>
      </c>
      <c r="P334" s="4" t="str">
        <f t="shared" si="34"/>
        <v>Moderate</v>
      </c>
      <c r="Q334" s="4" t="str">
        <f t="shared" si="35"/>
        <v>Strong Long-Term Growth</v>
      </c>
    </row>
    <row r="335" spans="1:17" x14ac:dyDescent="0.35">
      <c r="A335" s="2" t="s">
        <v>346</v>
      </c>
      <c r="B335" s="2">
        <v>5</v>
      </c>
      <c r="C335" s="2">
        <v>-38695956.340000004</v>
      </c>
      <c r="D335" s="2">
        <v>0</v>
      </c>
      <c r="E335" s="2">
        <v>17742319.66</v>
      </c>
      <c r="F335" s="2">
        <v>-11113960.4</v>
      </c>
      <c r="G335" s="2">
        <v>5</v>
      </c>
      <c r="H335" s="2">
        <v>2</v>
      </c>
      <c r="I335" s="2">
        <v>4</v>
      </c>
      <c r="J335" s="2">
        <v>3.9</v>
      </c>
      <c r="K335" s="2" t="s">
        <v>306</v>
      </c>
      <c r="L335" s="2" t="str">
        <f t="shared" si="30"/>
        <v>Loss Making</v>
      </c>
      <c r="M335" s="2" t="str">
        <f t="shared" si="31"/>
        <v>Stable Earnings</v>
      </c>
      <c r="N335" s="2" t="str">
        <f t="shared" si="32"/>
        <v>Moderate</v>
      </c>
      <c r="O335" s="4" t="str">
        <f t="shared" si="33"/>
        <v>Accounting Risk</v>
      </c>
      <c r="P335" s="4" t="str">
        <f t="shared" si="34"/>
        <v>Moderate</v>
      </c>
      <c r="Q335" s="4" t="str">
        <f t="shared" si="35"/>
        <v>Strong Long-Term Growth</v>
      </c>
    </row>
    <row r="336" spans="1:17" x14ac:dyDescent="0.35">
      <c r="A336" s="2" t="s">
        <v>347</v>
      </c>
      <c r="B336" s="2">
        <v>5</v>
      </c>
      <c r="C336" s="2">
        <v>-89038966.180000007</v>
      </c>
      <c r="D336" s="2">
        <v>0</v>
      </c>
      <c r="E336" s="2">
        <v>22680052.030000001</v>
      </c>
      <c r="F336" s="2">
        <v>-7040837.7999999998</v>
      </c>
      <c r="G336" s="2">
        <v>5</v>
      </c>
      <c r="H336" s="2">
        <v>2</v>
      </c>
      <c r="I336" s="2">
        <v>4</v>
      </c>
      <c r="J336" s="2">
        <v>3.9</v>
      </c>
      <c r="K336" s="2" t="s">
        <v>306</v>
      </c>
      <c r="L336" s="2" t="str">
        <f t="shared" si="30"/>
        <v>Loss Making</v>
      </c>
      <c r="M336" s="2" t="str">
        <f t="shared" si="31"/>
        <v>Stable Earnings</v>
      </c>
      <c r="N336" s="2" t="str">
        <f t="shared" si="32"/>
        <v>Moderate</v>
      </c>
      <c r="O336" s="4" t="str">
        <f t="shared" si="33"/>
        <v>Accounting Risk</v>
      </c>
      <c r="P336" s="4" t="str">
        <f t="shared" si="34"/>
        <v>Moderate</v>
      </c>
      <c r="Q336" s="4" t="str">
        <f t="shared" si="35"/>
        <v>Strong Long-Term Growth</v>
      </c>
    </row>
    <row r="337" spans="1:17" x14ac:dyDescent="0.35">
      <c r="A337" s="2" t="s">
        <v>348</v>
      </c>
      <c r="B337" s="2">
        <v>5</v>
      </c>
      <c r="C337" s="2">
        <v>-14050702.800000001</v>
      </c>
      <c r="D337" s="2">
        <v>0</v>
      </c>
      <c r="E337" s="2">
        <v>17306489.109999999</v>
      </c>
      <c r="F337" s="2">
        <v>-7517383.7000000002</v>
      </c>
      <c r="G337" s="2">
        <v>5</v>
      </c>
      <c r="H337" s="2">
        <v>2</v>
      </c>
      <c r="I337" s="2">
        <v>4</v>
      </c>
      <c r="J337" s="2">
        <v>3.9</v>
      </c>
      <c r="K337" s="2" t="s">
        <v>306</v>
      </c>
      <c r="L337" s="2" t="str">
        <f t="shared" si="30"/>
        <v>Loss Making</v>
      </c>
      <c r="M337" s="2" t="str">
        <f t="shared" si="31"/>
        <v>Stable Earnings</v>
      </c>
      <c r="N337" s="2" t="str">
        <f t="shared" si="32"/>
        <v>Moderate</v>
      </c>
      <c r="O337" s="4" t="str">
        <f t="shared" si="33"/>
        <v>Accounting Risk</v>
      </c>
      <c r="P337" s="4" t="str">
        <f t="shared" si="34"/>
        <v>Moderate</v>
      </c>
      <c r="Q337" s="4" t="str">
        <f t="shared" si="35"/>
        <v>Strong Long-Term Growth</v>
      </c>
    </row>
    <row r="338" spans="1:17" x14ac:dyDescent="0.35">
      <c r="A338" s="2" t="s">
        <v>349</v>
      </c>
      <c r="B338" s="2">
        <v>5</v>
      </c>
      <c r="C338" s="2">
        <v>-50960083.82</v>
      </c>
      <c r="D338" s="2">
        <v>0</v>
      </c>
      <c r="E338" s="2">
        <v>27573821.140000001</v>
      </c>
      <c r="F338" s="2">
        <v>-7800017.5</v>
      </c>
      <c r="G338" s="2">
        <v>5</v>
      </c>
      <c r="H338" s="2">
        <v>2</v>
      </c>
      <c r="I338" s="2">
        <v>4</v>
      </c>
      <c r="J338" s="2">
        <v>3.9</v>
      </c>
      <c r="K338" s="2" t="s">
        <v>306</v>
      </c>
      <c r="L338" s="2" t="str">
        <f t="shared" si="30"/>
        <v>Loss Making</v>
      </c>
      <c r="M338" s="2" t="str">
        <f t="shared" si="31"/>
        <v>Stable Earnings</v>
      </c>
      <c r="N338" s="2" t="str">
        <f t="shared" si="32"/>
        <v>Moderate</v>
      </c>
      <c r="O338" s="4" t="str">
        <f t="shared" si="33"/>
        <v>Accounting Risk</v>
      </c>
      <c r="P338" s="4" t="str">
        <f t="shared" si="34"/>
        <v>Moderate</v>
      </c>
      <c r="Q338" s="4" t="str">
        <f t="shared" si="35"/>
        <v>Strong Long-Term Growth</v>
      </c>
    </row>
    <row r="339" spans="1:17" x14ac:dyDescent="0.35">
      <c r="A339" s="2" t="s">
        <v>350</v>
      </c>
      <c r="B339" s="2">
        <v>5</v>
      </c>
      <c r="C339" s="2">
        <v>-44176607.780000001</v>
      </c>
      <c r="D339" s="2">
        <v>0</v>
      </c>
      <c r="E339" s="2">
        <v>23630936.710000001</v>
      </c>
      <c r="F339" s="2">
        <v>-6554610.2999999998</v>
      </c>
      <c r="G339" s="2">
        <v>5</v>
      </c>
      <c r="H339" s="2">
        <v>2</v>
      </c>
      <c r="I339" s="2">
        <v>4</v>
      </c>
      <c r="J339" s="2">
        <v>3.9</v>
      </c>
      <c r="K339" s="2" t="s">
        <v>306</v>
      </c>
      <c r="L339" s="2" t="str">
        <f t="shared" si="30"/>
        <v>Loss Making</v>
      </c>
      <c r="M339" s="2" t="str">
        <f t="shared" si="31"/>
        <v>Stable Earnings</v>
      </c>
      <c r="N339" s="2" t="str">
        <f t="shared" si="32"/>
        <v>Moderate</v>
      </c>
      <c r="O339" s="4" t="str">
        <f t="shared" si="33"/>
        <v>Accounting Risk</v>
      </c>
      <c r="P339" s="4" t="str">
        <f t="shared" si="34"/>
        <v>Moderate</v>
      </c>
      <c r="Q339" s="4" t="str">
        <f t="shared" si="35"/>
        <v>Strong Long-Term Growth</v>
      </c>
    </row>
    <row r="340" spans="1:17" x14ac:dyDescent="0.35">
      <c r="A340" s="2" t="s">
        <v>351</v>
      </c>
      <c r="B340" s="2">
        <v>5</v>
      </c>
      <c r="C340" s="2">
        <v>-44950654.960000001</v>
      </c>
      <c r="D340" s="2">
        <v>0</v>
      </c>
      <c r="E340" s="2">
        <v>21447801.16</v>
      </c>
      <c r="F340" s="2">
        <v>-6894895.9000000004</v>
      </c>
      <c r="G340" s="2">
        <v>5</v>
      </c>
      <c r="H340" s="2">
        <v>2</v>
      </c>
      <c r="I340" s="2">
        <v>4</v>
      </c>
      <c r="J340" s="2">
        <v>3.9</v>
      </c>
      <c r="K340" s="2" t="s">
        <v>306</v>
      </c>
      <c r="L340" s="2" t="str">
        <f t="shared" si="30"/>
        <v>Loss Making</v>
      </c>
      <c r="M340" s="2" t="str">
        <f t="shared" si="31"/>
        <v>Stable Earnings</v>
      </c>
      <c r="N340" s="2" t="str">
        <f t="shared" si="32"/>
        <v>Moderate</v>
      </c>
      <c r="O340" s="4" t="str">
        <f t="shared" si="33"/>
        <v>Accounting Risk</v>
      </c>
      <c r="P340" s="4" t="str">
        <f t="shared" si="34"/>
        <v>Moderate</v>
      </c>
      <c r="Q340" s="4" t="str">
        <f t="shared" si="35"/>
        <v>Strong Long-Term Growth</v>
      </c>
    </row>
    <row r="341" spans="1:17" x14ac:dyDescent="0.35">
      <c r="A341" s="2" t="s">
        <v>352</v>
      </c>
      <c r="B341" s="2">
        <v>5</v>
      </c>
      <c r="C341" s="2">
        <v>-64067776.68</v>
      </c>
      <c r="D341" s="2">
        <v>0.2</v>
      </c>
      <c r="E341" s="2">
        <v>101016652.90000001</v>
      </c>
      <c r="F341" s="2">
        <v>-216289149.69999999</v>
      </c>
      <c r="G341" s="2">
        <v>4</v>
      </c>
      <c r="H341" s="2">
        <v>3</v>
      </c>
      <c r="I341" s="2">
        <v>5</v>
      </c>
      <c r="J341" s="2">
        <v>3.9</v>
      </c>
      <c r="K341" s="2" t="s">
        <v>306</v>
      </c>
      <c r="L341" s="2" t="str">
        <f t="shared" si="30"/>
        <v>Loss Making</v>
      </c>
      <c r="M341" s="2" t="str">
        <f t="shared" si="31"/>
        <v>Stable Earnings</v>
      </c>
      <c r="N341" s="2" t="str">
        <f t="shared" si="32"/>
        <v>Moderate</v>
      </c>
      <c r="O341" s="4" t="str">
        <f t="shared" si="33"/>
        <v>Accounting Risk</v>
      </c>
      <c r="P341" s="4" t="str">
        <f t="shared" si="34"/>
        <v>Moderate</v>
      </c>
      <c r="Q341" s="4" t="str">
        <f t="shared" si="35"/>
        <v>Strong Long-Term Growth</v>
      </c>
    </row>
    <row r="342" spans="1:17" x14ac:dyDescent="0.35">
      <c r="A342" s="2" t="s">
        <v>353</v>
      </c>
      <c r="B342" s="2">
        <v>5</v>
      </c>
      <c r="C342" s="2">
        <v>-40164916.520000003</v>
      </c>
      <c r="D342" s="2">
        <v>0.4</v>
      </c>
      <c r="E342" s="2">
        <v>98757440.670000002</v>
      </c>
      <c r="F342" s="2">
        <v>-242237695</v>
      </c>
      <c r="G342" s="2">
        <v>4</v>
      </c>
      <c r="H342" s="2">
        <v>3</v>
      </c>
      <c r="I342" s="2">
        <v>5</v>
      </c>
      <c r="J342" s="2">
        <v>3.9</v>
      </c>
      <c r="K342" s="2" t="s">
        <v>306</v>
      </c>
      <c r="L342" s="2" t="str">
        <f t="shared" si="30"/>
        <v>Loss Making</v>
      </c>
      <c r="M342" s="2" t="str">
        <f t="shared" si="31"/>
        <v>Stable Earnings</v>
      </c>
      <c r="N342" s="2" t="str">
        <f t="shared" si="32"/>
        <v>Moderate</v>
      </c>
      <c r="O342" s="4" t="str">
        <f t="shared" si="33"/>
        <v>Accounting Risk</v>
      </c>
      <c r="P342" s="4" t="str">
        <f t="shared" si="34"/>
        <v>Moderate</v>
      </c>
      <c r="Q342" s="4" t="str">
        <f t="shared" si="35"/>
        <v>Strong Long-Term Growth</v>
      </c>
    </row>
    <row r="343" spans="1:17" x14ac:dyDescent="0.35">
      <c r="A343" s="2" t="s">
        <v>354</v>
      </c>
      <c r="B343" s="2">
        <v>5</v>
      </c>
      <c r="C343" s="2">
        <v>-33621886.799999997</v>
      </c>
      <c r="D343" s="2">
        <v>0.4</v>
      </c>
      <c r="E343" s="2">
        <v>106108754.40000001</v>
      </c>
      <c r="F343" s="2">
        <v>-209713762.69999999</v>
      </c>
      <c r="G343" s="2">
        <v>4</v>
      </c>
      <c r="H343" s="2">
        <v>3</v>
      </c>
      <c r="I343" s="2">
        <v>5</v>
      </c>
      <c r="J343" s="2">
        <v>3.9</v>
      </c>
      <c r="K343" s="2" t="s">
        <v>306</v>
      </c>
      <c r="L343" s="2" t="str">
        <f t="shared" si="30"/>
        <v>Loss Making</v>
      </c>
      <c r="M343" s="2" t="str">
        <f t="shared" si="31"/>
        <v>Stable Earnings</v>
      </c>
      <c r="N343" s="2" t="str">
        <f t="shared" si="32"/>
        <v>Moderate</v>
      </c>
      <c r="O343" s="4" t="str">
        <f t="shared" si="33"/>
        <v>Accounting Risk</v>
      </c>
      <c r="P343" s="4" t="str">
        <f t="shared" si="34"/>
        <v>Moderate</v>
      </c>
      <c r="Q343" s="4" t="str">
        <f t="shared" si="35"/>
        <v>Strong Long-Term Growth</v>
      </c>
    </row>
    <row r="344" spans="1:17" x14ac:dyDescent="0.35">
      <c r="A344" s="2" t="s">
        <v>355</v>
      </c>
      <c r="B344" s="2">
        <v>5</v>
      </c>
      <c r="C344" s="2">
        <v>-67635581.140000001</v>
      </c>
      <c r="D344" s="2">
        <v>0.2</v>
      </c>
      <c r="E344" s="2">
        <v>74774985.230000004</v>
      </c>
      <c r="F344" s="2">
        <v>-184386852.80000001</v>
      </c>
      <c r="G344" s="2">
        <v>4</v>
      </c>
      <c r="H344" s="2">
        <v>3</v>
      </c>
      <c r="I344" s="2">
        <v>5</v>
      </c>
      <c r="J344" s="2">
        <v>3.9</v>
      </c>
      <c r="K344" s="2" t="s">
        <v>306</v>
      </c>
      <c r="L344" s="2" t="str">
        <f t="shared" si="30"/>
        <v>Loss Making</v>
      </c>
      <c r="M344" s="2" t="str">
        <f t="shared" si="31"/>
        <v>Stable Earnings</v>
      </c>
      <c r="N344" s="2" t="str">
        <f t="shared" si="32"/>
        <v>Moderate</v>
      </c>
      <c r="O344" s="4" t="str">
        <f t="shared" si="33"/>
        <v>Accounting Risk</v>
      </c>
      <c r="P344" s="4" t="str">
        <f t="shared" si="34"/>
        <v>Moderate</v>
      </c>
      <c r="Q344" s="4" t="str">
        <f t="shared" si="35"/>
        <v>Strong Long-Term Growth</v>
      </c>
    </row>
    <row r="345" spans="1:17" x14ac:dyDescent="0.35">
      <c r="A345" s="2" t="s">
        <v>356</v>
      </c>
      <c r="B345" s="2">
        <v>5</v>
      </c>
      <c r="C345" s="2">
        <v>-73333494.280000001</v>
      </c>
      <c r="D345" s="2">
        <v>0.2</v>
      </c>
      <c r="E345" s="2">
        <v>95297242.530000001</v>
      </c>
      <c r="F345" s="2">
        <v>-202855769.40000001</v>
      </c>
      <c r="G345" s="2">
        <v>4</v>
      </c>
      <c r="H345" s="2">
        <v>3</v>
      </c>
      <c r="I345" s="2">
        <v>5</v>
      </c>
      <c r="J345" s="2">
        <v>3.9</v>
      </c>
      <c r="K345" s="2" t="s">
        <v>306</v>
      </c>
      <c r="L345" s="2" t="str">
        <f t="shared" si="30"/>
        <v>Loss Making</v>
      </c>
      <c r="M345" s="2" t="str">
        <f t="shared" si="31"/>
        <v>Stable Earnings</v>
      </c>
      <c r="N345" s="2" t="str">
        <f t="shared" si="32"/>
        <v>Moderate</v>
      </c>
      <c r="O345" s="4" t="str">
        <f t="shared" si="33"/>
        <v>Accounting Risk</v>
      </c>
      <c r="P345" s="4" t="str">
        <f t="shared" si="34"/>
        <v>Moderate</v>
      </c>
      <c r="Q345" s="4" t="str">
        <f t="shared" si="35"/>
        <v>Strong Long-Term Growth</v>
      </c>
    </row>
    <row r="346" spans="1:17" x14ac:dyDescent="0.35">
      <c r="A346" s="2" t="s">
        <v>357</v>
      </c>
      <c r="B346" s="2">
        <v>5</v>
      </c>
      <c r="C346" s="2">
        <v>-121867970.2</v>
      </c>
      <c r="D346" s="2">
        <v>0</v>
      </c>
      <c r="E346" s="2">
        <v>78201552.290000007</v>
      </c>
      <c r="F346" s="2">
        <v>-205864371.09999999</v>
      </c>
      <c r="G346" s="2">
        <v>4</v>
      </c>
      <c r="H346" s="2">
        <v>3</v>
      </c>
      <c r="I346" s="2">
        <v>5</v>
      </c>
      <c r="J346" s="2">
        <v>3.9</v>
      </c>
      <c r="K346" s="2" t="s">
        <v>306</v>
      </c>
      <c r="L346" s="2" t="str">
        <f t="shared" si="30"/>
        <v>Loss Making</v>
      </c>
      <c r="M346" s="2" t="str">
        <f t="shared" si="31"/>
        <v>Stable Earnings</v>
      </c>
      <c r="N346" s="2" t="str">
        <f t="shared" si="32"/>
        <v>Moderate</v>
      </c>
      <c r="O346" s="4" t="str">
        <f t="shared" si="33"/>
        <v>Accounting Risk</v>
      </c>
      <c r="P346" s="4" t="str">
        <f t="shared" si="34"/>
        <v>Moderate</v>
      </c>
      <c r="Q346" s="4" t="str">
        <f t="shared" si="35"/>
        <v>Strong Long-Term Growth</v>
      </c>
    </row>
    <row r="347" spans="1:17" x14ac:dyDescent="0.35">
      <c r="A347" s="2" t="s">
        <v>358</v>
      </c>
      <c r="B347" s="2">
        <v>5</v>
      </c>
      <c r="C347" s="2">
        <v>-85708642.280000001</v>
      </c>
      <c r="D347" s="2">
        <v>0.2</v>
      </c>
      <c r="E347" s="2">
        <v>106618726.40000001</v>
      </c>
      <c r="F347" s="2">
        <v>-207016962.40000001</v>
      </c>
      <c r="G347" s="2">
        <v>4</v>
      </c>
      <c r="H347" s="2">
        <v>3</v>
      </c>
      <c r="I347" s="2">
        <v>5</v>
      </c>
      <c r="J347" s="2">
        <v>3.9</v>
      </c>
      <c r="K347" s="2" t="s">
        <v>306</v>
      </c>
      <c r="L347" s="2" t="str">
        <f t="shared" si="30"/>
        <v>Loss Making</v>
      </c>
      <c r="M347" s="2" t="str">
        <f t="shared" si="31"/>
        <v>Stable Earnings</v>
      </c>
      <c r="N347" s="2" t="str">
        <f t="shared" si="32"/>
        <v>Moderate</v>
      </c>
      <c r="O347" s="4" t="str">
        <f t="shared" si="33"/>
        <v>Accounting Risk</v>
      </c>
      <c r="P347" s="4" t="str">
        <f t="shared" si="34"/>
        <v>Moderate</v>
      </c>
      <c r="Q347" s="4" t="str">
        <f t="shared" si="35"/>
        <v>Strong Long-Term Growth</v>
      </c>
    </row>
    <row r="348" spans="1:17" x14ac:dyDescent="0.35">
      <c r="A348" s="2" t="s">
        <v>359</v>
      </c>
      <c r="B348" s="2">
        <v>5</v>
      </c>
      <c r="C348" s="2">
        <v>-69013749</v>
      </c>
      <c r="D348" s="2">
        <v>0.2</v>
      </c>
      <c r="E348" s="2">
        <v>98407984.760000005</v>
      </c>
      <c r="F348" s="2">
        <v>-174906328.19999999</v>
      </c>
      <c r="G348" s="2">
        <v>4</v>
      </c>
      <c r="H348" s="2">
        <v>3</v>
      </c>
      <c r="I348" s="2">
        <v>5</v>
      </c>
      <c r="J348" s="2">
        <v>3.9</v>
      </c>
      <c r="K348" s="2" t="s">
        <v>306</v>
      </c>
      <c r="L348" s="2" t="str">
        <f t="shared" si="30"/>
        <v>Loss Making</v>
      </c>
      <c r="M348" s="2" t="str">
        <f t="shared" si="31"/>
        <v>Stable Earnings</v>
      </c>
      <c r="N348" s="2" t="str">
        <f t="shared" si="32"/>
        <v>Moderate</v>
      </c>
      <c r="O348" s="4" t="str">
        <f t="shared" si="33"/>
        <v>Accounting Risk</v>
      </c>
      <c r="P348" s="4" t="str">
        <f t="shared" si="34"/>
        <v>Moderate</v>
      </c>
      <c r="Q348" s="4" t="str">
        <f t="shared" si="35"/>
        <v>Strong Long-Term Growth</v>
      </c>
    </row>
    <row r="349" spans="1:17" x14ac:dyDescent="0.35">
      <c r="A349" s="2" t="s">
        <v>360</v>
      </c>
      <c r="B349" s="2">
        <v>5</v>
      </c>
      <c r="C349" s="2">
        <v>-90249427.780000001</v>
      </c>
      <c r="D349" s="2">
        <v>0</v>
      </c>
      <c r="E349" s="2">
        <v>60992468.340000004</v>
      </c>
      <c r="F349" s="2">
        <v>-135429906.90000001</v>
      </c>
      <c r="G349" s="2">
        <v>4</v>
      </c>
      <c r="H349" s="2">
        <v>3</v>
      </c>
      <c r="I349" s="2">
        <v>5</v>
      </c>
      <c r="J349" s="2">
        <v>3.9</v>
      </c>
      <c r="K349" s="2" t="s">
        <v>306</v>
      </c>
      <c r="L349" s="2" t="str">
        <f t="shared" si="30"/>
        <v>Loss Making</v>
      </c>
      <c r="M349" s="2" t="str">
        <f t="shared" si="31"/>
        <v>Stable Earnings</v>
      </c>
      <c r="N349" s="2" t="str">
        <f t="shared" si="32"/>
        <v>Moderate</v>
      </c>
      <c r="O349" s="4" t="str">
        <f t="shared" si="33"/>
        <v>Accounting Risk</v>
      </c>
      <c r="P349" s="4" t="str">
        <f t="shared" si="34"/>
        <v>Moderate</v>
      </c>
      <c r="Q349" s="4" t="str">
        <f t="shared" si="35"/>
        <v>Strong Long-Term Growth</v>
      </c>
    </row>
    <row r="350" spans="1:17" x14ac:dyDescent="0.35">
      <c r="A350" s="2" t="s">
        <v>361</v>
      </c>
      <c r="B350" s="2">
        <v>5</v>
      </c>
      <c r="C350" s="2">
        <v>-36459503.68</v>
      </c>
      <c r="D350" s="2">
        <v>0.2</v>
      </c>
      <c r="E350" s="2">
        <v>97438443.969999999</v>
      </c>
      <c r="F350" s="2">
        <v>-137144159.59999999</v>
      </c>
      <c r="G350" s="2">
        <v>4</v>
      </c>
      <c r="H350" s="2">
        <v>3</v>
      </c>
      <c r="I350" s="2">
        <v>5</v>
      </c>
      <c r="J350" s="2">
        <v>3.9</v>
      </c>
      <c r="K350" s="2" t="s">
        <v>306</v>
      </c>
      <c r="L350" s="2" t="str">
        <f t="shared" si="30"/>
        <v>Loss Making</v>
      </c>
      <c r="M350" s="2" t="str">
        <f t="shared" si="31"/>
        <v>Stable Earnings</v>
      </c>
      <c r="N350" s="2" t="str">
        <f t="shared" si="32"/>
        <v>Moderate</v>
      </c>
      <c r="O350" s="4" t="str">
        <f t="shared" si="33"/>
        <v>Accounting Risk</v>
      </c>
      <c r="P350" s="4" t="str">
        <f t="shared" si="34"/>
        <v>Moderate</v>
      </c>
      <c r="Q350" s="4" t="str">
        <f t="shared" si="35"/>
        <v>Strong Long-Term Growth</v>
      </c>
    </row>
    <row r="351" spans="1:17" x14ac:dyDescent="0.35">
      <c r="A351" s="2" t="s">
        <v>362</v>
      </c>
      <c r="B351" s="2">
        <v>5</v>
      </c>
      <c r="C351" s="2">
        <v>3933534.34</v>
      </c>
      <c r="D351" s="2">
        <v>0.4</v>
      </c>
      <c r="E351" s="2">
        <v>77880131.319999993</v>
      </c>
      <c r="F351" s="2">
        <v>-137631847.59999999</v>
      </c>
      <c r="G351" s="2">
        <v>4</v>
      </c>
      <c r="H351" s="2">
        <v>3</v>
      </c>
      <c r="I351" s="2">
        <v>5</v>
      </c>
      <c r="J351" s="2">
        <v>3.9</v>
      </c>
      <c r="K351" s="2" t="s">
        <v>306</v>
      </c>
      <c r="L351" s="2" t="str">
        <f t="shared" si="30"/>
        <v>Profitable</v>
      </c>
      <c r="M351" s="2" t="str">
        <f t="shared" si="31"/>
        <v>Stable Earnings</v>
      </c>
      <c r="N351" s="2" t="str">
        <f t="shared" si="32"/>
        <v>Moderate</v>
      </c>
      <c r="O351" s="4" t="str">
        <f t="shared" si="33"/>
        <v>Accounting Risk</v>
      </c>
      <c r="P351" s="4" t="str">
        <f t="shared" si="34"/>
        <v>Moderate</v>
      </c>
      <c r="Q351" s="4" t="str">
        <f t="shared" si="35"/>
        <v>Strong Long-Term Growth</v>
      </c>
    </row>
    <row r="352" spans="1:17" x14ac:dyDescent="0.35">
      <c r="A352" s="2" t="s">
        <v>363</v>
      </c>
      <c r="B352" s="2">
        <v>5</v>
      </c>
      <c r="C352" s="2">
        <v>-73795399.459999993</v>
      </c>
      <c r="D352" s="2">
        <v>0.2</v>
      </c>
      <c r="E352" s="2">
        <v>69110010.310000002</v>
      </c>
      <c r="F352" s="2">
        <v>-132416228.40000001</v>
      </c>
      <c r="G352" s="2">
        <v>4</v>
      </c>
      <c r="H352" s="2">
        <v>3</v>
      </c>
      <c r="I352" s="2">
        <v>5</v>
      </c>
      <c r="J352" s="2">
        <v>3.9</v>
      </c>
      <c r="K352" s="2" t="s">
        <v>306</v>
      </c>
      <c r="L352" s="2" t="str">
        <f t="shared" si="30"/>
        <v>Loss Making</v>
      </c>
      <c r="M352" s="2" t="str">
        <f t="shared" si="31"/>
        <v>Stable Earnings</v>
      </c>
      <c r="N352" s="2" t="str">
        <f t="shared" si="32"/>
        <v>Moderate</v>
      </c>
      <c r="O352" s="4" t="str">
        <f t="shared" si="33"/>
        <v>Accounting Risk</v>
      </c>
      <c r="P352" s="4" t="str">
        <f t="shared" si="34"/>
        <v>Moderate</v>
      </c>
      <c r="Q352" s="4" t="str">
        <f t="shared" si="35"/>
        <v>Strong Long-Term Growth</v>
      </c>
    </row>
    <row r="353" spans="1:17" x14ac:dyDescent="0.35">
      <c r="A353" s="2" t="s">
        <v>364</v>
      </c>
      <c r="B353" s="2">
        <v>5</v>
      </c>
      <c r="C353" s="2">
        <v>-72250390.400000006</v>
      </c>
      <c r="D353" s="2">
        <v>0.2</v>
      </c>
      <c r="E353" s="2">
        <v>76084274.920000002</v>
      </c>
      <c r="F353" s="2">
        <v>-132598031.59999999</v>
      </c>
      <c r="G353" s="2">
        <v>4</v>
      </c>
      <c r="H353" s="2">
        <v>3</v>
      </c>
      <c r="I353" s="2">
        <v>5</v>
      </c>
      <c r="J353" s="2">
        <v>3.9</v>
      </c>
      <c r="K353" s="2" t="s">
        <v>306</v>
      </c>
      <c r="L353" s="2" t="str">
        <f t="shared" si="30"/>
        <v>Loss Making</v>
      </c>
      <c r="M353" s="2" t="str">
        <f t="shared" si="31"/>
        <v>Stable Earnings</v>
      </c>
      <c r="N353" s="2" t="str">
        <f t="shared" si="32"/>
        <v>Moderate</v>
      </c>
      <c r="O353" s="4" t="str">
        <f t="shared" si="33"/>
        <v>Accounting Risk</v>
      </c>
      <c r="P353" s="4" t="str">
        <f t="shared" si="34"/>
        <v>Moderate</v>
      </c>
      <c r="Q353" s="4" t="str">
        <f t="shared" si="35"/>
        <v>Strong Long-Term Growth</v>
      </c>
    </row>
    <row r="354" spans="1:17" x14ac:dyDescent="0.35">
      <c r="A354" s="2" t="s">
        <v>365</v>
      </c>
      <c r="B354" s="2">
        <v>5</v>
      </c>
      <c r="C354" s="2">
        <v>-48452375.700000003</v>
      </c>
      <c r="D354" s="2">
        <v>0</v>
      </c>
      <c r="E354" s="2">
        <v>52999566.549999997</v>
      </c>
      <c r="F354" s="2">
        <v>-129983214.09999999</v>
      </c>
      <c r="G354" s="2">
        <v>4</v>
      </c>
      <c r="H354" s="2">
        <v>3</v>
      </c>
      <c r="I354" s="2">
        <v>5</v>
      </c>
      <c r="J354" s="2">
        <v>3.9</v>
      </c>
      <c r="K354" s="2" t="s">
        <v>306</v>
      </c>
      <c r="L354" s="2" t="str">
        <f t="shared" si="30"/>
        <v>Loss Making</v>
      </c>
      <c r="M354" s="2" t="str">
        <f t="shared" si="31"/>
        <v>Stable Earnings</v>
      </c>
      <c r="N354" s="2" t="str">
        <f t="shared" si="32"/>
        <v>Moderate</v>
      </c>
      <c r="O354" s="4" t="str">
        <f t="shared" si="33"/>
        <v>Accounting Risk</v>
      </c>
      <c r="P354" s="4" t="str">
        <f t="shared" si="34"/>
        <v>Moderate</v>
      </c>
      <c r="Q354" s="4" t="str">
        <f t="shared" si="35"/>
        <v>Strong Long-Term Growth</v>
      </c>
    </row>
    <row r="355" spans="1:17" x14ac:dyDescent="0.35">
      <c r="A355" s="2" t="s">
        <v>366</v>
      </c>
      <c r="B355" s="2">
        <v>5</v>
      </c>
      <c r="C355" s="2">
        <v>-48785221.119999997</v>
      </c>
      <c r="D355" s="2">
        <v>0.2</v>
      </c>
      <c r="E355" s="2">
        <v>62636205.299999997</v>
      </c>
      <c r="F355" s="2">
        <v>-127817501.5</v>
      </c>
      <c r="G355" s="2">
        <v>4</v>
      </c>
      <c r="H355" s="2">
        <v>3</v>
      </c>
      <c r="I355" s="2">
        <v>5</v>
      </c>
      <c r="J355" s="2">
        <v>3.9</v>
      </c>
      <c r="K355" s="2" t="s">
        <v>306</v>
      </c>
      <c r="L355" s="2" t="str">
        <f t="shared" si="30"/>
        <v>Loss Making</v>
      </c>
      <c r="M355" s="2" t="str">
        <f t="shared" si="31"/>
        <v>Stable Earnings</v>
      </c>
      <c r="N355" s="2" t="str">
        <f t="shared" si="32"/>
        <v>Moderate</v>
      </c>
      <c r="O355" s="4" t="str">
        <f t="shared" si="33"/>
        <v>Accounting Risk</v>
      </c>
      <c r="P355" s="4" t="str">
        <f t="shared" si="34"/>
        <v>Moderate</v>
      </c>
      <c r="Q355" s="4" t="str">
        <f t="shared" si="35"/>
        <v>Strong Long-Term Growth</v>
      </c>
    </row>
    <row r="356" spans="1:17" x14ac:dyDescent="0.35">
      <c r="A356" s="2" t="s">
        <v>367</v>
      </c>
      <c r="B356" s="2">
        <v>5</v>
      </c>
      <c r="C356" s="2">
        <v>-116884555.5</v>
      </c>
      <c r="D356" s="2">
        <v>0</v>
      </c>
      <c r="E356" s="2">
        <v>49312163.960000001</v>
      </c>
      <c r="F356" s="2">
        <v>-124296107.8</v>
      </c>
      <c r="G356" s="2">
        <v>4</v>
      </c>
      <c r="H356" s="2">
        <v>3</v>
      </c>
      <c r="I356" s="2">
        <v>5</v>
      </c>
      <c r="J356" s="2">
        <v>3.9</v>
      </c>
      <c r="K356" s="2" t="s">
        <v>306</v>
      </c>
      <c r="L356" s="2" t="str">
        <f t="shared" si="30"/>
        <v>Loss Making</v>
      </c>
      <c r="M356" s="2" t="str">
        <f t="shared" si="31"/>
        <v>Stable Earnings</v>
      </c>
      <c r="N356" s="2" t="str">
        <f t="shared" si="32"/>
        <v>Moderate</v>
      </c>
      <c r="O356" s="4" t="str">
        <f t="shared" si="33"/>
        <v>Accounting Risk</v>
      </c>
      <c r="P356" s="4" t="str">
        <f t="shared" si="34"/>
        <v>Moderate</v>
      </c>
      <c r="Q356" s="4" t="str">
        <f t="shared" si="35"/>
        <v>Strong Long-Term Growth</v>
      </c>
    </row>
    <row r="357" spans="1:17" x14ac:dyDescent="0.35">
      <c r="A357" s="2" t="s">
        <v>368</v>
      </c>
      <c r="B357" s="2">
        <v>5</v>
      </c>
      <c r="C357" s="2">
        <v>-77686516.040000007</v>
      </c>
      <c r="D357" s="2">
        <v>0.2</v>
      </c>
      <c r="E357" s="2">
        <v>61545542.259999998</v>
      </c>
      <c r="F357" s="2">
        <v>-151234097.09999999</v>
      </c>
      <c r="G357" s="2">
        <v>4</v>
      </c>
      <c r="H357" s="2">
        <v>3</v>
      </c>
      <c r="I357" s="2">
        <v>5</v>
      </c>
      <c r="J357" s="2">
        <v>3.9</v>
      </c>
      <c r="K357" s="2" t="s">
        <v>306</v>
      </c>
      <c r="L357" s="2" t="str">
        <f t="shared" si="30"/>
        <v>Loss Making</v>
      </c>
      <c r="M357" s="2" t="str">
        <f t="shared" si="31"/>
        <v>Stable Earnings</v>
      </c>
      <c r="N357" s="2" t="str">
        <f t="shared" si="32"/>
        <v>Moderate</v>
      </c>
      <c r="O357" s="4" t="str">
        <f t="shared" si="33"/>
        <v>Accounting Risk</v>
      </c>
      <c r="P357" s="4" t="str">
        <f t="shared" si="34"/>
        <v>Moderate</v>
      </c>
      <c r="Q357" s="4" t="str">
        <f t="shared" si="35"/>
        <v>Strong Long-Term Growth</v>
      </c>
    </row>
    <row r="358" spans="1:17" x14ac:dyDescent="0.35">
      <c r="A358" s="2" t="s">
        <v>369</v>
      </c>
      <c r="B358" s="2">
        <v>5</v>
      </c>
      <c r="C358" s="2">
        <v>-93317607.019999996</v>
      </c>
      <c r="D358" s="2">
        <v>0.2</v>
      </c>
      <c r="E358" s="2">
        <v>88264006.870000005</v>
      </c>
      <c r="F358" s="2">
        <v>-146205013.80000001</v>
      </c>
      <c r="G358" s="2">
        <v>4</v>
      </c>
      <c r="H358" s="2">
        <v>3</v>
      </c>
      <c r="I358" s="2">
        <v>5</v>
      </c>
      <c r="J358" s="2">
        <v>3.9</v>
      </c>
      <c r="K358" s="2" t="s">
        <v>306</v>
      </c>
      <c r="L358" s="2" t="str">
        <f t="shared" si="30"/>
        <v>Loss Making</v>
      </c>
      <c r="M358" s="2" t="str">
        <f t="shared" si="31"/>
        <v>Stable Earnings</v>
      </c>
      <c r="N358" s="2" t="str">
        <f t="shared" si="32"/>
        <v>Moderate</v>
      </c>
      <c r="O358" s="4" t="str">
        <f t="shared" si="33"/>
        <v>Accounting Risk</v>
      </c>
      <c r="P358" s="4" t="str">
        <f t="shared" si="34"/>
        <v>Moderate</v>
      </c>
      <c r="Q358" s="4" t="str">
        <f t="shared" si="35"/>
        <v>Strong Long-Term Growth</v>
      </c>
    </row>
    <row r="359" spans="1:17" x14ac:dyDescent="0.35">
      <c r="A359" s="2" t="s">
        <v>370</v>
      </c>
      <c r="B359" s="2">
        <v>5</v>
      </c>
      <c r="C359" s="2">
        <v>-55259428.219999999</v>
      </c>
      <c r="D359" s="2">
        <v>0.2</v>
      </c>
      <c r="E359" s="2">
        <v>67109432.640000001</v>
      </c>
      <c r="F359" s="2">
        <v>-149154541.09999999</v>
      </c>
      <c r="G359" s="2">
        <v>4</v>
      </c>
      <c r="H359" s="2">
        <v>3</v>
      </c>
      <c r="I359" s="2">
        <v>5</v>
      </c>
      <c r="J359" s="2">
        <v>3.9</v>
      </c>
      <c r="K359" s="2" t="s">
        <v>306</v>
      </c>
      <c r="L359" s="2" t="str">
        <f t="shared" si="30"/>
        <v>Loss Making</v>
      </c>
      <c r="M359" s="2" t="str">
        <f t="shared" si="31"/>
        <v>Stable Earnings</v>
      </c>
      <c r="N359" s="2" t="str">
        <f t="shared" si="32"/>
        <v>Moderate</v>
      </c>
      <c r="O359" s="4" t="str">
        <f t="shared" si="33"/>
        <v>Accounting Risk</v>
      </c>
      <c r="P359" s="4" t="str">
        <f t="shared" si="34"/>
        <v>Moderate</v>
      </c>
      <c r="Q359" s="4" t="str">
        <f t="shared" si="35"/>
        <v>Strong Long-Term Growth</v>
      </c>
    </row>
    <row r="360" spans="1:17" x14ac:dyDescent="0.35">
      <c r="A360" s="2" t="s">
        <v>371</v>
      </c>
      <c r="B360" s="2">
        <v>5</v>
      </c>
      <c r="C360" s="2">
        <v>-81588283.079999998</v>
      </c>
      <c r="D360" s="2">
        <v>0</v>
      </c>
      <c r="E360" s="2">
        <v>59472347.090000004</v>
      </c>
      <c r="F360" s="2">
        <v>-142117240.09999999</v>
      </c>
      <c r="G360" s="2">
        <v>4</v>
      </c>
      <c r="H360" s="2">
        <v>3</v>
      </c>
      <c r="I360" s="2">
        <v>5</v>
      </c>
      <c r="J360" s="2">
        <v>3.9</v>
      </c>
      <c r="K360" s="2" t="s">
        <v>306</v>
      </c>
      <c r="L360" s="2" t="str">
        <f t="shared" si="30"/>
        <v>Loss Making</v>
      </c>
      <c r="M360" s="2" t="str">
        <f t="shared" si="31"/>
        <v>Stable Earnings</v>
      </c>
      <c r="N360" s="2" t="str">
        <f t="shared" si="32"/>
        <v>Moderate</v>
      </c>
      <c r="O360" s="4" t="str">
        <f t="shared" si="33"/>
        <v>Accounting Risk</v>
      </c>
      <c r="P360" s="4" t="str">
        <f t="shared" si="34"/>
        <v>Moderate</v>
      </c>
      <c r="Q360" s="4" t="str">
        <f t="shared" si="35"/>
        <v>Strong Long-Term Growth</v>
      </c>
    </row>
    <row r="361" spans="1:17" x14ac:dyDescent="0.35">
      <c r="A361" s="2" t="s">
        <v>372</v>
      </c>
      <c r="B361" s="2">
        <v>5</v>
      </c>
      <c r="C361" s="2">
        <v>-106793373.40000001</v>
      </c>
      <c r="D361" s="2">
        <v>0.2</v>
      </c>
      <c r="E361" s="2">
        <v>109567214.09999999</v>
      </c>
      <c r="F361" s="2">
        <v>-281198676.39999998</v>
      </c>
      <c r="G361" s="2">
        <v>4</v>
      </c>
      <c r="H361" s="2">
        <v>3</v>
      </c>
      <c r="I361" s="2">
        <v>5</v>
      </c>
      <c r="J361" s="2">
        <v>3.9</v>
      </c>
      <c r="K361" s="2" t="s">
        <v>306</v>
      </c>
      <c r="L361" s="2" t="str">
        <f t="shared" si="30"/>
        <v>Loss Making</v>
      </c>
      <c r="M361" s="2" t="str">
        <f t="shared" si="31"/>
        <v>Stable Earnings</v>
      </c>
      <c r="N361" s="2" t="str">
        <f t="shared" si="32"/>
        <v>Moderate</v>
      </c>
      <c r="O361" s="4" t="str">
        <f t="shared" si="33"/>
        <v>Accounting Risk</v>
      </c>
      <c r="P361" s="4" t="str">
        <f t="shared" si="34"/>
        <v>Moderate</v>
      </c>
      <c r="Q361" s="4" t="str">
        <f t="shared" si="35"/>
        <v>Strong Long-Term Growth</v>
      </c>
    </row>
    <row r="362" spans="1:17" x14ac:dyDescent="0.35">
      <c r="A362" s="2" t="s">
        <v>373</v>
      </c>
      <c r="B362" s="2">
        <v>5</v>
      </c>
      <c r="C362" s="2">
        <v>-59556284.039999999</v>
      </c>
      <c r="D362" s="2">
        <v>0.2</v>
      </c>
      <c r="E362" s="2">
        <v>111210191.8</v>
      </c>
      <c r="F362" s="2">
        <v>-297098527.60000002</v>
      </c>
      <c r="G362" s="2">
        <v>4</v>
      </c>
      <c r="H362" s="2">
        <v>3</v>
      </c>
      <c r="I362" s="2">
        <v>5</v>
      </c>
      <c r="J362" s="2">
        <v>3.9</v>
      </c>
      <c r="K362" s="2" t="s">
        <v>306</v>
      </c>
      <c r="L362" s="2" t="str">
        <f t="shared" si="30"/>
        <v>Loss Making</v>
      </c>
      <c r="M362" s="2" t="str">
        <f t="shared" si="31"/>
        <v>Stable Earnings</v>
      </c>
      <c r="N362" s="2" t="str">
        <f t="shared" si="32"/>
        <v>Moderate</v>
      </c>
      <c r="O362" s="4" t="str">
        <f t="shared" si="33"/>
        <v>Accounting Risk</v>
      </c>
      <c r="P362" s="4" t="str">
        <f t="shared" si="34"/>
        <v>Moderate</v>
      </c>
      <c r="Q362" s="4" t="str">
        <f t="shared" si="35"/>
        <v>Strong Long-Term Growth</v>
      </c>
    </row>
    <row r="363" spans="1:17" x14ac:dyDescent="0.35">
      <c r="A363" s="2" t="s">
        <v>374</v>
      </c>
      <c r="B363" s="2">
        <v>5</v>
      </c>
      <c r="C363" s="2">
        <v>-53948808.979999997</v>
      </c>
      <c r="D363" s="2">
        <v>0</v>
      </c>
      <c r="E363" s="2">
        <v>32692901.399999999</v>
      </c>
      <c r="F363" s="2">
        <v>-71583099</v>
      </c>
      <c r="G363" s="2">
        <v>5</v>
      </c>
      <c r="H363" s="2">
        <v>2</v>
      </c>
      <c r="I363" s="2">
        <v>4</v>
      </c>
      <c r="J363" s="2">
        <v>3.9</v>
      </c>
      <c r="K363" s="2" t="s">
        <v>306</v>
      </c>
      <c r="L363" s="2" t="str">
        <f t="shared" si="30"/>
        <v>Loss Making</v>
      </c>
      <c r="M363" s="2" t="str">
        <f t="shared" si="31"/>
        <v>Stable Earnings</v>
      </c>
      <c r="N363" s="2" t="str">
        <f t="shared" si="32"/>
        <v>Moderate</v>
      </c>
      <c r="O363" s="4" t="str">
        <f t="shared" si="33"/>
        <v>Accounting Risk</v>
      </c>
      <c r="P363" s="4" t="str">
        <f t="shared" si="34"/>
        <v>Moderate</v>
      </c>
      <c r="Q363" s="4" t="str">
        <f t="shared" si="35"/>
        <v>Strong Long-Term Growth</v>
      </c>
    </row>
    <row r="364" spans="1:17" x14ac:dyDescent="0.35">
      <c r="A364" s="2" t="s">
        <v>375</v>
      </c>
      <c r="B364" s="2">
        <v>5</v>
      </c>
      <c r="C364" s="2">
        <v>-59222893.159999996</v>
      </c>
      <c r="D364" s="2">
        <v>0</v>
      </c>
      <c r="E364" s="2">
        <v>33240579.219999999</v>
      </c>
      <c r="F364" s="2">
        <v>-68225124.599999994</v>
      </c>
      <c r="G364" s="2">
        <v>5</v>
      </c>
      <c r="H364" s="2">
        <v>2</v>
      </c>
      <c r="I364" s="2">
        <v>4</v>
      </c>
      <c r="J364" s="2">
        <v>3.9</v>
      </c>
      <c r="K364" s="2" t="s">
        <v>306</v>
      </c>
      <c r="L364" s="2" t="str">
        <f t="shared" si="30"/>
        <v>Loss Making</v>
      </c>
      <c r="M364" s="2" t="str">
        <f t="shared" si="31"/>
        <v>Stable Earnings</v>
      </c>
      <c r="N364" s="2" t="str">
        <f t="shared" si="32"/>
        <v>Moderate</v>
      </c>
      <c r="O364" s="4" t="str">
        <f t="shared" si="33"/>
        <v>Accounting Risk</v>
      </c>
      <c r="P364" s="4" t="str">
        <f t="shared" si="34"/>
        <v>Moderate</v>
      </c>
      <c r="Q364" s="4" t="str">
        <f t="shared" si="35"/>
        <v>Strong Long-Term Growth</v>
      </c>
    </row>
    <row r="365" spans="1:17" x14ac:dyDescent="0.35">
      <c r="A365" s="2" t="s">
        <v>376</v>
      </c>
      <c r="B365" s="2">
        <v>5</v>
      </c>
      <c r="C365" s="2">
        <v>-72100700.840000004</v>
      </c>
      <c r="D365" s="2">
        <v>0</v>
      </c>
      <c r="E365" s="2">
        <v>27131736.780000001</v>
      </c>
      <c r="F365" s="2">
        <v>-68225775.400000006</v>
      </c>
      <c r="G365" s="2">
        <v>5</v>
      </c>
      <c r="H365" s="2">
        <v>2</v>
      </c>
      <c r="I365" s="2">
        <v>4</v>
      </c>
      <c r="J365" s="2">
        <v>3.9</v>
      </c>
      <c r="K365" s="2" t="s">
        <v>306</v>
      </c>
      <c r="L365" s="2" t="str">
        <f t="shared" si="30"/>
        <v>Loss Making</v>
      </c>
      <c r="M365" s="2" t="str">
        <f t="shared" si="31"/>
        <v>Stable Earnings</v>
      </c>
      <c r="N365" s="2" t="str">
        <f t="shared" si="32"/>
        <v>Moderate</v>
      </c>
      <c r="O365" s="4" t="str">
        <f t="shared" si="33"/>
        <v>Accounting Risk</v>
      </c>
      <c r="P365" s="4" t="str">
        <f t="shared" si="34"/>
        <v>Moderate</v>
      </c>
      <c r="Q365" s="4" t="str">
        <f t="shared" si="35"/>
        <v>Strong Long-Term Growth</v>
      </c>
    </row>
    <row r="366" spans="1:17" x14ac:dyDescent="0.35">
      <c r="A366" s="2" t="s">
        <v>377</v>
      </c>
      <c r="B366" s="2">
        <v>5</v>
      </c>
      <c r="C366" s="2">
        <v>-60535226.579999998</v>
      </c>
      <c r="D366" s="2">
        <v>0</v>
      </c>
      <c r="E366" s="2">
        <v>27645592.559999999</v>
      </c>
      <c r="F366" s="2">
        <v>-68529611.200000003</v>
      </c>
      <c r="G366" s="2">
        <v>5</v>
      </c>
      <c r="H366" s="2">
        <v>2</v>
      </c>
      <c r="I366" s="2">
        <v>4</v>
      </c>
      <c r="J366" s="2">
        <v>3.9</v>
      </c>
      <c r="K366" s="2" t="s">
        <v>306</v>
      </c>
      <c r="L366" s="2" t="str">
        <f t="shared" si="30"/>
        <v>Loss Making</v>
      </c>
      <c r="M366" s="2" t="str">
        <f t="shared" si="31"/>
        <v>Stable Earnings</v>
      </c>
      <c r="N366" s="2" t="str">
        <f t="shared" si="32"/>
        <v>Moderate</v>
      </c>
      <c r="O366" s="4" t="str">
        <f t="shared" si="33"/>
        <v>Accounting Risk</v>
      </c>
      <c r="P366" s="4" t="str">
        <f t="shared" si="34"/>
        <v>Moderate</v>
      </c>
      <c r="Q366" s="4" t="str">
        <f t="shared" si="35"/>
        <v>Strong Long-Term Growth</v>
      </c>
    </row>
    <row r="367" spans="1:17" x14ac:dyDescent="0.35">
      <c r="A367" s="2" t="s">
        <v>378</v>
      </c>
      <c r="B367" s="2">
        <v>5</v>
      </c>
      <c r="C367" s="2">
        <v>-67985446.900000006</v>
      </c>
      <c r="D367" s="2">
        <v>0</v>
      </c>
      <c r="E367" s="2">
        <v>32237452.940000001</v>
      </c>
      <c r="F367" s="2">
        <v>-69363108.200000003</v>
      </c>
      <c r="G367" s="2">
        <v>5</v>
      </c>
      <c r="H367" s="2">
        <v>2</v>
      </c>
      <c r="I367" s="2">
        <v>4</v>
      </c>
      <c r="J367" s="2">
        <v>3.9</v>
      </c>
      <c r="K367" s="2" t="s">
        <v>306</v>
      </c>
      <c r="L367" s="2" t="str">
        <f t="shared" si="30"/>
        <v>Loss Making</v>
      </c>
      <c r="M367" s="2" t="str">
        <f t="shared" si="31"/>
        <v>Stable Earnings</v>
      </c>
      <c r="N367" s="2" t="str">
        <f t="shared" si="32"/>
        <v>Moderate</v>
      </c>
      <c r="O367" s="4" t="str">
        <f t="shared" si="33"/>
        <v>Accounting Risk</v>
      </c>
      <c r="P367" s="4" t="str">
        <f t="shared" si="34"/>
        <v>Moderate</v>
      </c>
      <c r="Q367" s="4" t="str">
        <f t="shared" si="35"/>
        <v>Strong Long-Term Growth</v>
      </c>
    </row>
    <row r="368" spans="1:17" x14ac:dyDescent="0.35">
      <c r="A368" s="2" t="s">
        <v>379</v>
      </c>
      <c r="B368" s="2">
        <v>5</v>
      </c>
      <c r="C368" s="2">
        <v>-104728115.40000001</v>
      </c>
      <c r="D368" s="2">
        <v>0</v>
      </c>
      <c r="E368" s="2">
        <v>33725826.219999999</v>
      </c>
      <c r="F368" s="2">
        <v>-69465753.400000006</v>
      </c>
      <c r="G368" s="2">
        <v>5</v>
      </c>
      <c r="H368" s="2">
        <v>2</v>
      </c>
      <c r="I368" s="2">
        <v>4</v>
      </c>
      <c r="J368" s="2">
        <v>3.9</v>
      </c>
      <c r="K368" s="2" t="s">
        <v>306</v>
      </c>
      <c r="L368" s="2" t="str">
        <f t="shared" si="30"/>
        <v>Loss Making</v>
      </c>
      <c r="M368" s="2" t="str">
        <f t="shared" si="31"/>
        <v>Stable Earnings</v>
      </c>
      <c r="N368" s="2" t="str">
        <f t="shared" si="32"/>
        <v>Moderate</v>
      </c>
      <c r="O368" s="4" t="str">
        <f t="shared" si="33"/>
        <v>Accounting Risk</v>
      </c>
      <c r="P368" s="4" t="str">
        <f t="shared" si="34"/>
        <v>Moderate</v>
      </c>
      <c r="Q368" s="4" t="str">
        <f t="shared" si="35"/>
        <v>Strong Long-Term Growth</v>
      </c>
    </row>
    <row r="369" spans="1:17" x14ac:dyDescent="0.35">
      <c r="A369" s="2" t="s">
        <v>380</v>
      </c>
      <c r="B369" s="2">
        <v>5</v>
      </c>
      <c r="C369" s="2">
        <v>-58450410.859999999</v>
      </c>
      <c r="D369" s="2">
        <v>0</v>
      </c>
      <c r="E369" s="2">
        <v>30112746.399999999</v>
      </c>
      <c r="F369" s="2">
        <v>-69528570.900000006</v>
      </c>
      <c r="G369" s="2">
        <v>5</v>
      </c>
      <c r="H369" s="2">
        <v>2</v>
      </c>
      <c r="I369" s="2">
        <v>4</v>
      </c>
      <c r="J369" s="2">
        <v>3.9</v>
      </c>
      <c r="K369" s="2" t="s">
        <v>306</v>
      </c>
      <c r="L369" s="2" t="str">
        <f t="shared" si="30"/>
        <v>Loss Making</v>
      </c>
      <c r="M369" s="2" t="str">
        <f t="shared" si="31"/>
        <v>Stable Earnings</v>
      </c>
      <c r="N369" s="2" t="str">
        <f t="shared" si="32"/>
        <v>Moderate</v>
      </c>
      <c r="O369" s="4" t="str">
        <f t="shared" si="33"/>
        <v>Accounting Risk</v>
      </c>
      <c r="P369" s="4" t="str">
        <f t="shared" si="34"/>
        <v>Moderate</v>
      </c>
      <c r="Q369" s="4" t="str">
        <f t="shared" si="35"/>
        <v>Strong Long-Term Growth</v>
      </c>
    </row>
    <row r="370" spans="1:17" x14ac:dyDescent="0.35">
      <c r="A370" s="2" t="s">
        <v>381</v>
      </c>
      <c r="B370" s="2">
        <v>5</v>
      </c>
      <c r="C370" s="2">
        <v>-33254071.440000001</v>
      </c>
      <c r="D370" s="2">
        <v>0</v>
      </c>
      <c r="E370" s="2">
        <v>24561096.800000001</v>
      </c>
      <c r="F370" s="2">
        <v>-62958535.799999997</v>
      </c>
      <c r="G370" s="2">
        <v>5</v>
      </c>
      <c r="H370" s="2">
        <v>2</v>
      </c>
      <c r="I370" s="2">
        <v>4</v>
      </c>
      <c r="J370" s="2">
        <v>3.9</v>
      </c>
      <c r="K370" s="2" t="s">
        <v>306</v>
      </c>
      <c r="L370" s="2" t="str">
        <f t="shared" si="30"/>
        <v>Loss Making</v>
      </c>
      <c r="M370" s="2" t="str">
        <f t="shared" si="31"/>
        <v>Stable Earnings</v>
      </c>
      <c r="N370" s="2" t="str">
        <f t="shared" si="32"/>
        <v>Moderate</v>
      </c>
      <c r="O370" s="4" t="str">
        <f t="shared" si="33"/>
        <v>Accounting Risk</v>
      </c>
      <c r="P370" s="4" t="str">
        <f t="shared" si="34"/>
        <v>Moderate</v>
      </c>
      <c r="Q370" s="4" t="str">
        <f t="shared" si="35"/>
        <v>Strong Long-Term Growth</v>
      </c>
    </row>
    <row r="371" spans="1:17" x14ac:dyDescent="0.35">
      <c r="A371" s="2" t="s">
        <v>382</v>
      </c>
      <c r="B371" s="2">
        <v>5</v>
      </c>
      <c r="C371" s="2">
        <v>-32032217.800000001</v>
      </c>
      <c r="D371" s="2">
        <v>0</v>
      </c>
      <c r="E371" s="2">
        <v>21748007.100000001</v>
      </c>
      <c r="F371" s="2">
        <v>-61081954.5</v>
      </c>
      <c r="G371" s="2">
        <v>5</v>
      </c>
      <c r="H371" s="2">
        <v>2</v>
      </c>
      <c r="I371" s="2">
        <v>4</v>
      </c>
      <c r="J371" s="2">
        <v>3.9</v>
      </c>
      <c r="K371" s="2" t="s">
        <v>306</v>
      </c>
      <c r="L371" s="2" t="str">
        <f t="shared" si="30"/>
        <v>Loss Making</v>
      </c>
      <c r="M371" s="2" t="str">
        <f t="shared" si="31"/>
        <v>Stable Earnings</v>
      </c>
      <c r="N371" s="2" t="str">
        <f t="shared" si="32"/>
        <v>Moderate</v>
      </c>
      <c r="O371" s="4" t="str">
        <f t="shared" si="33"/>
        <v>Accounting Risk</v>
      </c>
      <c r="P371" s="4" t="str">
        <f t="shared" si="34"/>
        <v>Moderate</v>
      </c>
      <c r="Q371" s="4" t="str">
        <f t="shared" si="35"/>
        <v>Strong Long-Term Growth</v>
      </c>
    </row>
    <row r="372" spans="1:17" x14ac:dyDescent="0.35">
      <c r="A372" s="2" t="s">
        <v>383</v>
      </c>
      <c r="B372" s="2">
        <v>5</v>
      </c>
      <c r="C372" s="2">
        <v>-55166410.020000003</v>
      </c>
      <c r="D372" s="2">
        <v>0</v>
      </c>
      <c r="E372" s="2">
        <v>27534688.210000001</v>
      </c>
      <c r="F372" s="2">
        <v>-59526378.5</v>
      </c>
      <c r="G372" s="2">
        <v>5</v>
      </c>
      <c r="H372" s="2">
        <v>2</v>
      </c>
      <c r="I372" s="2">
        <v>4</v>
      </c>
      <c r="J372" s="2">
        <v>3.9</v>
      </c>
      <c r="K372" s="2" t="s">
        <v>306</v>
      </c>
      <c r="L372" s="2" t="str">
        <f t="shared" si="30"/>
        <v>Loss Making</v>
      </c>
      <c r="M372" s="2" t="str">
        <f t="shared" si="31"/>
        <v>Stable Earnings</v>
      </c>
      <c r="N372" s="2" t="str">
        <f t="shared" si="32"/>
        <v>Moderate</v>
      </c>
      <c r="O372" s="4" t="str">
        <f t="shared" si="33"/>
        <v>Accounting Risk</v>
      </c>
      <c r="P372" s="4" t="str">
        <f t="shared" si="34"/>
        <v>Moderate</v>
      </c>
      <c r="Q372" s="4" t="str">
        <f t="shared" si="35"/>
        <v>Strong Long-Term Growth</v>
      </c>
    </row>
    <row r="373" spans="1:17" x14ac:dyDescent="0.35">
      <c r="A373" s="2" t="s">
        <v>384</v>
      </c>
      <c r="B373" s="2">
        <v>5</v>
      </c>
      <c r="C373" s="2">
        <v>-53560076.219999999</v>
      </c>
      <c r="D373" s="2">
        <v>0</v>
      </c>
      <c r="E373" s="2">
        <v>29508674.07</v>
      </c>
      <c r="F373" s="2">
        <v>-60186202.100000001</v>
      </c>
      <c r="G373" s="2">
        <v>5</v>
      </c>
      <c r="H373" s="2">
        <v>2</v>
      </c>
      <c r="I373" s="2">
        <v>4</v>
      </c>
      <c r="J373" s="2">
        <v>3.9</v>
      </c>
      <c r="K373" s="2" t="s">
        <v>306</v>
      </c>
      <c r="L373" s="2" t="str">
        <f t="shared" si="30"/>
        <v>Loss Making</v>
      </c>
      <c r="M373" s="2" t="str">
        <f t="shared" si="31"/>
        <v>Stable Earnings</v>
      </c>
      <c r="N373" s="2" t="str">
        <f t="shared" si="32"/>
        <v>Moderate</v>
      </c>
      <c r="O373" s="4" t="str">
        <f t="shared" si="33"/>
        <v>Accounting Risk</v>
      </c>
      <c r="P373" s="4" t="str">
        <f t="shared" si="34"/>
        <v>Moderate</v>
      </c>
      <c r="Q373" s="4" t="str">
        <f t="shared" si="35"/>
        <v>Strong Long-Term Growth</v>
      </c>
    </row>
    <row r="374" spans="1:17" x14ac:dyDescent="0.35">
      <c r="A374" s="2" t="s">
        <v>385</v>
      </c>
      <c r="B374" s="2">
        <v>5</v>
      </c>
      <c r="C374" s="2">
        <v>-78058596.219999999</v>
      </c>
      <c r="D374" s="2">
        <v>0</v>
      </c>
      <c r="E374" s="2">
        <v>35530215.039999999</v>
      </c>
      <c r="F374" s="2">
        <v>-59030042.100000001</v>
      </c>
      <c r="G374" s="2">
        <v>5</v>
      </c>
      <c r="H374" s="2">
        <v>2</v>
      </c>
      <c r="I374" s="2">
        <v>4</v>
      </c>
      <c r="J374" s="2">
        <v>3.9</v>
      </c>
      <c r="K374" s="2" t="s">
        <v>306</v>
      </c>
      <c r="L374" s="2" t="str">
        <f t="shared" si="30"/>
        <v>Loss Making</v>
      </c>
      <c r="M374" s="2" t="str">
        <f t="shared" si="31"/>
        <v>Stable Earnings</v>
      </c>
      <c r="N374" s="2" t="str">
        <f t="shared" si="32"/>
        <v>Moderate</v>
      </c>
      <c r="O374" s="4" t="str">
        <f t="shared" si="33"/>
        <v>Accounting Risk</v>
      </c>
      <c r="P374" s="4" t="str">
        <f t="shared" si="34"/>
        <v>Moderate</v>
      </c>
      <c r="Q374" s="4" t="str">
        <f t="shared" si="35"/>
        <v>Strong Long-Term Growth</v>
      </c>
    </row>
    <row r="375" spans="1:17" x14ac:dyDescent="0.35">
      <c r="A375" s="2" t="s">
        <v>386</v>
      </c>
      <c r="B375" s="2">
        <v>5</v>
      </c>
      <c r="C375" s="2">
        <v>-116265670.3</v>
      </c>
      <c r="D375" s="2">
        <v>0</v>
      </c>
      <c r="E375" s="2">
        <v>33857764.07</v>
      </c>
      <c r="F375" s="2">
        <v>-58110626.5</v>
      </c>
      <c r="G375" s="2">
        <v>5</v>
      </c>
      <c r="H375" s="2">
        <v>2</v>
      </c>
      <c r="I375" s="2">
        <v>4</v>
      </c>
      <c r="J375" s="2">
        <v>3.9</v>
      </c>
      <c r="K375" s="2" t="s">
        <v>306</v>
      </c>
      <c r="L375" s="2" t="str">
        <f t="shared" si="30"/>
        <v>Loss Making</v>
      </c>
      <c r="M375" s="2" t="str">
        <f t="shared" si="31"/>
        <v>Stable Earnings</v>
      </c>
      <c r="N375" s="2" t="str">
        <f t="shared" si="32"/>
        <v>Moderate</v>
      </c>
      <c r="O375" s="4" t="str">
        <f t="shared" si="33"/>
        <v>Accounting Risk</v>
      </c>
      <c r="P375" s="4" t="str">
        <f t="shared" si="34"/>
        <v>Moderate</v>
      </c>
      <c r="Q375" s="4" t="str">
        <f t="shared" si="35"/>
        <v>Strong Long-Term Growth</v>
      </c>
    </row>
    <row r="376" spans="1:17" x14ac:dyDescent="0.35">
      <c r="A376" s="2" t="s">
        <v>387</v>
      </c>
      <c r="B376" s="2">
        <v>5</v>
      </c>
      <c r="C376" s="2">
        <v>-20234062.84</v>
      </c>
      <c r="D376" s="2">
        <v>0</v>
      </c>
      <c r="E376" s="2">
        <v>21260143.41</v>
      </c>
      <c r="F376" s="2">
        <v>-53192554.100000001</v>
      </c>
      <c r="G376" s="2">
        <v>5</v>
      </c>
      <c r="H376" s="2">
        <v>2</v>
      </c>
      <c r="I376" s="2">
        <v>4</v>
      </c>
      <c r="J376" s="2">
        <v>3.9</v>
      </c>
      <c r="K376" s="2" t="s">
        <v>306</v>
      </c>
      <c r="L376" s="2" t="str">
        <f t="shared" si="30"/>
        <v>Loss Making</v>
      </c>
      <c r="M376" s="2" t="str">
        <f t="shared" si="31"/>
        <v>Stable Earnings</v>
      </c>
      <c r="N376" s="2" t="str">
        <f t="shared" si="32"/>
        <v>Moderate</v>
      </c>
      <c r="O376" s="4" t="str">
        <f t="shared" si="33"/>
        <v>Accounting Risk</v>
      </c>
      <c r="P376" s="4" t="str">
        <f t="shared" si="34"/>
        <v>Moderate</v>
      </c>
      <c r="Q376" s="4" t="str">
        <f t="shared" si="35"/>
        <v>Strong Long-Term Growth</v>
      </c>
    </row>
    <row r="377" spans="1:17" x14ac:dyDescent="0.35">
      <c r="A377" s="2" t="s">
        <v>388</v>
      </c>
      <c r="B377" s="2">
        <v>5</v>
      </c>
      <c r="C377" s="2">
        <v>-59218520.359999999</v>
      </c>
      <c r="D377" s="2">
        <v>0</v>
      </c>
      <c r="E377" s="2">
        <v>39723701.829999998</v>
      </c>
      <c r="F377" s="2">
        <v>-53479205.100000001</v>
      </c>
      <c r="G377" s="2">
        <v>5</v>
      </c>
      <c r="H377" s="2">
        <v>2</v>
      </c>
      <c r="I377" s="2">
        <v>4</v>
      </c>
      <c r="J377" s="2">
        <v>3.9</v>
      </c>
      <c r="K377" s="2" t="s">
        <v>306</v>
      </c>
      <c r="L377" s="2" t="str">
        <f t="shared" si="30"/>
        <v>Loss Making</v>
      </c>
      <c r="M377" s="2" t="str">
        <f t="shared" si="31"/>
        <v>Stable Earnings</v>
      </c>
      <c r="N377" s="2" t="str">
        <f t="shared" si="32"/>
        <v>Moderate</v>
      </c>
      <c r="O377" s="4" t="str">
        <f t="shared" si="33"/>
        <v>Accounting Risk</v>
      </c>
      <c r="P377" s="4" t="str">
        <f t="shared" si="34"/>
        <v>Moderate</v>
      </c>
      <c r="Q377" s="4" t="str">
        <f t="shared" si="35"/>
        <v>Strong Long-Term Growth</v>
      </c>
    </row>
    <row r="378" spans="1:17" x14ac:dyDescent="0.35">
      <c r="A378" s="2" t="s">
        <v>389</v>
      </c>
      <c r="B378" s="2">
        <v>5</v>
      </c>
      <c r="C378" s="2">
        <v>-120461309.40000001</v>
      </c>
      <c r="D378" s="2">
        <v>0</v>
      </c>
      <c r="E378" s="2">
        <v>33688910.299999997</v>
      </c>
      <c r="F378" s="2">
        <v>-53934887.200000003</v>
      </c>
      <c r="G378" s="2">
        <v>5</v>
      </c>
      <c r="H378" s="2">
        <v>2</v>
      </c>
      <c r="I378" s="2">
        <v>4</v>
      </c>
      <c r="J378" s="2">
        <v>3.9</v>
      </c>
      <c r="K378" s="2" t="s">
        <v>306</v>
      </c>
      <c r="L378" s="2" t="str">
        <f t="shared" si="30"/>
        <v>Loss Making</v>
      </c>
      <c r="M378" s="2" t="str">
        <f t="shared" si="31"/>
        <v>Stable Earnings</v>
      </c>
      <c r="N378" s="2" t="str">
        <f t="shared" si="32"/>
        <v>Moderate</v>
      </c>
      <c r="O378" s="4" t="str">
        <f t="shared" si="33"/>
        <v>Accounting Risk</v>
      </c>
      <c r="P378" s="4" t="str">
        <f t="shared" si="34"/>
        <v>Moderate</v>
      </c>
      <c r="Q378" s="4" t="str">
        <f t="shared" si="35"/>
        <v>Strong Long-Term Growth</v>
      </c>
    </row>
    <row r="379" spans="1:17" x14ac:dyDescent="0.35">
      <c r="A379" s="2" t="s">
        <v>390</v>
      </c>
      <c r="B379" s="2">
        <v>5</v>
      </c>
      <c r="C379" s="2">
        <v>-54973375.32</v>
      </c>
      <c r="D379" s="2">
        <v>0</v>
      </c>
      <c r="E379" s="2">
        <v>21321465.399999999</v>
      </c>
      <c r="F379" s="2">
        <v>-54912786.5</v>
      </c>
      <c r="G379" s="2">
        <v>5</v>
      </c>
      <c r="H379" s="2">
        <v>2</v>
      </c>
      <c r="I379" s="2">
        <v>4</v>
      </c>
      <c r="J379" s="2">
        <v>3.9</v>
      </c>
      <c r="K379" s="2" t="s">
        <v>306</v>
      </c>
      <c r="L379" s="2" t="str">
        <f t="shared" si="30"/>
        <v>Loss Making</v>
      </c>
      <c r="M379" s="2" t="str">
        <f t="shared" si="31"/>
        <v>Stable Earnings</v>
      </c>
      <c r="N379" s="2" t="str">
        <f t="shared" si="32"/>
        <v>Moderate</v>
      </c>
      <c r="O379" s="4" t="str">
        <f t="shared" si="33"/>
        <v>Accounting Risk</v>
      </c>
      <c r="P379" s="4" t="str">
        <f t="shared" si="34"/>
        <v>Moderate</v>
      </c>
      <c r="Q379" s="4" t="str">
        <f t="shared" si="35"/>
        <v>Strong Long-Term Growth</v>
      </c>
    </row>
    <row r="380" spans="1:17" x14ac:dyDescent="0.35">
      <c r="A380" s="2" t="s">
        <v>391</v>
      </c>
      <c r="B380" s="2">
        <v>5</v>
      </c>
      <c r="C380" s="2">
        <v>-48089321.460000001</v>
      </c>
      <c r="D380" s="2">
        <v>0</v>
      </c>
      <c r="E380" s="2">
        <v>30746983.82</v>
      </c>
      <c r="F380" s="2">
        <v>-55111528.299999997</v>
      </c>
      <c r="G380" s="2">
        <v>5</v>
      </c>
      <c r="H380" s="2">
        <v>2</v>
      </c>
      <c r="I380" s="2">
        <v>4</v>
      </c>
      <c r="J380" s="2">
        <v>3.9</v>
      </c>
      <c r="K380" s="2" t="s">
        <v>306</v>
      </c>
      <c r="L380" s="2" t="str">
        <f t="shared" si="30"/>
        <v>Loss Making</v>
      </c>
      <c r="M380" s="2" t="str">
        <f t="shared" si="31"/>
        <v>Stable Earnings</v>
      </c>
      <c r="N380" s="2" t="str">
        <f t="shared" si="32"/>
        <v>Moderate</v>
      </c>
      <c r="O380" s="4" t="str">
        <f t="shared" si="33"/>
        <v>Accounting Risk</v>
      </c>
      <c r="P380" s="4" t="str">
        <f t="shared" si="34"/>
        <v>Moderate</v>
      </c>
      <c r="Q380" s="4" t="str">
        <f t="shared" si="35"/>
        <v>Strong Long-Term Growth</v>
      </c>
    </row>
    <row r="381" spans="1:17" x14ac:dyDescent="0.35">
      <c r="A381" s="2" t="s">
        <v>392</v>
      </c>
      <c r="B381" s="2">
        <v>5</v>
      </c>
      <c r="C381" s="2">
        <v>-46301766.280000001</v>
      </c>
      <c r="D381" s="2">
        <v>0</v>
      </c>
      <c r="E381" s="2">
        <v>37992312.909999996</v>
      </c>
      <c r="F381" s="2">
        <v>-55258957.200000003</v>
      </c>
      <c r="G381" s="2">
        <v>5</v>
      </c>
      <c r="H381" s="2">
        <v>2</v>
      </c>
      <c r="I381" s="2">
        <v>4</v>
      </c>
      <c r="J381" s="2">
        <v>3.9</v>
      </c>
      <c r="K381" s="2" t="s">
        <v>306</v>
      </c>
      <c r="L381" s="2" t="str">
        <f t="shared" si="30"/>
        <v>Loss Making</v>
      </c>
      <c r="M381" s="2" t="str">
        <f t="shared" si="31"/>
        <v>Stable Earnings</v>
      </c>
      <c r="N381" s="2" t="str">
        <f t="shared" si="32"/>
        <v>Moderate</v>
      </c>
      <c r="O381" s="4" t="str">
        <f t="shared" si="33"/>
        <v>Accounting Risk</v>
      </c>
      <c r="P381" s="4" t="str">
        <f t="shared" si="34"/>
        <v>Moderate</v>
      </c>
      <c r="Q381" s="4" t="str">
        <f t="shared" si="35"/>
        <v>Strong Long-Term Growth</v>
      </c>
    </row>
    <row r="382" spans="1:17" x14ac:dyDescent="0.35">
      <c r="A382" s="2" t="s">
        <v>393</v>
      </c>
      <c r="B382" s="2">
        <v>5</v>
      </c>
      <c r="C382" s="2">
        <v>-44420411.240000002</v>
      </c>
      <c r="D382" s="2">
        <v>0</v>
      </c>
      <c r="E382" s="2">
        <v>26820929.960000001</v>
      </c>
      <c r="F382" s="2">
        <v>-56366691.100000001</v>
      </c>
      <c r="G382" s="2">
        <v>5</v>
      </c>
      <c r="H382" s="2">
        <v>2</v>
      </c>
      <c r="I382" s="2">
        <v>4</v>
      </c>
      <c r="J382" s="2">
        <v>3.9</v>
      </c>
      <c r="K382" s="2" t="s">
        <v>306</v>
      </c>
      <c r="L382" s="2" t="str">
        <f t="shared" si="30"/>
        <v>Loss Making</v>
      </c>
      <c r="M382" s="2" t="str">
        <f t="shared" si="31"/>
        <v>Stable Earnings</v>
      </c>
      <c r="N382" s="2" t="str">
        <f t="shared" si="32"/>
        <v>Moderate</v>
      </c>
      <c r="O382" s="4" t="str">
        <f t="shared" si="33"/>
        <v>Accounting Risk</v>
      </c>
      <c r="P382" s="4" t="str">
        <f t="shared" si="34"/>
        <v>Moderate</v>
      </c>
      <c r="Q382" s="4" t="str">
        <f t="shared" si="35"/>
        <v>Strong Long-Term Growth</v>
      </c>
    </row>
    <row r="383" spans="1:17" x14ac:dyDescent="0.35">
      <c r="A383" s="2" t="s">
        <v>394</v>
      </c>
      <c r="B383" s="2">
        <v>5</v>
      </c>
      <c r="C383" s="2">
        <v>-16527087.18</v>
      </c>
      <c r="D383" s="2">
        <v>0</v>
      </c>
      <c r="E383" s="2">
        <v>17331036.23</v>
      </c>
      <c r="F383" s="2">
        <v>-39910488.200000003</v>
      </c>
      <c r="G383" s="2">
        <v>5</v>
      </c>
      <c r="H383" s="2">
        <v>2</v>
      </c>
      <c r="I383" s="2">
        <v>4</v>
      </c>
      <c r="J383" s="2">
        <v>3.9</v>
      </c>
      <c r="K383" s="2" t="s">
        <v>306</v>
      </c>
      <c r="L383" s="2" t="str">
        <f t="shared" si="30"/>
        <v>Loss Making</v>
      </c>
      <c r="M383" s="2" t="str">
        <f t="shared" si="31"/>
        <v>Stable Earnings</v>
      </c>
      <c r="N383" s="2" t="str">
        <f t="shared" si="32"/>
        <v>Moderate</v>
      </c>
      <c r="O383" s="4" t="str">
        <f t="shared" si="33"/>
        <v>Accounting Risk</v>
      </c>
      <c r="P383" s="4" t="str">
        <f t="shared" si="34"/>
        <v>Moderate</v>
      </c>
      <c r="Q383" s="4" t="str">
        <f t="shared" si="35"/>
        <v>Strong Long-Term Growth</v>
      </c>
    </row>
    <row r="384" spans="1:17" x14ac:dyDescent="0.35">
      <c r="A384" s="2" t="s">
        <v>395</v>
      </c>
      <c r="B384" s="2">
        <v>5</v>
      </c>
      <c r="C384" s="2">
        <v>-37655424</v>
      </c>
      <c r="D384" s="2">
        <v>0</v>
      </c>
      <c r="E384" s="2">
        <v>18733236.879999999</v>
      </c>
      <c r="F384" s="2">
        <v>-37965356.200000003</v>
      </c>
      <c r="G384" s="2">
        <v>5</v>
      </c>
      <c r="H384" s="2">
        <v>2</v>
      </c>
      <c r="I384" s="2">
        <v>4</v>
      </c>
      <c r="J384" s="2">
        <v>3.9</v>
      </c>
      <c r="K384" s="2" t="s">
        <v>306</v>
      </c>
      <c r="L384" s="2" t="str">
        <f t="shared" si="30"/>
        <v>Loss Making</v>
      </c>
      <c r="M384" s="2" t="str">
        <f t="shared" si="31"/>
        <v>Stable Earnings</v>
      </c>
      <c r="N384" s="2" t="str">
        <f t="shared" si="32"/>
        <v>Moderate</v>
      </c>
      <c r="O384" s="4" t="str">
        <f t="shared" si="33"/>
        <v>Accounting Risk</v>
      </c>
      <c r="P384" s="4" t="str">
        <f t="shared" si="34"/>
        <v>Moderate</v>
      </c>
      <c r="Q384" s="4" t="str">
        <f t="shared" si="35"/>
        <v>Strong Long-Term Growth</v>
      </c>
    </row>
    <row r="385" spans="1:17" x14ac:dyDescent="0.35">
      <c r="A385" s="2" t="s">
        <v>396</v>
      </c>
      <c r="B385" s="2">
        <v>5</v>
      </c>
      <c r="C385" s="2">
        <v>-53598528.259999998</v>
      </c>
      <c r="D385" s="2">
        <v>0</v>
      </c>
      <c r="E385" s="2">
        <v>42736296.990000002</v>
      </c>
      <c r="F385" s="2">
        <v>-40428109.799999997</v>
      </c>
      <c r="G385" s="2">
        <v>5</v>
      </c>
      <c r="H385" s="2">
        <v>2</v>
      </c>
      <c r="I385" s="2">
        <v>4</v>
      </c>
      <c r="J385" s="2">
        <v>3.9</v>
      </c>
      <c r="K385" s="2" t="s">
        <v>306</v>
      </c>
      <c r="L385" s="2" t="str">
        <f t="shared" si="30"/>
        <v>Loss Making</v>
      </c>
      <c r="M385" s="2" t="str">
        <f t="shared" si="31"/>
        <v>Stable Earnings</v>
      </c>
      <c r="N385" s="2" t="str">
        <f t="shared" si="32"/>
        <v>Moderate</v>
      </c>
      <c r="O385" s="4" t="str">
        <f t="shared" si="33"/>
        <v>Accounting Risk</v>
      </c>
      <c r="P385" s="4" t="str">
        <f t="shared" si="34"/>
        <v>Moderate</v>
      </c>
      <c r="Q385" s="4" t="str">
        <f t="shared" si="35"/>
        <v>Strong Long-Term Growth</v>
      </c>
    </row>
    <row r="386" spans="1:17" x14ac:dyDescent="0.35">
      <c r="A386" s="2" t="s">
        <v>397</v>
      </c>
      <c r="B386" s="2">
        <v>5</v>
      </c>
      <c r="C386" s="2">
        <v>-20497502.98</v>
      </c>
      <c r="D386" s="2">
        <v>0</v>
      </c>
      <c r="E386" s="2">
        <v>17967146.530000001</v>
      </c>
      <c r="F386" s="2">
        <v>-40434301.700000003</v>
      </c>
      <c r="G386" s="2">
        <v>5</v>
      </c>
      <c r="H386" s="2">
        <v>2</v>
      </c>
      <c r="I386" s="2">
        <v>4</v>
      </c>
      <c r="J386" s="2">
        <v>3.9</v>
      </c>
      <c r="K386" s="2" t="s">
        <v>306</v>
      </c>
      <c r="L386" s="2" t="str">
        <f t="shared" ref="L386:L449" si="36">IF(C386&gt;0,"Profitable","Loss Making")</f>
        <v>Loss Making</v>
      </c>
      <c r="M386" s="2" t="str">
        <f t="shared" ref="M386:M449" si="37">IF(C386&gt;500000000,"High Volatility","Stable Earnings")</f>
        <v>Stable Earnings</v>
      </c>
      <c r="N386" s="2" t="str">
        <f t="shared" ref="N386:N449" si="38">IF(G386&gt;=7,"High Quality",IF(G386&gt;=4,"Moderate","Low Quality"))</f>
        <v>Moderate</v>
      </c>
      <c r="O386" s="4" t="str">
        <f t="shared" ref="O386:O449" si="39">IF(AND(F386&gt;0,D386&gt;0.6),"Operational Growth","Accounting Risk")</f>
        <v>Accounting Risk</v>
      </c>
      <c r="P386" s="4" t="str">
        <f t="shared" ref="P386:P449" si="40">IF(G386&gt;=7,"High Quality", IF(G386&gt;=4,"Moderate","Low Quality"))</f>
        <v>Moderate</v>
      </c>
      <c r="Q386" s="4" t="str">
        <f t="shared" ref="Q386:Q449" si="41">IF(I386&gt;=4,"Strong Long-Term Growth",IF(I386&gt;=2,"Moderate Growth","Weak Growth"))</f>
        <v>Strong Long-Term Growth</v>
      </c>
    </row>
    <row r="387" spans="1:17" x14ac:dyDescent="0.35">
      <c r="A387" s="2" t="s">
        <v>398</v>
      </c>
      <c r="B387" s="2">
        <v>5</v>
      </c>
      <c r="C387" s="2">
        <v>-70355064.700000003</v>
      </c>
      <c r="D387" s="2">
        <v>0</v>
      </c>
      <c r="E387" s="2">
        <v>26875440.960000001</v>
      </c>
      <c r="F387" s="2">
        <v>-42173791.299999997</v>
      </c>
      <c r="G387" s="2">
        <v>5</v>
      </c>
      <c r="H387" s="2">
        <v>2</v>
      </c>
      <c r="I387" s="2">
        <v>4</v>
      </c>
      <c r="J387" s="2">
        <v>3.9</v>
      </c>
      <c r="K387" s="2" t="s">
        <v>306</v>
      </c>
      <c r="L387" s="2" t="str">
        <f t="shared" si="36"/>
        <v>Loss Making</v>
      </c>
      <c r="M387" s="2" t="str">
        <f t="shared" si="37"/>
        <v>Stable Earnings</v>
      </c>
      <c r="N387" s="2" t="str">
        <f t="shared" si="38"/>
        <v>Moderate</v>
      </c>
      <c r="O387" s="4" t="str">
        <f t="shared" si="39"/>
        <v>Accounting Risk</v>
      </c>
      <c r="P387" s="4" t="str">
        <f t="shared" si="40"/>
        <v>Moderate</v>
      </c>
      <c r="Q387" s="4" t="str">
        <f t="shared" si="41"/>
        <v>Strong Long-Term Growth</v>
      </c>
    </row>
    <row r="388" spans="1:17" x14ac:dyDescent="0.35">
      <c r="A388" s="2" t="s">
        <v>399</v>
      </c>
      <c r="B388" s="2">
        <v>5</v>
      </c>
      <c r="C388" s="2">
        <v>-105940381</v>
      </c>
      <c r="D388" s="2">
        <v>0</v>
      </c>
      <c r="E388" s="2">
        <v>24969499.43</v>
      </c>
      <c r="F388" s="2">
        <v>-43778470.5</v>
      </c>
      <c r="G388" s="2">
        <v>5</v>
      </c>
      <c r="H388" s="2">
        <v>2</v>
      </c>
      <c r="I388" s="2">
        <v>4</v>
      </c>
      <c r="J388" s="2">
        <v>3.9</v>
      </c>
      <c r="K388" s="2" t="s">
        <v>306</v>
      </c>
      <c r="L388" s="2" t="str">
        <f t="shared" si="36"/>
        <v>Loss Making</v>
      </c>
      <c r="M388" s="2" t="str">
        <f t="shared" si="37"/>
        <v>Stable Earnings</v>
      </c>
      <c r="N388" s="2" t="str">
        <f t="shared" si="38"/>
        <v>Moderate</v>
      </c>
      <c r="O388" s="4" t="str">
        <f t="shared" si="39"/>
        <v>Accounting Risk</v>
      </c>
      <c r="P388" s="4" t="str">
        <f t="shared" si="40"/>
        <v>Moderate</v>
      </c>
      <c r="Q388" s="4" t="str">
        <f t="shared" si="41"/>
        <v>Strong Long-Term Growth</v>
      </c>
    </row>
    <row r="389" spans="1:17" x14ac:dyDescent="0.35">
      <c r="A389" s="2" t="s">
        <v>400</v>
      </c>
      <c r="B389" s="2">
        <v>5</v>
      </c>
      <c r="C389" s="2">
        <v>-81130881.219999999</v>
      </c>
      <c r="D389" s="2">
        <v>0</v>
      </c>
      <c r="E389" s="2">
        <v>33004636.510000002</v>
      </c>
      <c r="F389" s="2">
        <v>-46247909</v>
      </c>
      <c r="G389" s="2">
        <v>5</v>
      </c>
      <c r="H389" s="2">
        <v>2</v>
      </c>
      <c r="I389" s="2">
        <v>4</v>
      </c>
      <c r="J389" s="2">
        <v>3.9</v>
      </c>
      <c r="K389" s="2" t="s">
        <v>306</v>
      </c>
      <c r="L389" s="2" t="str">
        <f t="shared" si="36"/>
        <v>Loss Making</v>
      </c>
      <c r="M389" s="2" t="str">
        <f t="shared" si="37"/>
        <v>Stable Earnings</v>
      </c>
      <c r="N389" s="2" t="str">
        <f t="shared" si="38"/>
        <v>Moderate</v>
      </c>
      <c r="O389" s="4" t="str">
        <f t="shared" si="39"/>
        <v>Accounting Risk</v>
      </c>
      <c r="P389" s="4" t="str">
        <f t="shared" si="40"/>
        <v>Moderate</v>
      </c>
      <c r="Q389" s="4" t="str">
        <f t="shared" si="41"/>
        <v>Strong Long-Term Growth</v>
      </c>
    </row>
    <row r="390" spans="1:17" x14ac:dyDescent="0.35">
      <c r="A390" s="2" t="s">
        <v>401</v>
      </c>
      <c r="B390" s="2">
        <v>5</v>
      </c>
      <c r="C390" s="2">
        <v>-45001288.200000003</v>
      </c>
      <c r="D390" s="2">
        <v>0</v>
      </c>
      <c r="E390" s="2">
        <v>16536533.49</v>
      </c>
      <c r="F390" s="2">
        <v>-45144768.899999999</v>
      </c>
      <c r="G390" s="2">
        <v>5</v>
      </c>
      <c r="H390" s="2">
        <v>2</v>
      </c>
      <c r="I390" s="2">
        <v>4</v>
      </c>
      <c r="J390" s="2">
        <v>3.9</v>
      </c>
      <c r="K390" s="2" t="s">
        <v>306</v>
      </c>
      <c r="L390" s="2" t="str">
        <f t="shared" si="36"/>
        <v>Loss Making</v>
      </c>
      <c r="M390" s="2" t="str">
        <f t="shared" si="37"/>
        <v>Stable Earnings</v>
      </c>
      <c r="N390" s="2" t="str">
        <f t="shared" si="38"/>
        <v>Moderate</v>
      </c>
      <c r="O390" s="4" t="str">
        <f t="shared" si="39"/>
        <v>Accounting Risk</v>
      </c>
      <c r="P390" s="4" t="str">
        <f t="shared" si="40"/>
        <v>Moderate</v>
      </c>
      <c r="Q390" s="4" t="str">
        <f t="shared" si="41"/>
        <v>Strong Long-Term Growth</v>
      </c>
    </row>
    <row r="391" spans="1:17" x14ac:dyDescent="0.35">
      <c r="A391" s="2" t="s">
        <v>402</v>
      </c>
      <c r="B391" s="2">
        <v>5</v>
      </c>
      <c r="C391" s="2">
        <v>-22814873.579999998</v>
      </c>
      <c r="D391" s="2">
        <v>0</v>
      </c>
      <c r="E391" s="2">
        <v>17805733.780000001</v>
      </c>
      <c r="F391" s="2">
        <v>-45242435.799999997</v>
      </c>
      <c r="G391" s="2">
        <v>5</v>
      </c>
      <c r="H391" s="2">
        <v>2</v>
      </c>
      <c r="I391" s="2">
        <v>4</v>
      </c>
      <c r="J391" s="2">
        <v>3.9</v>
      </c>
      <c r="K391" s="2" t="s">
        <v>306</v>
      </c>
      <c r="L391" s="2" t="str">
        <f t="shared" si="36"/>
        <v>Loss Making</v>
      </c>
      <c r="M391" s="2" t="str">
        <f t="shared" si="37"/>
        <v>Stable Earnings</v>
      </c>
      <c r="N391" s="2" t="str">
        <f t="shared" si="38"/>
        <v>Moderate</v>
      </c>
      <c r="O391" s="4" t="str">
        <f t="shared" si="39"/>
        <v>Accounting Risk</v>
      </c>
      <c r="P391" s="4" t="str">
        <f t="shared" si="40"/>
        <v>Moderate</v>
      </c>
      <c r="Q391" s="4" t="str">
        <f t="shared" si="41"/>
        <v>Strong Long-Term Growth</v>
      </c>
    </row>
    <row r="392" spans="1:17" x14ac:dyDescent="0.35">
      <c r="A392" s="2" t="s">
        <v>403</v>
      </c>
      <c r="B392" s="2">
        <v>5</v>
      </c>
      <c r="C392" s="2">
        <v>-43104912.579999998</v>
      </c>
      <c r="D392" s="2">
        <v>0</v>
      </c>
      <c r="E392" s="2">
        <v>19245108.239999998</v>
      </c>
      <c r="F392" s="2">
        <v>-49267214.200000003</v>
      </c>
      <c r="G392" s="2">
        <v>5</v>
      </c>
      <c r="H392" s="2">
        <v>2</v>
      </c>
      <c r="I392" s="2">
        <v>4</v>
      </c>
      <c r="J392" s="2">
        <v>3.9</v>
      </c>
      <c r="K392" s="2" t="s">
        <v>306</v>
      </c>
      <c r="L392" s="2" t="str">
        <f t="shared" si="36"/>
        <v>Loss Making</v>
      </c>
      <c r="M392" s="2" t="str">
        <f t="shared" si="37"/>
        <v>Stable Earnings</v>
      </c>
      <c r="N392" s="2" t="str">
        <f t="shared" si="38"/>
        <v>Moderate</v>
      </c>
      <c r="O392" s="4" t="str">
        <f t="shared" si="39"/>
        <v>Accounting Risk</v>
      </c>
      <c r="P392" s="4" t="str">
        <f t="shared" si="40"/>
        <v>Moderate</v>
      </c>
      <c r="Q392" s="4" t="str">
        <f t="shared" si="41"/>
        <v>Strong Long-Term Growth</v>
      </c>
    </row>
    <row r="393" spans="1:17" x14ac:dyDescent="0.35">
      <c r="A393" s="2" t="s">
        <v>404</v>
      </c>
      <c r="B393" s="2">
        <v>5</v>
      </c>
      <c r="C393" s="2">
        <v>-86384641.420000002</v>
      </c>
      <c r="D393" s="2">
        <v>0</v>
      </c>
      <c r="E393" s="2">
        <v>25533093.940000001</v>
      </c>
      <c r="F393" s="2">
        <v>-48870863.799999997</v>
      </c>
      <c r="G393" s="2">
        <v>5</v>
      </c>
      <c r="H393" s="2">
        <v>2</v>
      </c>
      <c r="I393" s="2">
        <v>4</v>
      </c>
      <c r="J393" s="2">
        <v>3.9</v>
      </c>
      <c r="K393" s="2" t="s">
        <v>306</v>
      </c>
      <c r="L393" s="2" t="str">
        <f t="shared" si="36"/>
        <v>Loss Making</v>
      </c>
      <c r="M393" s="2" t="str">
        <f t="shared" si="37"/>
        <v>Stable Earnings</v>
      </c>
      <c r="N393" s="2" t="str">
        <f t="shared" si="38"/>
        <v>Moderate</v>
      </c>
      <c r="O393" s="4" t="str">
        <f t="shared" si="39"/>
        <v>Accounting Risk</v>
      </c>
      <c r="P393" s="4" t="str">
        <f t="shared" si="40"/>
        <v>Moderate</v>
      </c>
      <c r="Q393" s="4" t="str">
        <f t="shared" si="41"/>
        <v>Strong Long-Term Growth</v>
      </c>
    </row>
    <row r="394" spans="1:17" x14ac:dyDescent="0.35">
      <c r="A394" s="2" t="s">
        <v>405</v>
      </c>
      <c r="B394" s="2">
        <v>5</v>
      </c>
      <c r="C394" s="2">
        <v>-53208318.299999997</v>
      </c>
      <c r="D394" s="2">
        <v>0</v>
      </c>
      <c r="E394" s="2">
        <v>21838007.579999998</v>
      </c>
      <c r="F394" s="2">
        <v>-46559830.5</v>
      </c>
      <c r="G394" s="2">
        <v>5</v>
      </c>
      <c r="H394" s="2">
        <v>2</v>
      </c>
      <c r="I394" s="2">
        <v>4</v>
      </c>
      <c r="J394" s="2">
        <v>3.9</v>
      </c>
      <c r="K394" s="2" t="s">
        <v>306</v>
      </c>
      <c r="L394" s="2" t="str">
        <f t="shared" si="36"/>
        <v>Loss Making</v>
      </c>
      <c r="M394" s="2" t="str">
        <f t="shared" si="37"/>
        <v>Stable Earnings</v>
      </c>
      <c r="N394" s="2" t="str">
        <f t="shared" si="38"/>
        <v>Moderate</v>
      </c>
      <c r="O394" s="4" t="str">
        <f t="shared" si="39"/>
        <v>Accounting Risk</v>
      </c>
      <c r="P394" s="4" t="str">
        <f t="shared" si="40"/>
        <v>Moderate</v>
      </c>
      <c r="Q394" s="4" t="str">
        <f t="shared" si="41"/>
        <v>Strong Long-Term Growth</v>
      </c>
    </row>
    <row r="395" spans="1:17" x14ac:dyDescent="0.35">
      <c r="A395" s="2" t="s">
        <v>406</v>
      </c>
      <c r="B395" s="2">
        <v>5</v>
      </c>
      <c r="C395" s="2">
        <v>-27842922.940000001</v>
      </c>
      <c r="D395" s="2">
        <v>0</v>
      </c>
      <c r="E395" s="2">
        <v>22394272.289999999</v>
      </c>
      <c r="F395" s="2">
        <v>-46635929</v>
      </c>
      <c r="G395" s="2">
        <v>5</v>
      </c>
      <c r="H395" s="2">
        <v>2</v>
      </c>
      <c r="I395" s="2">
        <v>4</v>
      </c>
      <c r="J395" s="2">
        <v>3.9</v>
      </c>
      <c r="K395" s="2" t="s">
        <v>306</v>
      </c>
      <c r="L395" s="2" t="str">
        <f t="shared" si="36"/>
        <v>Loss Making</v>
      </c>
      <c r="M395" s="2" t="str">
        <f t="shared" si="37"/>
        <v>Stable Earnings</v>
      </c>
      <c r="N395" s="2" t="str">
        <f t="shared" si="38"/>
        <v>Moderate</v>
      </c>
      <c r="O395" s="4" t="str">
        <f t="shared" si="39"/>
        <v>Accounting Risk</v>
      </c>
      <c r="P395" s="4" t="str">
        <f t="shared" si="40"/>
        <v>Moderate</v>
      </c>
      <c r="Q395" s="4" t="str">
        <f t="shared" si="41"/>
        <v>Strong Long-Term Growth</v>
      </c>
    </row>
    <row r="396" spans="1:17" x14ac:dyDescent="0.35">
      <c r="A396" s="2" t="s">
        <v>407</v>
      </c>
      <c r="B396" s="2">
        <v>5</v>
      </c>
      <c r="C396" s="2">
        <v>-40162322.799999997</v>
      </c>
      <c r="D396" s="2">
        <v>0</v>
      </c>
      <c r="E396" s="2">
        <v>20833870.059999999</v>
      </c>
      <c r="F396" s="2">
        <v>-47731615.600000001</v>
      </c>
      <c r="G396" s="2">
        <v>5</v>
      </c>
      <c r="H396" s="2">
        <v>2</v>
      </c>
      <c r="I396" s="2">
        <v>4</v>
      </c>
      <c r="J396" s="2">
        <v>3.9</v>
      </c>
      <c r="K396" s="2" t="s">
        <v>306</v>
      </c>
      <c r="L396" s="2" t="str">
        <f t="shared" si="36"/>
        <v>Loss Making</v>
      </c>
      <c r="M396" s="2" t="str">
        <f t="shared" si="37"/>
        <v>Stable Earnings</v>
      </c>
      <c r="N396" s="2" t="str">
        <f t="shared" si="38"/>
        <v>Moderate</v>
      </c>
      <c r="O396" s="4" t="str">
        <f t="shared" si="39"/>
        <v>Accounting Risk</v>
      </c>
      <c r="P396" s="4" t="str">
        <f t="shared" si="40"/>
        <v>Moderate</v>
      </c>
      <c r="Q396" s="4" t="str">
        <f t="shared" si="41"/>
        <v>Strong Long-Term Growth</v>
      </c>
    </row>
    <row r="397" spans="1:17" x14ac:dyDescent="0.35">
      <c r="A397" s="2" t="s">
        <v>408</v>
      </c>
      <c r="B397" s="2">
        <v>5</v>
      </c>
      <c r="C397" s="2">
        <v>-47438732.840000004</v>
      </c>
      <c r="D397" s="2">
        <v>0</v>
      </c>
      <c r="E397" s="2">
        <v>21136743.899999999</v>
      </c>
      <c r="F397" s="2">
        <v>-47860779.200000003</v>
      </c>
      <c r="G397" s="2">
        <v>5</v>
      </c>
      <c r="H397" s="2">
        <v>2</v>
      </c>
      <c r="I397" s="2">
        <v>4</v>
      </c>
      <c r="J397" s="2">
        <v>3.9</v>
      </c>
      <c r="K397" s="2" t="s">
        <v>306</v>
      </c>
      <c r="L397" s="2" t="str">
        <f t="shared" si="36"/>
        <v>Loss Making</v>
      </c>
      <c r="M397" s="2" t="str">
        <f t="shared" si="37"/>
        <v>Stable Earnings</v>
      </c>
      <c r="N397" s="2" t="str">
        <f t="shared" si="38"/>
        <v>Moderate</v>
      </c>
      <c r="O397" s="4" t="str">
        <f t="shared" si="39"/>
        <v>Accounting Risk</v>
      </c>
      <c r="P397" s="4" t="str">
        <f t="shared" si="40"/>
        <v>Moderate</v>
      </c>
      <c r="Q397" s="4" t="str">
        <f t="shared" si="41"/>
        <v>Strong Long-Term Growth</v>
      </c>
    </row>
    <row r="398" spans="1:17" x14ac:dyDescent="0.35">
      <c r="A398" s="2" t="s">
        <v>409</v>
      </c>
      <c r="B398" s="2">
        <v>5</v>
      </c>
      <c r="C398" s="2">
        <v>-50538276.460000001</v>
      </c>
      <c r="D398" s="2">
        <v>0</v>
      </c>
      <c r="E398" s="2">
        <v>27278439.350000001</v>
      </c>
      <c r="F398" s="2">
        <v>-48058856.799999997</v>
      </c>
      <c r="G398" s="2">
        <v>5</v>
      </c>
      <c r="H398" s="2">
        <v>2</v>
      </c>
      <c r="I398" s="2">
        <v>4</v>
      </c>
      <c r="J398" s="2">
        <v>3.9</v>
      </c>
      <c r="K398" s="2" t="s">
        <v>306</v>
      </c>
      <c r="L398" s="2" t="str">
        <f t="shared" si="36"/>
        <v>Loss Making</v>
      </c>
      <c r="M398" s="2" t="str">
        <f t="shared" si="37"/>
        <v>Stable Earnings</v>
      </c>
      <c r="N398" s="2" t="str">
        <f t="shared" si="38"/>
        <v>Moderate</v>
      </c>
      <c r="O398" s="4" t="str">
        <f t="shared" si="39"/>
        <v>Accounting Risk</v>
      </c>
      <c r="P398" s="4" t="str">
        <f t="shared" si="40"/>
        <v>Moderate</v>
      </c>
      <c r="Q398" s="4" t="str">
        <f t="shared" si="41"/>
        <v>Strong Long-Term Growth</v>
      </c>
    </row>
    <row r="399" spans="1:17" x14ac:dyDescent="0.35">
      <c r="A399" s="2" t="s">
        <v>410</v>
      </c>
      <c r="B399" s="2">
        <v>5</v>
      </c>
      <c r="C399" s="2">
        <v>-77242548.739999995</v>
      </c>
      <c r="D399" s="2">
        <v>0</v>
      </c>
      <c r="E399" s="2">
        <v>26779240.280000001</v>
      </c>
      <c r="F399" s="2">
        <v>-49579851.100000001</v>
      </c>
      <c r="G399" s="2">
        <v>5</v>
      </c>
      <c r="H399" s="2">
        <v>2</v>
      </c>
      <c r="I399" s="2">
        <v>4</v>
      </c>
      <c r="J399" s="2">
        <v>3.9</v>
      </c>
      <c r="K399" s="2" t="s">
        <v>306</v>
      </c>
      <c r="L399" s="2" t="str">
        <f t="shared" si="36"/>
        <v>Loss Making</v>
      </c>
      <c r="M399" s="2" t="str">
        <f t="shared" si="37"/>
        <v>Stable Earnings</v>
      </c>
      <c r="N399" s="2" t="str">
        <f t="shared" si="38"/>
        <v>Moderate</v>
      </c>
      <c r="O399" s="4" t="str">
        <f t="shared" si="39"/>
        <v>Accounting Risk</v>
      </c>
      <c r="P399" s="4" t="str">
        <f t="shared" si="40"/>
        <v>Moderate</v>
      </c>
      <c r="Q399" s="4" t="str">
        <f t="shared" si="41"/>
        <v>Strong Long-Term Growth</v>
      </c>
    </row>
    <row r="400" spans="1:17" x14ac:dyDescent="0.35">
      <c r="A400" s="2" t="s">
        <v>411</v>
      </c>
      <c r="B400" s="2">
        <v>5</v>
      </c>
      <c r="C400" s="2">
        <v>-34021407.200000003</v>
      </c>
      <c r="D400" s="2">
        <v>0</v>
      </c>
      <c r="E400" s="2">
        <v>21534499.579999998</v>
      </c>
      <c r="F400" s="2">
        <v>-51702540.600000001</v>
      </c>
      <c r="G400" s="2">
        <v>5</v>
      </c>
      <c r="H400" s="2">
        <v>2</v>
      </c>
      <c r="I400" s="2">
        <v>4</v>
      </c>
      <c r="J400" s="2">
        <v>3.9</v>
      </c>
      <c r="K400" s="2" t="s">
        <v>306</v>
      </c>
      <c r="L400" s="2" t="str">
        <f t="shared" si="36"/>
        <v>Loss Making</v>
      </c>
      <c r="M400" s="2" t="str">
        <f t="shared" si="37"/>
        <v>Stable Earnings</v>
      </c>
      <c r="N400" s="2" t="str">
        <f t="shared" si="38"/>
        <v>Moderate</v>
      </c>
      <c r="O400" s="4" t="str">
        <f t="shared" si="39"/>
        <v>Accounting Risk</v>
      </c>
      <c r="P400" s="4" t="str">
        <f t="shared" si="40"/>
        <v>Moderate</v>
      </c>
      <c r="Q400" s="4" t="str">
        <f t="shared" si="41"/>
        <v>Strong Long-Term Growth</v>
      </c>
    </row>
    <row r="401" spans="1:17" x14ac:dyDescent="0.35">
      <c r="A401" s="2" t="s">
        <v>412</v>
      </c>
      <c r="B401" s="2">
        <v>5</v>
      </c>
      <c r="C401" s="2">
        <v>-79511929.019999996</v>
      </c>
      <c r="D401" s="2">
        <v>0.2</v>
      </c>
      <c r="E401" s="2">
        <v>69317606.120000005</v>
      </c>
      <c r="F401" s="2">
        <v>-121016088.2</v>
      </c>
      <c r="G401" s="2">
        <v>4</v>
      </c>
      <c r="H401" s="2">
        <v>3</v>
      </c>
      <c r="I401" s="2">
        <v>5</v>
      </c>
      <c r="J401" s="2">
        <v>3.9</v>
      </c>
      <c r="K401" s="2" t="s">
        <v>306</v>
      </c>
      <c r="L401" s="2" t="str">
        <f t="shared" si="36"/>
        <v>Loss Making</v>
      </c>
      <c r="M401" s="2" t="str">
        <f t="shared" si="37"/>
        <v>Stable Earnings</v>
      </c>
      <c r="N401" s="2" t="str">
        <f t="shared" si="38"/>
        <v>Moderate</v>
      </c>
      <c r="O401" s="4" t="str">
        <f t="shared" si="39"/>
        <v>Accounting Risk</v>
      </c>
      <c r="P401" s="4" t="str">
        <f t="shared" si="40"/>
        <v>Moderate</v>
      </c>
      <c r="Q401" s="4" t="str">
        <f t="shared" si="41"/>
        <v>Strong Long-Term Growth</v>
      </c>
    </row>
    <row r="402" spans="1:17" x14ac:dyDescent="0.35">
      <c r="A402" s="2" t="s">
        <v>413</v>
      </c>
      <c r="B402" s="2">
        <v>5</v>
      </c>
      <c r="C402" s="2">
        <v>-68219207.299999997</v>
      </c>
      <c r="D402" s="2">
        <v>0.2</v>
      </c>
      <c r="E402" s="2">
        <v>81684149.180000007</v>
      </c>
      <c r="F402" s="2">
        <v>-116916898.5</v>
      </c>
      <c r="G402" s="2">
        <v>4</v>
      </c>
      <c r="H402" s="2">
        <v>3</v>
      </c>
      <c r="I402" s="2">
        <v>5</v>
      </c>
      <c r="J402" s="2">
        <v>3.9</v>
      </c>
      <c r="K402" s="2" t="s">
        <v>306</v>
      </c>
      <c r="L402" s="2" t="str">
        <f t="shared" si="36"/>
        <v>Loss Making</v>
      </c>
      <c r="M402" s="2" t="str">
        <f t="shared" si="37"/>
        <v>Stable Earnings</v>
      </c>
      <c r="N402" s="2" t="str">
        <f t="shared" si="38"/>
        <v>Moderate</v>
      </c>
      <c r="O402" s="4" t="str">
        <f t="shared" si="39"/>
        <v>Accounting Risk</v>
      </c>
      <c r="P402" s="4" t="str">
        <f t="shared" si="40"/>
        <v>Moderate</v>
      </c>
      <c r="Q402" s="4" t="str">
        <f t="shared" si="41"/>
        <v>Strong Long-Term Growth</v>
      </c>
    </row>
    <row r="403" spans="1:17" x14ac:dyDescent="0.35">
      <c r="A403" s="2" t="s">
        <v>414</v>
      </c>
      <c r="B403" s="2">
        <v>5</v>
      </c>
      <c r="C403" s="2">
        <v>-29762183.260000002</v>
      </c>
      <c r="D403" s="2">
        <v>0.2</v>
      </c>
      <c r="E403" s="2">
        <v>99127438.390000001</v>
      </c>
      <c r="F403" s="2">
        <v>-118631001.5</v>
      </c>
      <c r="G403" s="2">
        <v>4</v>
      </c>
      <c r="H403" s="2">
        <v>3</v>
      </c>
      <c r="I403" s="2">
        <v>5</v>
      </c>
      <c r="J403" s="2">
        <v>3.9</v>
      </c>
      <c r="K403" s="2" t="s">
        <v>306</v>
      </c>
      <c r="L403" s="2" t="str">
        <f t="shared" si="36"/>
        <v>Loss Making</v>
      </c>
      <c r="M403" s="2" t="str">
        <f t="shared" si="37"/>
        <v>Stable Earnings</v>
      </c>
      <c r="N403" s="2" t="str">
        <f t="shared" si="38"/>
        <v>Moderate</v>
      </c>
      <c r="O403" s="4" t="str">
        <f t="shared" si="39"/>
        <v>Accounting Risk</v>
      </c>
      <c r="P403" s="4" t="str">
        <f t="shared" si="40"/>
        <v>Moderate</v>
      </c>
      <c r="Q403" s="4" t="str">
        <f t="shared" si="41"/>
        <v>Strong Long-Term Growth</v>
      </c>
    </row>
    <row r="404" spans="1:17" x14ac:dyDescent="0.35">
      <c r="A404" s="2" t="s">
        <v>415</v>
      </c>
      <c r="B404" s="2">
        <v>5</v>
      </c>
      <c r="C404" s="2">
        <v>-35044999</v>
      </c>
      <c r="D404" s="2">
        <v>0.2</v>
      </c>
      <c r="E404" s="2">
        <v>53589421.159999996</v>
      </c>
      <c r="F404" s="2">
        <v>-119591013.5</v>
      </c>
      <c r="G404" s="2">
        <v>4</v>
      </c>
      <c r="H404" s="2">
        <v>3</v>
      </c>
      <c r="I404" s="2">
        <v>5</v>
      </c>
      <c r="J404" s="2">
        <v>3.9</v>
      </c>
      <c r="K404" s="2" t="s">
        <v>306</v>
      </c>
      <c r="L404" s="2" t="str">
        <f t="shared" si="36"/>
        <v>Loss Making</v>
      </c>
      <c r="M404" s="2" t="str">
        <f t="shared" si="37"/>
        <v>Stable Earnings</v>
      </c>
      <c r="N404" s="2" t="str">
        <f t="shared" si="38"/>
        <v>Moderate</v>
      </c>
      <c r="O404" s="4" t="str">
        <f t="shared" si="39"/>
        <v>Accounting Risk</v>
      </c>
      <c r="P404" s="4" t="str">
        <f t="shared" si="40"/>
        <v>Moderate</v>
      </c>
      <c r="Q404" s="4" t="str">
        <f t="shared" si="41"/>
        <v>Strong Long-Term Growth</v>
      </c>
    </row>
    <row r="405" spans="1:17" x14ac:dyDescent="0.35">
      <c r="A405" s="2" t="s">
        <v>416</v>
      </c>
      <c r="B405" s="2">
        <v>5</v>
      </c>
      <c r="C405" s="2">
        <v>-85015148.599999994</v>
      </c>
      <c r="D405" s="2">
        <v>0</v>
      </c>
      <c r="E405" s="2">
        <v>49002510.850000001</v>
      </c>
      <c r="F405" s="2">
        <v>-99375626.099999994</v>
      </c>
      <c r="G405" s="2">
        <v>4</v>
      </c>
      <c r="H405" s="2">
        <v>3</v>
      </c>
      <c r="I405" s="2">
        <v>5</v>
      </c>
      <c r="J405" s="2">
        <v>3.9</v>
      </c>
      <c r="K405" s="2" t="s">
        <v>306</v>
      </c>
      <c r="L405" s="2" t="str">
        <f t="shared" si="36"/>
        <v>Loss Making</v>
      </c>
      <c r="M405" s="2" t="str">
        <f t="shared" si="37"/>
        <v>Stable Earnings</v>
      </c>
      <c r="N405" s="2" t="str">
        <f t="shared" si="38"/>
        <v>Moderate</v>
      </c>
      <c r="O405" s="4" t="str">
        <f t="shared" si="39"/>
        <v>Accounting Risk</v>
      </c>
      <c r="P405" s="4" t="str">
        <f t="shared" si="40"/>
        <v>Moderate</v>
      </c>
      <c r="Q405" s="4" t="str">
        <f t="shared" si="41"/>
        <v>Strong Long-Term Growth</v>
      </c>
    </row>
    <row r="406" spans="1:17" x14ac:dyDescent="0.35">
      <c r="A406" s="2" t="s">
        <v>417</v>
      </c>
      <c r="B406" s="2">
        <v>5</v>
      </c>
      <c r="C406" s="2">
        <v>-54457471.100000001</v>
      </c>
      <c r="D406" s="2">
        <v>0.2</v>
      </c>
      <c r="E406" s="2">
        <v>55013624.32</v>
      </c>
      <c r="F406" s="2">
        <v>-97940376.299999997</v>
      </c>
      <c r="G406" s="2">
        <v>4</v>
      </c>
      <c r="H406" s="2">
        <v>3</v>
      </c>
      <c r="I406" s="2">
        <v>5</v>
      </c>
      <c r="J406" s="2">
        <v>3.9</v>
      </c>
      <c r="K406" s="2" t="s">
        <v>306</v>
      </c>
      <c r="L406" s="2" t="str">
        <f t="shared" si="36"/>
        <v>Loss Making</v>
      </c>
      <c r="M406" s="2" t="str">
        <f t="shared" si="37"/>
        <v>Stable Earnings</v>
      </c>
      <c r="N406" s="2" t="str">
        <f t="shared" si="38"/>
        <v>Moderate</v>
      </c>
      <c r="O406" s="4" t="str">
        <f t="shared" si="39"/>
        <v>Accounting Risk</v>
      </c>
      <c r="P406" s="4" t="str">
        <f t="shared" si="40"/>
        <v>Moderate</v>
      </c>
      <c r="Q406" s="4" t="str">
        <f t="shared" si="41"/>
        <v>Strong Long-Term Growth</v>
      </c>
    </row>
    <row r="407" spans="1:17" x14ac:dyDescent="0.35">
      <c r="A407" s="2" t="s">
        <v>418</v>
      </c>
      <c r="B407" s="2">
        <v>5</v>
      </c>
      <c r="C407" s="2">
        <v>-19096732.899999999</v>
      </c>
      <c r="D407" s="2">
        <v>0.4</v>
      </c>
      <c r="E407" s="2">
        <v>76397794.930000007</v>
      </c>
      <c r="F407" s="2">
        <v>-97254883.200000003</v>
      </c>
      <c r="G407" s="2">
        <v>4</v>
      </c>
      <c r="H407" s="2">
        <v>3</v>
      </c>
      <c r="I407" s="2">
        <v>5</v>
      </c>
      <c r="J407" s="2">
        <v>3.9</v>
      </c>
      <c r="K407" s="2" t="s">
        <v>306</v>
      </c>
      <c r="L407" s="2" t="str">
        <f t="shared" si="36"/>
        <v>Loss Making</v>
      </c>
      <c r="M407" s="2" t="str">
        <f t="shared" si="37"/>
        <v>Stable Earnings</v>
      </c>
      <c r="N407" s="2" t="str">
        <f t="shared" si="38"/>
        <v>Moderate</v>
      </c>
      <c r="O407" s="4" t="str">
        <f t="shared" si="39"/>
        <v>Accounting Risk</v>
      </c>
      <c r="P407" s="4" t="str">
        <f t="shared" si="40"/>
        <v>Moderate</v>
      </c>
      <c r="Q407" s="4" t="str">
        <f t="shared" si="41"/>
        <v>Strong Long-Term Growth</v>
      </c>
    </row>
    <row r="408" spans="1:17" x14ac:dyDescent="0.35">
      <c r="A408" s="2" t="s">
        <v>419</v>
      </c>
      <c r="B408" s="2">
        <v>5</v>
      </c>
      <c r="C408" s="2">
        <v>-92769967.159999996</v>
      </c>
      <c r="D408" s="2">
        <v>0.2</v>
      </c>
      <c r="E408" s="2">
        <v>90471379.459999993</v>
      </c>
      <c r="F408" s="2">
        <v>-100761416.90000001</v>
      </c>
      <c r="G408" s="2">
        <v>4</v>
      </c>
      <c r="H408" s="2">
        <v>3</v>
      </c>
      <c r="I408" s="2">
        <v>5</v>
      </c>
      <c r="J408" s="2">
        <v>3.9</v>
      </c>
      <c r="K408" s="2" t="s">
        <v>306</v>
      </c>
      <c r="L408" s="2" t="str">
        <f t="shared" si="36"/>
        <v>Loss Making</v>
      </c>
      <c r="M408" s="2" t="str">
        <f t="shared" si="37"/>
        <v>Stable Earnings</v>
      </c>
      <c r="N408" s="2" t="str">
        <f t="shared" si="38"/>
        <v>Moderate</v>
      </c>
      <c r="O408" s="4" t="str">
        <f t="shared" si="39"/>
        <v>Accounting Risk</v>
      </c>
      <c r="P408" s="4" t="str">
        <f t="shared" si="40"/>
        <v>Moderate</v>
      </c>
      <c r="Q408" s="4" t="str">
        <f t="shared" si="41"/>
        <v>Strong Long-Term Growth</v>
      </c>
    </row>
    <row r="409" spans="1:17" x14ac:dyDescent="0.35">
      <c r="A409" s="2" t="s">
        <v>420</v>
      </c>
      <c r="B409" s="2">
        <v>5</v>
      </c>
      <c r="C409" s="2">
        <v>-66418970.700000003</v>
      </c>
      <c r="D409" s="2">
        <v>0.2</v>
      </c>
      <c r="E409" s="2">
        <v>69481935.420000002</v>
      </c>
      <c r="F409" s="2">
        <v>-107392241</v>
      </c>
      <c r="G409" s="2">
        <v>4</v>
      </c>
      <c r="H409" s="2">
        <v>3</v>
      </c>
      <c r="I409" s="2">
        <v>5</v>
      </c>
      <c r="J409" s="2">
        <v>3.9</v>
      </c>
      <c r="K409" s="2" t="s">
        <v>306</v>
      </c>
      <c r="L409" s="2" t="str">
        <f t="shared" si="36"/>
        <v>Loss Making</v>
      </c>
      <c r="M409" s="2" t="str">
        <f t="shared" si="37"/>
        <v>Stable Earnings</v>
      </c>
      <c r="N409" s="2" t="str">
        <f t="shared" si="38"/>
        <v>Moderate</v>
      </c>
      <c r="O409" s="4" t="str">
        <f t="shared" si="39"/>
        <v>Accounting Risk</v>
      </c>
      <c r="P409" s="4" t="str">
        <f t="shared" si="40"/>
        <v>Moderate</v>
      </c>
      <c r="Q409" s="4" t="str">
        <f t="shared" si="41"/>
        <v>Strong Long-Term Growth</v>
      </c>
    </row>
    <row r="410" spans="1:17" x14ac:dyDescent="0.35">
      <c r="A410" s="2" t="s">
        <v>421</v>
      </c>
      <c r="B410" s="2">
        <v>5</v>
      </c>
      <c r="C410" s="2">
        <v>-70825256.900000006</v>
      </c>
      <c r="D410" s="2">
        <v>0</v>
      </c>
      <c r="E410" s="2">
        <v>30855994.289999999</v>
      </c>
      <c r="F410" s="2">
        <v>-75466166.799999997</v>
      </c>
      <c r="G410" s="2">
        <v>5</v>
      </c>
      <c r="H410" s="2">
        <v>2</v>
      </c>
      <c r="I410" s="2">
        <v>4</v>
      </c>
      <c r="J410" s="2">
        <v>3.9</v>
      </c>
      <c r="K410" s="2" t="s">
        <v>306</v>
      </c>
      <c r="L410" s="2" t="str">
        <f t="shared" si="36"/>
        <v>Loss Making</v>
      </c>
      <c r="M410" s="2" t="str">
        <f t="shared" si="37"/>
        <v>Stable Earnings</v>
      </c>
      <c r="N410" s="2" t="str">
        <f t="shared" si="38"/>
        <v>Moderate</v>
      </c>
      <c r="O410" s="4" t="str">
        <f t="shared" si="39"/>
        <v>Accounting Risk</v>
      </c>
      <c r="P410" s="4" t="str">
        <f t="shared" si="40"/>
        <v>Moderate</v>
      </c>
      <c r="Q410" s="4" t="str">
        <f t="shared" si="41"/>
        <v>Strong Long-Term Growth</v>
      </c>
    </row>
    <row r="411" spans="1:17" x14ac:dyDescent="0.35">
      <c r="A411" s="2" t="s">
        <v>422</v>
      </c>
      <c r="B411" s="2">
        <v>5</v>
      </c>
      <c r="C411" s="2">
        <v>-73686385.439999998</v>
      </c>
      <c r="D411" s="2">
        <v>0</v>
      </c>
      <c r="E411" s="2">
        <v>28303730.579999998</v>
      </c>
      <c r="F411" s="2">
        <v>-71475856.799999997</v>
      </c>
      <c r="G411" s="2">
        <v>5</v>
      </c>
      <c r="H411" s="2">
        <v>2</v>
      </c>
      <c r="I411" s="2">
        <v>4</v>
      </c>
      <c r="J411" s="2">
        <v>3.9</v>
      </c>
      <c r="K411" s="2" t="s">
        <v>306</v>
      </c>
      <c r="L411" s="2" t="str">
        <f t="shared" si="36"/>
        <v>Loss Making</v>
      </c>
      <c r="M411" s="2" t="str">
        <f t="shared" si="37"/>
        <v>Stable Earnings</v>
      </c>
      <c r="N411" s="2" t="str">
        <f t="shared" si="38"/>
        <v>Moderate</v>
      </c>
      <c r="O411" s="4" t="str">
        <f t="shared" si="39"/>
        <v>Accounting Risk</v>
      </c>
      <c r="P411" s="4" t="str">
        <f t="shared" si="40"/>
        <v>Moderate</v>
      </c>
      <c r="Q411" s="4" t="str">
        <f t="shared" si="41"/>
        <v>Strong Long-Term Growth</v>
      </c>
    </row>
    <row r="412" spans="1:17" x14ac:dyDescent="0.35">
      <c r="A412" s="2" t="s">
        <v>423</v>
      </c>
      <c r="B412" s="2">
        <v>5</v>
      </c>
      <c r="C412" s="2">
        <v>-87167448.480000004</v>
      </c>
      <c r="D412" s="2">
        <v>0</v>
      </c>
      <c r="E412" s="2">
        <v>37468752.780000001</v>
      </c>
      <c r="F412" s="2">
        <v>-72558867.400000006</v>
      </c>
      <c r="G412" s="2">
        <v>5</v>
      </c>
      <c r="H412" s="2">
        <v>2</v>
      </c>
      <c r="I412" s="2">
        <v>4</v>
      </c>
      <c r="J412" s="2">
        <v>3.9</v>
      </c>
      <c r="K412" s="2" t="s">
        <v>306</v>
      </c>
      <c r="L412" s="2" t="str">
        <f t="shared" si="36"/>
        <v>Loss Making</v>
      </c>
      <c r="M412" s="2" t="str">
        <f t="shared" si="37"/>
        <v>Stable Earnings</v>
      </c>
      <c r="N412" s="2" t="str">
        <f t="shared" si="38"/>
        <v>Moderate</v>
      </c>
      <c r="O412" s="4" t="str">
        <f t="shared" si="39"/>
        <v>Accounting Risk</v>
      </c>
      <c r="P412" s="4" t="str">
        <f t="shared" si="40"/>
        <v>Moderate</v>
      </c>
      <c r="Q412" s="4" t="str">
        <f t="shared" si="41"/>
        <v>Strong Long-Term Growth</v>
      </c>
    </row>
    <row r="413" spans="1:17" x14ac:dyDescent="0.35">
      <c r="A413" s="2" t="s">
        <v>424</v>
      </c>
      <c r="B413" s="2">
        <v>5</v>
      </c>
      <c r="C413" s="2">
        <v>-55816414.979999997</v>
      </c>
      <c r="D413" s="2">
        <v>0</v>
      </c>
      <c r="E413" s="2">
        <v>35883606.030000001</v>
      </c>
      <c r="F413" s="2">
        <v>-74319824.400000006</v>
      </c>
      <c r="G413" s="2">
        <v>5</v>
      </c>
      <c r="H413" s="2">
        <v>2</v>
      </c>
      <c r="I413" s="2">
        <v>4</v>
      </c>
      <c r="J413" s="2">
        <v>3.9</v>
      </c>
      <c r="K413" s="2" t="s">
        <v>306</v>
      </c>
      <c r="L413" s="2" t="str">
        <f t="shared" si="36"/>
        <v>Loss Making</v>
      </c>
      <c r="M413" s="2" t="str">
        <f t="shared" si="37"/>
        <v>Stable Earnings</v>
      </c>
      <c r="N413" s="2" t="str">
        <f t="shared" si="38"/>
        <v>Moderate</v>
      </c>
      <c r="O413" s="4" t="str">
        <f t="shared" si="39"/>
        <v>Accounting Risk</v>
      </c>
      <c r="P413" s="4" t="str">
        <f t="shared" si="40"/>
        <v>Moderate</v>
      </c>
      <c r="Q413" s="4" t="str">
        <f t="shared" si="41"/>
        <v>Strong Long-Term Growth</v>
      </c>
    </row>
    <row r="414" spans="1:17" x14ac:dyDescent="0.35">
      <c r="A414" s="2" t="s">
        <v>425</v>
      </c>
      <c r="B414" s="2">
        <v>5</v>
      </c>
      <c r="C414" s="2">
        <v>-29989934.559999999</v>
      </c>
      <c r="D414" s="2">
        <v>0.2</v>
      </c>
      <c r="E414" s="2">
        <v>60133872.060000002</v>
      </c>
      <c r="F414" s="2">
        <v>-80312588.299999997</v>
      </c>
      <c r="G414" s="2">
        <v>4</v>
      </c>
      <c r="H414" s="2">
        <v>3</v>
      </c>
      <c r="I414" s="2">
        <v>5</v>
      </c>
      <c r="J414" s="2">
        <v>3.9</v>
      </c>
      <c r="K414" s="2" t="s">
        <v>306</v>
      </c>
      <c r="L414" s="2" t="str">
        <f t="shared" si="36"/>
        <v>Loss Making</v>
      </c>
      <c r="M414" s="2" t="str">
        <f t="shared" si="37"/>
        <v>Stable Earnings</v>
      </c>
      <c r="N414" s="2" t="str">
        <f t="shared" si="38"/>
        <v>Moderate</v>
      </c>
      <c r="O414" s="4" t="str">
        <f t="shared" si="39"/>
        <v>Accounting Risk</v>
      </c>
      <c r="P414" s="4" t="str">
        <f t="shared" si="40"/>
        <v>Moderate</v>
      </c>
      <c r="Q414" s="4" t="str">
        <f t="shared" si="41"/>
        <v>Strong Long-Term Growth</v>
      </c>
    </row>
    <row r="415" spans="1:17" x14ac:dyDescent="0.35">
      <c r="A415" s="2" t="s">
        <v>426</v>
      </c>
      <c r="B415" s="2">
        <v>5</v>
      </c>
      <c r="C415" s="2">
        <v>-44574580.719999999</v>
      </c>
      <c r="D415" s="2">
        <v>0.4</v>
      </c>
      <c r="E415" s="2">
        <v>65579578.649999999</v>
      </c>
      <c r="F415" s="2">
        <v>-95133764.200000003</v>
      </c>
      <c r="G415" s="2">
        <v>4</v>
      </c>
      <c r="H415" s="2">
        <v>3</v>
      </c>
      <c r="I415" s="2">
        <v>5</v>
      </c>
      <c r="J415" s="2">
        <v>3.9</v>
      </c>
      <c r="K415" s="2" t="s">
        <v>306</v>
      </c>
      <c r="L415" s="2" t="str">
        <f t="shared" si="36"/>
        <v>Loss Making</v>
      </c>
      <c r="M415" s="2" t="str">
        <f t="shared" si="37"/>
        <v>Stable Earnings</v>
      </c>
      <c r="N415" s="2" t="str">
        <f t="shared" si="38"/>
        <v>Moderate</v>
      </c>
      <c r="O415" s="4" t="str">
        <f t="shared" si="39"/>
        <v>Accounting Risk</v>
      </c>
      <c r="P415" s="4" t="str">
        <f t="shared" si="40"/>
        <v>Moderate</v>
      </c>
      <c r="Q415" s="4" t="str">
        <f t="shared" si="41"/>
        <v>Strong Long-Term Growth</v>
      </c>
    </row>
    <row r="416" spans="1:17" x14ac:dyDescent="0.35">
      <c r="A416" s="2" t="s">
        <v>427</v>
      </c>
      <c r="B416" s="2">
        <v>5</v>
      </c>
      <c r="C416" s="2">
        <v>-40573111.240000002</v>
      </c>
      <c r="D416" s="2">
        <v>0.2</v>
      </c>
      <c r="E416" s="2">
        <v>45568172.43</v>
      </c>
      <c r="F416" s="2">
        <v>-83019602.599999994</v>
      </c>
      <c r="G416" s="2">
        <v>4</v>
      </c>
      <c r="H416" s="2">
        <v>3</v>
      </c>
      <c r="I416" s="2">
        <v>5</v>
      </c>
      <c r="J416" s="2">
        <v>3.9</v>
      </c>
      <c r="K416" s="2" t="s">
        <v>306</v>
      </c>
      <c r="L416" s="2" t="str">
        <f t="shared" si="36"/>
        <v>Loss Making</v>
      </c>
      <c r="M416" s="2" t="str">
        <f t="shared" si="37"/>
        <v>Stable Earnings</v>
      </c>
      <c r="N416" s="2" t="str">
        <f t="shared" si="38"/>
        <v>Moderate</v>
      </c>
      <c r="O416" s="4" t="str">
        <f t="shared" si="39"/>
        <v>Accounting Risk</v>
      </c>
      <c r="P416" s="4" t="str">
        <f t="shared" si="40"/>
        <v>Moderate</v>
      </c>
      <c r="Q416" s="4" t="str">
        <f t="shared" si="41"/>
        <v>Strong Long-Term Growth</v>
      </c>
    </row>
    <row r="417" spans="1:17" x14ac:dyDescent="0.35">
      <c r="A417" s="2" t="s">
        <v>428</v>
      </c>
      <c r="B417" s="2">
        <v>5</v>
      </c>
      <c r="C417" s="2">
        <v>126501180.09999999</v>
      </c>
      <c r="D417" s="2">
        <v>0.6</v>
      </c>
      <c r="E417" s="2">
        <v>381119235</v>
      </c>
      <c r="F417" s="2">
        <v>-76286027.599999994</v>
      </c>
      <c r="G417" s="2">
        <v>3</v>
      </c>
      <c r="H417" s="2">
        <v>5</v>
      </c>
      <c r="I417" s="2">
        <v>4</v>
      </c>
      <c r="J417" s="2">
        <v>3.8</v>
      </c>
      <c r="K417" s="2" t="s">
        <v>306</v>
      </c>
      <c r="L417" s="2" t="str">
        <f t="shared" si="36"/>
        <v>Profitable</v>
      </c>
      <c r="M417" s="2" t="str">
        <f t="shared" si="37"/>
        <v>Stable Earnings</v>
      </c>
      <c r="N417" s="2" t="str">
        <f t="shared" si="38"/>
        <v>Low Quality</v>
      </c>
      <c r="O417" s="4" t="str">
        <f t="shared" si="39"/>
        <v>Accounting Risk</v>
      </c>
      <c r="P417" s="4" t="str">
        <f t="shared" si="40"/>
        <v>Low Quality</v>
      </c>
      <c r="Q417" s="4" t="str">
        <f t="shared" si="41"/>
        <v>Strong Long-Term Growth</v>
      </c>
    </row>
    <row r="418" spans="1:17" x14ac:dyDescent="0.35">
      <c r="A418" s="2" t="s">
        <v>429</v>
      </c>
      <c r="B418" s="2">
        <v>5</v>
      </c>
      <c r="C418" s="2">
        <v>-5167571.22</v>
      </c>
      <c r="D418" s="2">
        <v>0.6</v>
      </c>
      <c r="E418" s="2">
        <v>350802714.60000002</v>
      </c>
      <c r="F418" s="2">
        <v>-46772037.200000003</v>
      </c>
      <c r="G418" s="2">
        <v>3</v>
      </c>
      <c r="H418" s="2">
        <v>5</v>
      </c>
      <c r="I418" s="2">
        <v>4</v>
      </c>
      <c r="J418" s="2">
        <v>3.8</v>
      </c>
      <c r="K418" s="2" t="s">
        <v>306</v>
      </c>
      <c r="L418" s="2" t="str">
        <f t="shared" si="36"/>
        <v>Loss Making</v>
      </c>
      <c r="M418" s="2" t="str">
        <f t="shared" si="37"/>
        <v>Stable Earnings</v>
      </c>
      <c r="N418" s="2" t="str">
        <f t="shared" si="38"/>
        <v>Low Quality</v>
      </c>
      <c r="O418" s="4" t="str">
        <f t="shared" si="39"/>
        <v>Accounting Risk</v>
      </c>
      <c r="P418" s="4" t="str">
        <f t="shared" si="40"/>
        <v>Low Quality</v>
      </c>
      <c r="Q418" s="4" t="str">
        <f t="shared" si="41"/>
        <v>Strong Long-Term Growth</v>
      </c>
    </row>
    <row r="419" spans="1:17" x14ac:dyDescent="0.35">
      <c r="A419" s="2" t="s">
        <v>430</v>
      </c>
      <c r="B419" s="2">
        <v>5</v>
      </c>
      <c r="C419" s="2">
        <v>-109337182.2</v>
      </c>
      <c r="D419" s="2">
        <v>0.6</v>
      </c>
      <c r="E419" s="2">
        <v>366614526.60000002</v>
      </c>
      <c r="F419" s="2">
        <v>-43416210.100000001</v>
      </c>
      <c r="G419" s="2">
        <v>3</v>
      </c>
      <c r="H419" s="2">
        <v>5</v>
      </c>
      <c r="I419" s="2">
        <v>4</v>
      </c>
      <c r="J419" s="2">
        <v>3.8</v>
      </c>
      <c r="K419" s="2" t="s">
        <v>306</v>
      </c>
      <c r="L419" s="2" t="str">
        <f t="shared" si="36"/>
        <v>Loss Making</v>
      </c>
      <c r="M419" s="2" t="str">
        <f t="shared" si="37"/>
        <v>Stable Earnings</v>
      </c>
      <c r="N419" s="2" t="str">
        <f t="shared" si="38"/>
        <v>Low Quality</v>
      </c>
      <c r="O419" s="4" t="str">
        <f t="shared" si="39"/>
        <v>Accounting Risk</v>
      </c>
      <c r="P419" s="4" t="str">
        <f t="shared" si="40"/>
        <v>Low Quality</v>
      </c>
      <c r="Q419" s="4" t="str">
        <f t="shared" si="41"/>
        <v>Strong Long-Term Growth</v>
      </c>
    </row>
    <row r="420" spans="1:17" x14ac:dyDescent="0.35">
      <c r="A420" s="2" t="s">
        <v>431</v>
      </c>
      <c r="B420" s="2">
        <v>5</v>
      </c>
      <c r="C420" s="2">
        <v>343568024.39999998</v>
      </c>
      <c r="D420" s="2">
        <v>0.8</v>
      </c>
      <c r="E420" s="2">
        <v>503548410.39999998</v>
      </c>
      <c r="F420" s="2">
        <v>-42455088.600000001</v>
      </c>
      <c r="G420" s="2">
        <v>3</v>
      </c>
      <c r="H420" s="2">
        <v>5</v>
      </c>
      <c r="I420" s="2">
        <v>4</v>
      </c>
      <c r="J420" s="2">
        <v>3.8</v>
      </c>
      <c r="K420" s="2" t="s">
        <v>306</v>
      </c>
      <c r="L420" s="2" t="str">
        <f t="shared" si="36"/>
        <v>Profitable</v>
      </c>
      <c r="M420" s="2" t="str">
        <f t="shared" si="37"/>
        <v>Stable Earnings</v>
      </c>
      <c r="N420" s="2" t="str">
        <f t="shared" si="38"/>
        <v>Low Quality</v>
      </c>
      <c r="O420" s="4" t="str">
        <f t="shared" si="39"/>
        <v>Accounting Risk</v>
      </c>
      <c r="P420" s="4" t="str">
        <f t="shared" si="40"/>
        <v>Low Quality</v>
      </c>
      <c r="Q420" s="4" t="str">
        <f t="shared" si="41"/>
        <v>Strong Long-Term Growth</v>
      </c>
    </row>
    <row r="421" spans="1:17" x14ac:dyDescent="0.35">
      <c r="A421" s="2" t="s">
        <v>432</v>
      </c>
      <c r="B421" s="2">
        <v>5</v>
      </c>
      <c r="C421" s="2">
        <v>-72387904.879999995</v>
      </c>
      <c r="D421" s="2">
        <v>0.6</v>
      </c>
      <c r="E421" s="2">
        <v>381513649.19999999</v>
      </c>
      <c r="F421" s="2">
        <v>-52482522</v>
      </c>
      <c r="G421" s="2">
        <v>3</v>
      </c>
      <c r="H421" s="2">
        <v>5</v>
      </c>
      <c r="I421" s="2">
        <v>4</v>
      </c>
      <c r="J421" s="2">
        <v>3.8</v>
      </c>
      <c r="K421" s="2" t="s">
        <v>306</v>
      </c>
      <c r="L421" s="2" t="str">
        <f t="shared" si="36"/>
        <v>Loss Making</v>
      </c>
      <c r="M421" s="2" t="str">
        <f t="shared" si="37"/>
        <v>Stable Earnings</v>
      </c>
      <c r="N421" s="2" t="str">
        <f t="shared" si="38"/>
        <v>Low Quality</v>
      </c>
      <c r="O421" s="4" t="str">
        <f t="shared" si="39"/>
        <v>Accounting Risk</v>
      </c>
      <c r="P421" s="4" t="str">
        <f t="shared" si="40"/>
        <v>Low Quality</v>
      </c>
      <c r="Q421" s="4" t="str">
        <f t="shared" si="41"/>
        <v>Strong Long-Term Growth</v>
      </c>
    </row>
    <row r="422" spans="1:17" x14ac:dyDescent="0.35">
      <c r="A422" s="2" t="s">
        <v>433</v>
      </c>
      <c r="B422" s="2">
        <v>5</v>
      </c>
      <c r="C422" s="2">
        <v>-154096496.59999999</v>
      </c>
      <c r="D422" s="2">
        <v>0.4</v>
      </c>
      <c r="E422" s="2">
        <v>418385362.39999998</v>
      </c>
      <c r="F422" s="2">
        <v>-28246252</v>
      </c>
      <c r="G422" s="2">
        <v>3</v>
      </c>
      <c r="H422" s="2">
        <v>5</v>
      </c>
      <c r="I422" s="2">
        <v>4</v>
      </c>
      <c r="J422" s="2">
        <v>3.8</v>
      </c>
      <c r="K422" s="2" t="s">
        <v>306</v>
      </c>
      <c r="L422" s="2" t="str">
        <f t="shared" si="36"/>
        <v>Loss Making</v>
      </c>
      <c r="M422" s="2" t="str">
        <f t="shared" si="37"/>
        <v>Stable Earnings</v>
      </c>
      <c r="N422" s="2" t="str">
        <f t="shared" si="38"/>
        <v>Low Quality</v>
      </c>
      <c r="O422" s="4" t="str">
        <f t="shared" si="39"/>
        <v>Accounting Risk</v>
      </c>
      <c r="P422" s="4" t="str">
        <f t="shared" si="40"/>
        <v>Low Quality</v>
      </c>
      <c r="Q422" s="4" t="str">
        <f t="shared" si="41"/>
        <v>Strong Long-Term Growth</v>
      </c>
    </row>
    <row r="423" spans="1:17" x14ac:dyDescent="0.35">
      <c r="A423" s="2" t="s">
        <v>434</v>
      </c>
      <c r="B423" s="2">
        <v>5</v>
      </c>
      <c r="C423" s="2">
        <v>-123064849.7</v>
      </c>
      <c r="D423" s="2">
        <v>0</v>
      </c>
      <c r="E423" s="2">
        <v>69688451.840000004</v>
      </c>
      <c r="F423" s="2">
        <v>147985701.09999999</v>
      </c>
      <c r="G423" s="2">
        <v>5</v>
      </c>
      <c r="H423" s="2">
        <v>3</v>
      </c>
      <c r="I423" s="2">
        <v>2</v>
      </c>
      <c r="J423" s="2">
        <v>3.8</v>
      </c>
      <c r="K423" s="2" t="s">
        <v>306</v>
      </c>
      <c r="L423" s="2" t="str">
        <f t="shared" si="36"/>
        <v>Loss Making</v>
      </c>
      <c r="M423" s="2" t="str">
        <f t="shared" si="37"/>
        <v>Stable Earnings</v>
      </c>
      <c r="N423" s="2" t="str">
        <f t="shared" si="38"/>
        <v>Moderate</v>
      </c>
      <c r="O423" s="4" t="str">
        <f t="shared" si="39"/>
        <v>Accounting Risk</v>
      </c>
      <c r="P423" s="4" t="str">
        <f t="shared" si="40"/>
        <v>Moderate</v>
      </c>
      <c r="Q423" s="4" t="str">
        <f t="shared" si="41"/>
        <v>Moderate Growth</v>
      </c>
    </row>
    <row r="424" spans="1:17" x14ac:dyDescent="0.35">
      <c r="A424" s="2" t="s">
        <v>435</v>
      </c>
      <c r="B424" s="2">
        <v>5</v>
      </c>
      <c r="C424" s="2">
        <v>-410127169.80000001</v>
      </c>
      <c r="D424" s="2">
        <v>0</v>
      </c>
      <c r="E424" s="2">
        <v>92297371.680000007</v>
      </c>
      <c r="F424" s="2">
        <v>139608213.40000001</v>
      </c>
      <c r="G424" s="2">
        <v>5</v>
      </c>
      <c r="H424" s="2">
        <v>3</v>
      </c>
      <c r="I424" s="2">
        <v>2</v>
      </c>
      <c r="J424" s="2">
        <v>3.8</v>
      </c>
      <c r="K424" s="2" t="s">
        <v>306</v>
      </c>
      <c r="L424" s="2" t="str">
        <f t="shared" si="36"/>
        <v>Loss Making</v>
      </c>
      <c r="M424" s="2" t="str">
        <f t="shared" si="37"/>
        <v>Stable Earnings</v>
      </c>
      <c r="N424" s="2" t="str">
        <f t="shared" si="38"/>
        <v>Moderate</v>
      </c>
      <c r="O424" s="4" t="str">
        <f t="shared" si="39"/>
        <v>Accounting Risk</v>
      </c>
      <c r="P424" s="4" t="str">
        <f t="shared" si="40"/>
        <v>Moderate</v>
      </c>
      <c r="Q424" s="4" t="str">
        <f t="shared" si="41"/>
        <v>Moderate Growth</v>
      </c>
    </row>
    <row r="425" spans="1:17" x14ac:dyDescent="0.35">
      <c r="A425" s="2" t="s">
        <v>436</v>
      </c>
      <c r="B425" s="2">
        <v>5</v>
      </c>
      <c r="C425" s="2">
        <v>-89054576.400000006</v>
      </c>
      <c r="D425" s="2">
        <v>0</v>
      </c>
      <c r="E425" s="2">
        <v>47720773.18</v>
      </c>
      <c r="F425" s="2">
        <v>33721461.799999997</v>
      </c>
      <c r="G425" s="2">
        <v>5</v>
      </c>
      <c r="H425" s="2">
        <v>3</v>
      </c>
      <c r="I425" s="2">
        <v>2</v>
      </c>
      <c r="J425" s="2">
        <v>3.8</v>
      </c>
      <c r="K425" s="2" t="s">
        <v>306</v>
      </c>
      <c r="L425" s="2" t="str">
        <f t="shared" si="36"/>
        <v>Loss Making</v>
      </c>
      <c r="M425" s="2" t="str">
        <f t="shared" si="37"/>
        <v>Stable Earnings</v>
      </c>
      <c r="N425" s="2" t="str">
        <f t="shared" si="38"/>
        <v>Moderate</v>
      </c>
      <c r="O425" s="4" t="str">
        <f t="shared" si="39"/>
        <v>Accounting Risk</v>
      </c>
      <c r="P425" s="4" t="str">
        <f t="shared" si="40"/>
        <v>Moderate</v>
      </c>
      <c r="Q425" s="4" t="str">
        <f t="shared" si="41"/>
        <v>Moderate Growth</v>
      </c>
    </row>
    <row r="426" spans="1:17" x14ac:dyDescent="0.35">
      <c r="A426" s="2" t="s">
        <v>437</v>
      </c>
      <c r="B426" s="2">
        <v>5</v>
      </c>
      <c r="C426" s="2">
        <v>-157306308.19999999</v>
      </c>
      <c r="D426" s="2">
        <v>0</v>
      </c>
      <c r="E426" s="2">
        <v>91136618.870000005</v>
      </c>
      <c r="F426" s="2">
        <v>29824768.300000001</v>
      </c>
      <c r="G426" s="2">
        <v>5</v>
      </c>
      <c r="H426" s="2">
        <v>3</v>
      </c>
      <c r="I426" s="2">
        <v>2</v>
      </c>
      <c r="J426" s="2">
        <v>3.8</v>
      </c>
      <c r="K426" s="2" t="s">
        <v>306</v>
      </c>
      <c r="L426" s="2" t="str">
        <f t="shared" si="36"/>
        <v>Loss Making</v>
      </c>
      <c r="M426" s="2" t="str">
        <f t="shared" si="37"/>
        <v>Stable Earnings</v>
      </c>
      <c r="N426" s="2" t="str">
        <f t="shared" si="38"/>
        <v>Moderate</v>
      </c>
      <c r="O426" s="4" t="str">
        <f t="shared" si="39"/>
        <v>Accounting Risk</v>
      </c>
      <c r="P426" s="4" t="str">
        <f t="shared" si="40"/>
        <v>Moderate</v>
      </c>
      <c r="Q426" s="4" t="str">
        <f t="shared" si="41"/>
        <v>Moderate Growth</v>
      </c>
    </row>
    <row r="427" spans="1:17" x14ac:dyDescent="0.35">
      <c r="A427" s="2" t="s">
        <v>438</v>
      </c>
      <c r="B427" s="2">
        <v>5</v>
      </c>
      <c r="C427" s="2">
        <v>-150814889.09999999</v>
      </c>
      <c r="D427" s="2">
        <v>0</v>
      </c>
      <c r="E427" s="2">
        <v>77033622.739999995</v>
      </c>
      <c r="F427" s="2">
        <v>29262338.600000001</v>
      </c>
      <c r="G427" s="2">
        <v>5</v>
      </c>
      <c r="H427" s="2">
        <v>3</v>
      </c>
      <c r="I427" s="2">
        <v>2</v>
      </c>
      <c r="J427" s="2">
        <v>3.8</v>
      </c>
      <c r="K427" s="2" t="s">
        <v>306</v>
      </c>
      <c r="L427" s="2" t="str">
        <f t="shared" si="36"/>
        <v>Loss Making</v>
      </c>
      <c r="M427" s="2" t="str">
        <f t="shared" si="37"/>
        <v>Stable Earnings</v>
      </c>
      <c r="N427" s="2" t="str">
        <f t="shared" si="38"/>
        <v>Moderate</v>
      </c>
      <c r="O427" s="4" t="str">
        <f t="shared" si="39"/>
        <v>Accounting Risk</v>
      </c>
      <c r="P427" s="4" t="str">
        <f t="shared" si="40"/>
        <v>Moderate</v>
      </c>
      <c r="Q427" s="4" t="str">
        <f t="shared" si="41"/>
        <v>Moderate Growth</v>
      </c>
    </row>
    <row r="428" spans="1:17" x14ac:dyDescent="0.35">
      <c r="A428" s="2" t="s">
        <v>439</v>
      </c>
      <c r="B428" s="2">
        <v>5</v>
      </c>
      <c r="C428" s="2">
        <v>-57300547.479999997</v>
      </c>
      <c r="D428" s="2">
        <v>0.2</v>
      </c>
      <c r="E428" s="2">
        <v>147255573.69999999</v>
      </c>
      <c r="F428" s="2">
        <v>13199396.4</v>
      </c>
      <c r="G428" s="2">
        <v>4</v>
      </c>
      <c r="H428" s="2">
        <v>4</v>
      </c>
      <c r="I428" s="2">
        <v>3</v>
      </c>
      <c r="J428" s="2">
        <v>3.8</v>
      </c>
      <c r="K428" s="2" t="s">
        <v>306</v>
      </c>
      <c r="L428" s="2" t="str">
        <f t="shared" si="36"/>
        <v>Loss Making</v>
      </c>
      <c r="M428" s="2" t="str">
        <f t="shared" si="37"/>
        <v>Stable Earnings</v>
      </c>
      <c r="N428" s="2" t="str">
        <f t="shared" si="38"/>
        <v>Moderate</v>
      </c>
      <c r="O428" s="4" t="str">
        <f t="shared" si="39"/>
        <v>Accounting Risk</v>
      </c>
      <c r="P428" s="4" t="str">
        <f t="shared" si="40"/>
        <v>Moderate</v>
      </c>
      <c r="Q428" s="4" t="str">
        <f t="shared" si="41"/>
        <v>Moderate Growth</v>
      </c>
    </row>
    <row r="429" spans="1:17" x14ac:dyDescent="0.35">
      <c r="A429" s="2" t="s">
        <v>440</v>
      </c>
      <c r="B429" s="2">
        <v>5</v>
      </c>
      <c r="C429" s="2">
        <v>-188839119.69999999</v>
      </c>
      <c r="D429" s="2">
        <v>0</v>
      </c>
      <c r="E429" s="2">
        <v>48247703.939999998</v>
      </c>
      <c r="F429" s="2">
        <v>94755675.799999997</v>
      </c>
      <c r="G429" s="2">
        <v>5</v>
      </c>
      <c r="H429" s="2">
        <v>3</v>
      </c>
      <c r="I429" s="2">
        <v>2</v>
      </c>
      <c r="J429" s="2">
        <v>3.8</v>
      </c>
      <c r="K429" s="2" t="s">
        <v>306</v>
      </c>
      <c r="L429" s="2" t="str">
        <f t="shared" si="36"/>
        <v>Loss Making</v>
      </c>
      <c r="M429" s="2" t="str">
        <f t="shared" si="37"/>
        <v>Stable Earnings</v>
      </c>
      <c r="N429" s="2" t="str">
        <f t="shared" si="38"/>
        <v>Moderate</v>
      </c>
      <c r="O429" s="4" t="str">
        <f t="shared" si="39"/>
        <v>Accounting Risk</v>
      </c>
      <c r="P429" s="4" t="str">
        <f t="shared" si="40"/>
        <v>Moderate</v>
      </c>
      <c r="Q429" s="4" t="str">
        <f t="shared" si="41"/>
        <v>Moderate Growth</v>
      </c>
    </row>
    <row r="430" spans="1:17" x14ac:dyDescent="0.35">
      <c r="A430" s="2" t="s">
        <v>441</v>
      </c>
      <c r="B430" s="2">
        <v>5</v>
      </c>
      <c r="C430" s="2">
        <v>-101403908.8</v>
      </c>
      <c r="D430" s="2">
        <v>0</v>
      </c>
      <c r="E430" s="2">
        <v>76558583.519999996</v>
      </c>
      <c r="F430" s="2">
        <v>44569469.299999997</v>
      </c>
      <c r="G430" s="2">
        <v>5</v>
      </c>
      <c r="H430" s="2">
        <v>3</v>
      </c>
      <c r="I430" s="2">
        <v>2</v>
      </c>
      <c r="J430" s="2">
        <v>3.8</v>
      </c>
      <c r="K430" s="2" t="s">
        <v>306</v>
      </c>
      <c r="L430" s="2" t="str">
        <f t="shared" si="36"/>
        <v>Loss Making</v>
      </c>
      <c r="M430" s="2" t="str">
        <f t="shared" si="37"/>
        <v>Stable Earnings</v>
      </c>
      <c r="N430" s="2" t="str">
        <f t="shared" si="38"/>
        <v>Moderate</v>
      </c>
      <c r="O430" s="4" t="str">
        <f t="shared" si="39"/>
        <v>Accounting Risk</v>
      </c>
      <c r="P430" s="4" t="str">
        <f t="shared" si="40"/>
        <v>Moderate</v>
      </c>
      <c r="Q430" s="4" t="str">
        <f t="shared" si="41"/>
        <v>Moderate Growth</v>
      </c>
    </row>
    <row r="431" spans="1:17" x14ac:dyDescent="0.35">
      <c r="A431" s="2" t="s">
        <v>442</v>
      </c>
      <c r="B431" s="2">
        <v>5</v>
      </c>
      <c r="C431" s="2">
        <v>-184652621.80000001</v>
      </c>
      <c r="D431" s="2">
        <v>0</v>
      </c>
      <c r="E431" s="2">
        <v>54250146</v>
      </c>
      <c r="F431" s="2">
        <v>68373852.5</v>
      </c>
      <c r="G431" s="2">
        <v>5</v>
      </c>
      <c r="H431" s="2">
        <v>3</v>
      </c>
      <c r="I431" s="2">
        <v>2</v>
      </c>
      <c r="J431" s="2">
        <v>3.8</v>
      </c>
      <c r="K431" s="2" t="s">
        <v>306</v>
      </c>
      <c r="L431" s="2" t="str">
        <f t="shared" si="36"/>
        <v>Loss Making</v>
      </c>
      <c r="M431" s="2" t="str">
        <f t="shared" si="37"/>
        <v>Stable Earnings</v>
      </c>
      <c r="N431" s="2" t="str">
        <f t="shared" si="38"/>
        <v>Moderate</v>
      </c>
      <c r="O431" s="4" t="str">
        <f t="shared" si="39"/>
        <v>Accounting Risk</v>
      </c>
      <c r="P431" s="4" t="str">
        <f t="shared" si="40"/>
        <v>Moderate</v>
      </c>
      <c r="Q431" s="4" t="str">
        <f t="shared" si="41"/>
        <v>Moderate Growth</v>
      </c>
    </row>
    <row r="432" spans="1:17" x14ac:dyDescent="0.35">
      <c r="A432" s="2" t="s">
        <v>443</v>
      </c>
      <c r="B432" s="2">
        <v>5</v>
      </c>
      <c r="C432" s="2">
        <v>-34942292.520000003</v>
      </c>
      <c r="D432" s="2">
        <v>0</v>
      </c>
      <c r="E432" s="2">
        <v>24970380.09</v>
      </c>
      <c r="F432" s="2">
        <v>12586640.1</v>
      </c>
      <c r="G432" s="2">
        <v>5</v>
      </c>
      <c r="H432" s="2">
        <v>2</v>
      </c>
      <c r="I432" s="2">
        <v>3</v>
      </c>
      <c r="J432" s="2">
        <v>3.7</v>
      </c>
      <c r="K432" s="2" t="s">
        <v>306</v>
      </c>
      <c r="L432" s="2" t="str">
        <f t="shared" si="36"/>
        <v>Loss Making</v>
      </c>
      <c r="M432" s="2" t="str">
        <f t="shared" si="37"/>
        <v>Stable Earnings</v>
      </c>
      <c r="N432" s="2" t="str">
        <f t="shared" si="38"/>
        <v>Moderate</v>
      </c>
      <c r="O432" s="4" t="str">
        <f t="shared" si="39"/>
        <v>Accounting Risk</v>
      </c>
      <c r="P432" s="4" t="str">
        <f t="shared" si="40"/>
        <v>Moderate</v>
      </c>
      <c r="Q432" s="4" t="str">
        <f t="shared" si="41"/>
        <v>Moderate Growth</v>
      </c>
    </row>
    <row r="433" spans="1:17" x14ac:dyDescent="0.35">
      <c r="A433" s="2" t="s">
        <v>444</v>
      </c>
      <c r="B433" s="2">
        <v>5</v>
      </c>
      <c r="C433" s="2">
        <v>-216564651.90000001</v>
      </c>
      <c r="D433" s="2">
        <v>0</v>
      </c>
      <c r="E433" s="2">
        <v>33167247.859999999</v>
      </c>
      <c r="F433" s="2">
        <v>12553981.300000001</v>
      </c>
      <c r="G433" s="2">
        <v>5</v>
      </c>
      <c r="H433" s="2">
        <v>2</v>
      </c>
      <c r="I433" s="2">
        <v>3</v>
      </c>
      <c r="J433" s="2">
        <v>3.7</v>
      </c>
      <c r="K433" s="2" t="s">
        <v>306</v>
      </c>
      <c r="L433" s="2" t="str">
        <f t="shared" si="36"/>
        <v>Loss Making</v>
      </c>
      <c r="M433" s="2" t="str">
        <f t="shared" si="37"/>
        <v>Stable Earnings</v>
      </c>
      <c r="N433" s="2" t="str">
        <f t="shared" si="38"/>
        <v>Moderate</v>
      </c>
      <c r="O433" s="4" t="str">
        <f t="shared" si="39"/>
        <v>Accounting Risk</v>
      </c>
      <c r="P433" s="4" t="str">
        <f t="shared" si="40"/>
        <v>Moderate</v>
      </c>
      <c r="Q433" s="4" t="str">
        <f t="shared" si="41"/>
        <v>Moderate Growth</v>
      </c>
    </row>
    <row r="434" spans="1:17" x14ac:dyDescent="0.35">
      <c r="A434" s="2" t="s">
        <v>445</v>
      </c>
      <c r="B434" s="2">
        <v>5</v>
      </c>
      <c r="C434" s="2">
        <v>-50047866.159999996</v>
      </c>
      <c r="D434" s="2">
        <v>0</v>
      </c>
      <c r="E434" s="2">
        <v>39731835.409999996</v>
      </c>
      <c r="F434" s="2">
        <v>14098142.5</v>
      </c>
      <c r="G434" s="2">
        <v>5</v>
      </c>
      <c r="H434" s="2">
        <v>2</v>
      </c>
      <c r="I434" s="2">
        <v>3</v>
      </c>
      <c r="J434" s="2">
        <v>3.7</v>
      </c>
      <c r="K434" s="2" t="s">
        <v>306</v>
      </c>
      <c r="L434" s="2" t="str">
        <f t="shared" si="36"/>
        <v>Loss Making</v>
      </c>
      <c r="M434" s="2" t="str">
        <f t="shared" si="37"/>
        <v>Stable Earnings</v>
      </c>
      <c r="N434" s="2" t="str">
        <f t="shared" si="38"/>
        <v>Moderate</v>
      </c>
      <c r="O434" s="4" t="str">
        <f t="shared" si="39"/>
        <v>Accounting Risk</v>
      </c>
      <c r="P434" s="4" t="str">
        <f t="shared" si="40"/>
        <v>Moderate</v>
      </c>
      <c r="Q434" s="4" t="str">
        <f t="shared" si="41"/>
        <v>Moderate Growth</v>
      </c>
    </row>
    <row r="435" spans="1:17" x14ac:dyDescent="0.35">
      <c r="A435" s="2" t="s">
        <v>446</v>
      </c>
      <c r="B435" s="2">
        <v>5</v>
      </c>
      <c r="C435" s="2">
        <v>-284750748.30000001</v>
      </c>
      <c r="D435" s="2">
        <v>0</v>
      </c>
      <c r="E435" s="2">
        <v>37147339.659999996</v>
      </c>
      <c r="F435" s="2">
        <v>18317988.899999999</v>
      </c>
      <c r="G435" s="2">
        <v>5</v>
      </c>
      <c r="H435" s="2">
        <v>2</v>
      </c>
      <c r="I435" s="2">
        <v>3</v>
      </c>
      <c r="J435" s="2">
        <v>3.7</v>
      </c>
      <c r="K435" s="2" t="s">
        <v>306</v>
      </c>
      <c r="L435" s="2" t="str">
        <f t="shared" si="36"/>
        <v>Loss Making</v>
      </c>
      <c r="M435" s="2" t="str">
        <f t="shared" si="37"/>
        <v>Stable Earnings</v>
      </c>
      <c r="N435" s="2" t="str">
        <f t="shared" si="38"/>
        <v>Moderate</v>
      </c>
      <c r="O435" s="4" t="str">
        <f t="shared" si="39"/>
        <v>Accounting Risk</v>
      </c>
      <c r="P435" s="4" t="str">
        <f t="shared" si="40"/>
        <v>Moderate</v>
      </c>
      <c r="Q435" s="4" t="str">
        <f t="shared" si="41"/>
        <v>Moderate Growth</v>
      </c>
    </row>
    <row r="436" spans="1:17" x14ac:dyDescent="0.35">
      <c r="A436" s="2" t="s">
        <v>447</v>
      </c>
      <c r="B436" s="2">
        <v>5</v>
      </c>
      <c r="C436" s="2">
        <v>-35612938.939999998</v>
      </c>
      <c r="D436" s="2">
        <v>0</v>
      </c>
      <c r="E436" s="2">
        <v>24060408.379999999</v>
      </c>
      <c r="F436" s="2">
        <v>15904442.199999999</v>
      </c>
      <c r="G436" s="2">
        <v>5</v>
      </c>
      <c r="H436" s="2">
        <v>2</v>
      </c>
      <c r="I436" s="2">
        <v>3</v>
      </c>
      <c r="J436" s="2">
        <v>3.7</v>
      </c>
      <c r="K436" s="2" t="s">
        <v>306</v>
      </c>
      <c r="L436" s="2" t="str">
        <f t="shared" si="36"/>
        <v>Loss Making</v>
      </c>
      <c r="M436" s="2" t="str">
        <f t="shared" si="37"/>
        <v>Stable Earnings</v>
      </c>
      <c r="N436" s="2" t="str">
        <f t="shared" si="38"/>
        <v>Moderate</v>
      </c>
      <c r="O436" s="4" t="str">
        <f t="shared" si="39"/>
        <v>Accounting Risk</v>
      </c>
      <c r="P436" s="4" t="str">
        <f t="shared" si="40"/>
        <v>Moderate</v>
      </c>
      <c r="Q436" s="4" t="str">
        <f t="shared" si="41"/>
        <v>Moderate Growth</v>
      </c>
    </row>
    <row r="437" spans="1:17" x14ac:dyDescent="0.35">
      <c r="A437" s="2" t="s">
        <v>448</v>
      </c>
      <c r="B437" s="2">
        <v>5</v>
      </c>
      <c r="C437" s="2">
        <v>-101161891.2</v>
      </c>
      <c r="D437" s="2">
        <v>0</v>
      </c>
      <c r="E437" s="2">
        <v>33108211.66</v>
      </c>
      <c r="F437" s="2">
        <v>12056516.800000001</v>
      </c>
      <c r="G437" s="2">
        <v>5</v>
      </c>
      <c r="H437" s="2">
        <v>2</v>
      </c>
      <c r="I437" s="2">
        <v>3</v>
      </c>
      <c r="J437" s="2">
        <v>3.7</v>
      </c>
      <c r="K437" s="2" t="s">
        <v>306</v>
      </c>
      <c r="L437" s="2" t="str">
        <f t="shared" si="36"/>
        <v>Loss Making</v>
      </c>
      <c r="M437" s="2" t="str">
        <f t="shared" si="37"/>
        <v>Stable Earnings</v>
      </c>
      <c r="N437" s="2" t="str">
        <f t="shared" si="38"/>
        <v>Moderate</v>
      </c>
      <c r="O437" s="4" t="str">
        <f t="shared" si="39"/>
        <v>Accounting Risk</v>
      </c>
      <c r="P437" s="4" t="str">
        <f t="shared" si="40"/>
        <v>Moderate</v>
      </c>
      <c r="Q437" s="4" t="str">
        <f t="shared" si="41"/>
        <v>Moderate Growth</v>
      </c>
    </row>
    <row r="438" spans="1:17" x14ac:dyDescent="0.35">
      <c r="A438" s="2" t="s">
        <v>449</v>
      </c>
      <c r="B438" s="2">
        <v>5</v>
      </c>
      <c r="C438" s="2">
        <v>-33690024.68</v>
      </c>
      <c r="D438" s="2">
        <v>0</v>
      </c>
      <c r="E438" s="2">
        <v>17928636.309999999</v>
      </c>
      <c r="F438" s="2">
        <v>10529997.699999999</v>
      </c>
      <c r="G438" s="2">
        <v>5</v>
      </c>
      <c r="H438" s="2">
        <v>2</v>
      </c>
      <c r="I438" s="2">
        <v>3</v>
      </c>
      <c r="J438" s="2">
        <v>3.7</v>
      </c>
      <c r="K438" s="2" t="s">
        <v>306</v>
      </c>
      <c r="L438" s="2" t="str">
        <f t="shared" si="36"/>
        <v>Loss Making</v>
      </c>
      <c r="M438" s="2" t="str">
        <f t="shared" si="37"/>
        <v>Stable Earnings</v>
      </c>
      <c r="N438" s="2" t="str">
        <f t="shared" si="38"/>
        <v>Moderate</v>
      </c>
      <c r="O438" s="4" t="str">
        <f t="shared" si="39"/>
        <v>Accounting Risk</v>
      </c>
      <c r="P438" s="4" t="str">
        <f t="shared" si="40"/>
        <v>Moderate</v>
      </c>
      <c r="Q438" s="4" t="str">
        <f t="shared" si="41"/>
        <v>Moderate Growth</v>
      </c>
    </row>
    <row r="439" spans="1:17" x14ac:dyDescent="0.35">
      <c r="A439" s="2" t="s">
        <v>450</v>
      </c>
      <c r="B439" s="2">
        <v>5</v>
      </c>
      <c r="C439" s="2">
        <v>-111424714.90000001</v>
      </c>
      <c r="D439" s="2">
        <v>0</v>
      </c>
      <c r="E439" s="2">
        <v>39549016.119999997</v>
      </c>
      <c r="F439" s="2">
        <v>10228987</v>
      </c>
      <c r="G439" s="2">
        <v>5</v>
      </c>
      <c r="H439" s="2">
        <v>2</v>
      </c>
      <c r="I439" s="2">
        <v>3</v>
      </c>
      <c r="J439" s="2">
        <v>3.7</v>
      </c>
      <c r="K439" s="2" t="s">
        <v>306</v>
      </c>
      <c r="L439" s="2" t="str">
        <f t="shared" si="36"/>
        <v>Loss Making</v>
      </c>
      <c r="M439" s="2" t="str">
        <f t="shared" si="37"/>
        <v>Stable Earnings</v>
      </c>
      <c r="N439" s="2" t="str">
        <f t="shared" si="38"/>
        <v>Moderate</v>
      </c>
      <c r="O439" s="4" t="str">
        <f t="shared" si="39"/>
        <v>Accounting Risk</v>
      </c>
      <c r="P439" s="4" t="str">
        <f t="shared" si="40"/>
        <v>Moderate</v>
      </c>
      <c r="Q439" s="4" t="str">
        <f t="shared" si="41"/>
        <v>Moderate Growth</v>
      </c>
    </row>
    <row r="440" spans="1:17" x14ac:dyDescent="0.35">
      <c r="A440" s="2" t="s">
        <v>451</v>
      </c>
      <c r="B440" s="2">
        <v>5</v>
      </c>
      <c r="C440" s="2">
        <v>-51418931.560000002</v>
      </c>
      <c r="D440" s="2">
        <v>0</v>
      </c>
      <c r="E440" s="2">
        <v>27433950.829999998</v>
      </c>
      <c r="F440" s="2">
        <v>9715965.4000000004</v>
      </c>
      <c r="G440" s="2">
        <v>5</v>
      </c>
      <c r="H440" s="2">
        <v>2</v>
      </c>
      <c r="I440" s="2">
        <v>3</v>
      </c>
      <c r="J440" s="2">
        <v>3.7</v>
      </c>
      <c r="K440" s="2" t="s">
        <v>306</v>
      </c>
      <c r="L440" s="2" t="str">
        <f t="shared" si="36"/>
        <v>Loss Making</v>
      </c>
      <c r="M440" s="2" t="str">
        <f t="shared" si="37"/>
        <v>Stable Earnings</v>
      </c>
      <c r="N440" s="2" t="str">
        <f t="shared" si="38"/>
        <v>Moderate</v>
      </c>
      <c r="O440" s="4" t="str">
        <f t="shared" si="39"/>
        <v>Accounting Risk</v>
      </c>
      <c r="P440" s="4" t="str">
        <f t="shared" si="40"/>
        <v>Moderate</v>
      </c>
      <c r="Q440" s="4" t="str">
        <f t="shared" si="41"/>
        <v>Moderate Growth</v>
      </c>
    </row>
    <row r="441" spans="1:17" x14ac:dyDescent="0.35">
      <c r="A441" s="2" t="s">
        <v>452</v>
      </c>
      <c r="B441" s="2">
        <v>5</v>
      </c>
      <c r="C441" s="2">
        <v>-98352160.099999994</v>
      </c>
      <c r="D441" s="2">
        <v>0</v>
      </c>
      <c r="E441" s="2">
        <v>36613812.869999997</v>
      </c>
      <c r="F441" s="2">
        <v>26743025.5</v>
      </c>
      <c r="G441" s="2">
        <v>5</v>
      </c>
      <c r="H441" s="2">
        <v>2</v>
      </c>
      <c r="I441" s="2">
        <v>3</v>
      </c>
      <c r="J441" s="2">
        <v>3.7</v>
      </c>
      <c r="K441" s="2" t="s">
        <v>306</v>
      </c>
      <c r="L441" s="2" t="str">
        <f t="shared" si="36"/>
        <v>Loss Making</v>
      </c>
      <c r="M441" s="2" t="str">
        <f t="shared" si="37"/>
        <v>Stable Earnings</v>
      </c>
      <c r="N441" s="2" t="str">
        <f t="shared" si="38"/>
        <v>Moderate</v>
      </c>
      <c r="O441" s="4" t="str">
        <f t="shared" si="39"/>
        <v>Accounting Risk</v>
      </c>
      <c r="P441" s="4" t="str">
        <f t="shared" si="40"/>
        <v>Moderate</v>
      </c>
      <c r="Q441" s="4" t="str">
        <f t="shared" si="41"/>
        <v>Moderate Growth</v>
      </c>
    </row>
    <row r="442" spans="1:17" x14ac:dyDescent="0.35">
      <c r="A442" s="2" t="s">
        <v>453</v>
      </c>
      <c r="B442" s="2">
        <v>5</v>
      </c>
      <c r="C442" s="2">
        <v>-33223900.32</v>
      </c>
      <c r="D442" s="2">
        <v>0</v>
      </c>
      <c r="E442" s="2">
        <v>17227458.629999999</v>
      </c>
      <c r="F442" s="2">
        <v>21582363.5</v>
      </c>
      <c r="G442" s="2">
        <v>5</v>
      </c>
      <c r="H442" s="2">
        <v>2</v>
      </c>
      <c r="I442" s="2">
        <v>3</v>
      </c>
      <c r="J442" s="2">
        <v>3.7</v>
      </c>
      <c r="K442" s="2" t="s">
        <v>306</v>
      </c>
      <c r="L442" s="2" t="str">
        <f t="shared" si="36"/>
        <v>Loss Making</v>
      </c>
      <c r="M442" s="2" t="str">
        <f t="shared" si="37"/>
        <v>Stable Earnings</v>
      </c>
      <c r="N442" s="2" t="str">
        <f t="shared" si="38"/>
        <v>Moderate</v>
      </c>
      <c r="O442" s="4" t="str">
        <f t="shared" si="39"/>
        <v>Accounting Risk</v>
      </c>
      <c r="P442" s="4" t="str">
        <f t="shared" si="40"/>
        <v>Moderate</v>
      </c>
      <c r="Q442" s="4" t="str">
        <f t="shared" si="41"/>
        <v>Moderate Growth</v>
      </c>
    </row>
    <row r="443" spans="1:17" x14ac:dyDescent="0.35">
      <c r="A443" s="2" t="s">
        <v>454</v>
      </c>
      <c r="B443" s="2">
        <v>5</v>
      </c>
      <c r="C443" s="2">
        <v>-68729892.640000001</v>
      </c>
      <c r="D443" s="2">
        <v>0</v>
      </c>
      <c r="E443" s="2">
        <v>20682123.329999998</v>
      </c>
      <c r="F443" s="2">
        <v>22353319.699999999</v>
      </c>
      <c r="G443" s="2">
        <v>5</v>
      </c>
      <c r="H443" s="2">
        <v>2</v>
      </c>
      <c r="I443" s="2">
        <v>3</v>
      </c>
      <c r="J443" s="2">
        <v>3.7</v>
      </c>
      <c r="K443" s="2" t="s">
        <v>306</v>
      </c>
      <c r="L443" s="2" t="str">
        <f t="shared" si="36"/>
        <v>Loss Making</v>
      </c>
      <c r="M443" s="2" t="str">
        <f t="shared" si="37"/>
        <v>Stable Earnings</v>
      </c>
      <c r="N443" s="2" t="str">
        <f t="shared" si="38"/>
        <v>Moderate</v>
      </c>
      <c r="O443" s="4" t="str">
        <f t="shared" si="39"/>
        <v>Accounting Risk</v>
      </c>
      <c r="P443" s="4" t="str">
        <f t="shared" si="40"/>
        <v>Moderate</v>
      </c>
      <c r="Q443" s="4" t="str">
        <f t="shared" si="41"/>
        <v>Moderate Growth</v>
      </c>
    </row>
    <row r="444" spans="1:17" x14ac:dyDescent="0.35">
      <c r="A444" s="2" t="s">
        <v>455</v>
      </c>
      <c r="B444" s="2">
        <v>5</v>
      </c>
      <c r="C444" s="2">
        <v>-140878898.59999999</v>
      </c>
      <c r="D444" s="2">
        <v>0</v>
      </c>
      <c r="E444" s="2">
        <v>18377717.440000001</v>
      </c>
      <c r="F444" s="2">
        <v>19736476.399999999</v>
      </c>
      <c r="G444" s="2">
        <v>5</v>
      </c>
      <c r="H444" s="2">
        <v>2</v>
      </c>
      <c r="I444" s="2">
        <v>3</v>
      </c>
      <c r="J444" s="2">
        <v>3.7</v>
      </c>
      <c r="K444" s="2" t="s">
        <v>306</v>
      </c>
      <c r="L444" s="2" t="str">
        <f t="shared" si="36"/>
        <v>Loss Making</v>
      </c>
      <c r="M444" s="2" t="str">
        <f t="shared" si="37"/>
        <v>Stable Earnings</v>
      </c>
      <c r="N444" s="2" t="str">
        <f t="shared" si="38"/>
        <v>Moderate</v>
      </c>
      <c r="O444" s="4" t="str">
        <f t="shared" si="39"/>
        <v>Accounting Risk</v>
      </c>
      <c r="P444" s="4" t="str">
        <f t="shared" si="40"/>
        <v>Moderate</v>
      </c>
      <c r="Q444" s="4" t="str">
        <f t="shared" si="41"/>
        <v>Moderate Growth</v>
      </c>
    </row>
    <row r="445" spans="1:17" x14ac:dyDescent="0.35">
      <c r="A445" s="2" t="s">
        <v>456</v>
      </c>
      <c r="B445" s="2">
        <v>5</v>
      </c>
      <c r="C445" s="2">
        <v>-63078747</v>
      </c>
      <c r="D445" s="2">
        <v>0</v>
      </c>
      <c r="E445" s="2">
        <v>29231850.75</v>
      </c>
      <c r="F445" s="2">
        <v>25219551.600000001</v>
      </c>
      <c r="G445" s="2">
        <v>5</v>
      </c>
      <c r="H445" s="2">
        <v>2</v>
      </c>
      <c r="I445" s="2">
        <v>3</v>
      </c>
      <c r="J445" s="2">
        <v>3.7</v>
      </c>
      <c r="K445" s="2" t="s">
        <v>306</v>
      </c>
      <c r="L445" s="2" t="str">
        <f t="shared" si="36"/>
        <v>Loss Making</v>
      </c>
      <c r="M445" s="2" t="str">
        <f t="shared" si="37"/>
        <v>Stable Earnings</v>
      </c>
      <c r="N445" s="2" t="str">
        <f t="shared" si="38"/>
        <v>Moderate</v>
      </c>
      <c r="O445" s="4" t="str">
        <f t="shared" si="39"/>
        <v>Accounting Risk</v>
      </c>
      <c r="P445" s="4" t="str">
        <f t="shared" si="40"/>
        <v>Moderate</v>
      </c>
      <c r="Q445" s="4" t="str">
        <f t="shared" si="41"/>
        <v>Moderate Growth</v>
      </c>
    </row>
    <row r="446" spans="1:17" x14ac:dyDescent="0.35">
      <c r="A446" s="2" t="s">
        <v>457</v>
      </c>
      <c r="B446" s="2">
        <v>5</v>
      </c>
      <c r="C446" s="2">
        <v>-25843477.68</v>
      </c>
      <c r="D446" s="2">
        <v>0</v>
      </c>
      <c r="E446" s="2">
        <v>16840469.989999998</v>
      </c>
      <c r="F446" s="2">
        <v>25101697.399999999</v>
      </c>
      <c r="G446" s="2">
        <v>5</v>
      </c>
      <c r="H446" s="2">
        <v>2</v>
      </c>
      <c r="I446" s="2">
        <v>3</v>
      </c>
      <c r="J446" s="2">
        <v>3.7</v>
      </c>
      <c r="K446" s="2" t="s">
        <v>306</v>
      </c>
      <c r="L446" s="2" t="str">
        <f t="shared" si="36"/>
        <v>Loss Making</v>
      </c>
      <c r="M446" s="2" t="str">
        <f t="shared" si="37"/>
        <v>Stable Earnings</v>
      </c>
      <c r="N446" s="2" t="str">
        <f t="shared" si="38"/>
        <v>Moderate</v>
      </c>
      <c r="O446" s="4" t="str">
        <f t="shared" si="39"/>
        <v>Accounting Risk</v>
      </c>
      <c r="P446" s="4" t="str">
        <f t="shared" si="40"/>
        <v>Moderate</v>
      </c>
      <c r="Q446" s="4" t="str">
        <f t="shared" si="41"/>
        <v>Moderate Growth</v>
      </c>
    </row>
    <row r="447" spans="1:17" x14ac:dyDescent="0.35">
      <c r="A447" s="2" t="s">
        <v>458</v>
      </c>
      <c r="B447" s="2">
        <v>5</v>
      </c>
      <c r="C447" s="2">
        <v>-56136930.68</v>
      </c>
      <c r="D447" s="2">
        <v>0</v>
      </c>
      <c r="E447" s="2">
        <v>45152022.710000001</v>
      </c>
      <c r="F447" s="2">
        <v>24502853.399999999</v>
      </c>
      <c r="G447" s="2">
        <v>5</v>
      </c>
      <c r="H447" s="2">
        <v>2</v>
      </c>
      <c r="I447" s="2">
        <v>3</v>
      </c>
      <c r="J447" s="2">
        <v>3.7</v>
      </c>
      <c r="K447" s="2" t="s">
        <v>306</v>
      </c>
      <c r="L447" s="2" t="str">
        <f t="shared" si="36"/>
        <v>Loss Making</v>
      </c>
      <c r="M447" s="2" t="str">
        <f t="shared" si="37"/>
        <v>Stable Earnings</v>
      </c>
      <c r="N447" s="2" t="str">
        <f t="shared" si="38"/>
        <v>Moderate</v>
      </c>
      <c r="O447" s="4" t="str">
        <f t="shared" si="39"/>
        <v>Accounting Risk</v>
      </c>
      <c r="P447" s="4" t="str">
        <f t="shared" si="40"/>
        <v>Moderate</v>
      </c>
      <c r="Q447" s="4" t="str">
        <f t="shared" si="41"/>
        <v>Moderate Growth</v>
      </c>
    </row>
    <row r="448" spans="1:17" x14ac:dyDescent="0.35">
      <c r="A448" s="2" t="s">
        <v>459</v>
      </c>
      <c r="B448" s="2">
        <v>5</v>
      </c>
      <c r="C448" s="2">
        <v>-65392219.840000004</v>
      </c>
      <c r="D448" s="2">
        <v>0</v>
      </c>
      <c r="E448" s="2">
        <v>19406855.489999998</v>
      </c>
      <c r="F448" s="2">
        <v>23975130.600000001</v>
      </c>
      <c r="G448" s="2">
        <v>5</v>
      </c>
      <c r="H448" s="2">
        <v>2</v>
      </c>
      <c r="I448" s="2">
        <v>3</v>
      </c>
      <c r="J448" s="2">
        <v>3.7</v>
      </c>
      <c r="K448" s="2" t="s">
        <v>306</v>
      </c>
      <c r="L448" s="2" t="str">
        <f t="shared" si="36"/>
        <v>Loss Making</v>
      </c>
      <c r="M448" s="2" t="str">
        <f t="shared" si="37"/>
        <v>Stable Earnings</v>
      </c>
      <c r="N448" s="2" t="str">
        <f t="shared" si="38"/>
        <v>Moderate</v>
      </c>
      <c r="O448" s="4" t="str">
        <f t="shared" si="39"/>
        <v>Accounting Risk</v>
      </c>
      <c r="P448" s="4" t="str">
        <f t="shared" si="40"/>
        <v>Moderate</v>
      </c>
      <c r="Q448" s="4" t="str">
        <f t="shared" si="41"/>
        <v>Moderate Growth</v>
      </c>
    </row>
    <row r="449" spans="1:17" x14ac:dyDescent="0.35">
      <c r="A449" s="2" t="s">
        <v>460</v>
      </c>
      <c r="B449" s="2">
        <v>5</v>
      </c>
      <c r="C449" s="2">
        <v>-334251072.30000001</v>
      </c>
      <c r="D449" s="2">
        <v>0.4</v>
      </c>
      <c r="E449" s="2">
        <v>1423898973</v>
      </c>
      <c r="F449" s="2">
        <v>290112043.69999999</v>
      </c>
      <c r="G449" s="2">
        <v>4</v>
      </c>
      <c r="H449" s="2">
        <v>5</v>
      </c>
      <c r="I449" s="2">
        <v>1</v>
      </c>
      <c r="J449" s="2">
        <v>3.7</v>
      </c>
      <c r="K449" s="2" t="s">
        <v>306</v>
      </c>
      <c r="L449" s="2" t="str">
        <f t="shared" si="36"/>
        <v>Loss Making</v>
      </c>
      <c r="M449" s="2" t="str">
        <f t="shared" si="37"/>
        <v>Stable Earnings</v>
      </c>
      <c r="N449" s="2" t="str">
        <f t="shared" si="38"/>
        <v>Moderate</v>
      </c>
      <c r="O449" s="4" t="str">
        <f t="shared" si="39"/>
        <v>Accounting Risk</v>
      </c>
      <c r="P449" s="4" t="str">
        <f t="shared" si="40"/>
        <v>Moderate</v>
      </c>
      <c r="Q449" s="4" t="str">
        <f t="shared" si="41"/>
        <v>Weak Growth</v>
      </c>
    </row>
    <row r="450" spans="1:17" x14ac:dyDescent="0.35">
      <c r="A450" s="2" t="s">
        <v>461</v>
      </c>
      <c r="B450" s="2">
        <v>5</v>
      </c>
      <c r="C450" s="2">
        <v>-1496458121</v>
      </c>
      <c r="D450" s="2">
        <v>0.2</v>
      </c>
      <c r="E450" s="2">
        <v>1683537495</v>
      </c>
      <c r="F450" s="2">
        <v>440764546.30000001</v>
      </c>
      <c r="G450" s="2">
        <v>4</v>
      </c>
      <c r="H450" s="2">
        <v>5</v>
      </c>
      <c r="I450" s="2">
        <v>1</v>
      </c>
      <c r="J450" s="2">
        <v>3.7</v>
      </c>
      <c r="K450" s="2" t="s">
        <v>306</v>
      </c>
      <c r="L450" s="2" t="str">
        <f t="shared" ref="L450:L513" si="42">IF(C450&gt;0,"Profitable","Loss Making")</f>
        <v>Loss Making</v>
      </c>
      <c r="M450" s="2" t="str">
        <f t="shared" ref="M450:M513" si="43">IF(C450&gt;500000000,"High Volatility","Stable Earnings")</f>
        <v>Stable Earnings</v>
      </c>
      <c r="N450" s="2" t="str">
        <f t="shared" ref="N450:N513" si="44">IF(G450&gt;=7,"High Quality",IF(G450&gt;=4,"Moderate","Low Quality"))</f>
        <v>Moderate</v>
      </c>
      <c r="O450" s="4" t="str">
        <f t="shared" ref="O450:O513" si="45">IF(AND(F450&gt;0,D450&gt;0.6),"Operational Growth","Accounting Risk")</f>
        <v>Accounting Risk</v>
      </c>
      <c r="P450" s="4" t="str">
        <f t="shared" ref="P450:P513" si="46">IF(G450&gt;=7,"High Quality", IF(G450&gt;=4,"Moderate","Low Quality"))</f>
        <v>Moderate</v>
      </c>
      <c r="Q450" s="4" t="str">
        <f t="shared" ref="Q450:Q513" si="47">IF(I450&gt;=4,"Strong Long-Term Growth",IF(I450&gt;=2,"Moderate Growth","Weak Growth"))</f>
        <v>Weak Growth</v>
      </c>
    </row>
    <row r="451" spans="1:17" x14ac:dyDescent="0.35">
      <c r="A451" s="2" t="s">
        <v>462</v>
      </c>
      <c r="B451" s="2">
        <v>5</v>
      </c>
      <c r="C451" s="2">
        <v>-327611482.39999998</v>
      </c>
      <c r="D451" s="2">
        <v>0.2</v>
      </c>
      <c r="E451" s="2">
        <v>576467479.20000005</v>
      </c>
      <c r="F451" s="2">
        <v>419713261.69999999</v>
      </c>
      <c r="G451" s="2">
        <v>4</v>
      </c>
      <c r="H451" s="2">
        <v>5</v>
      </c>
      <c r="I451" s="2">
        <v>1</v>
      </c>
      <c r="J451" s="2">
        <v>3.7</v>
      </c>
      <c r="K451" s="2" t="s">
        <v>306</v>
      </c>
      <c r="L451" s="2" t="str">
        <f t="shared" si="42"/>
        <v>Loss Making</v>
      </c>
      <c r="M451" s="2" t="str">
        <f t="shared" si="43"/>
        <v>Stable Earnings</v>
      </c>
      <c r="N451" s="2" t="str">
        <f t="shared" si="44"/>
        <v>Moderate</v>
      </c>
      <c r="O451" s="4" t="str">
        <f t="shared" si="45"/>
        <v>Accounting Risk</v>
      </c>
      <c r="P451" s="4" t="str">
        <f t="shared" si="46"/>
        <v>Moderate</v>
      </c>
      <c r="Q451" s="4" t="str">
        <f t="shared" si="47"/>
        <v>Weak Growth</v>
      </c>
    </row>
    <row r="452" spans="1:17" x14ac:dyDescent="0.35">
      <c r="A452" s="2" t="s">
        <v>463</v>
      </c>
      <c r="B452" s="2">
        <v>5</v>
      </c>
      <c r="C452" s="2">
        <v>-315109849.80000001</v>
      </c>
      <c r="D452" s="2">
        <v>0.4</v>
      </c>
      <c r="E452" s="2">
        <v>754119454.20000005</v>
      </c>
      <c r="F452" s="2">
        <v>400368790.5</v>
      </c>
      <c r="G452" s="2">
        <v>4</v>
      </c>
      <c r="H452" s="2">
        <v>5</v>
      </c>
      <c r="I452" s="2">
        <v>1</v>
      </c>
      <c r="J452" s="2">
        <v>3.7</v>
      </c>
      <c r="K452" s="2" t="s">
        <v>306</v>
      </c>
      <c r="L452" s="2" t="str">
        <f t="shared" si="42"/>
        <v>Loss Making</v>
      </c>
      <c r="M452" s="2" t="str">
        <f t="shared" si="43"/>
        <v>Stable Earnings</v>
      </c>
      <c r="N452" s="2" t="str">
        <f t="shared" si="44"/>
        <v>Moderate</v>
      </c>
      <c r="O452" s="4" t="str">
        <f t="shared" si="45"/>
        <v>Accounting Risk</v>
      </c>
      <c r="P452" s="4" t="str">
        <f t="shared" si="46"/>
        <v>Moderate</v>
      </c>
      <c r="Q452" s="4" t="str">
        <f t="shared" si="47"/>
        <v>Weak Growth</v>
      </c>
    </row>
    <row r="453" spans="1:17" x14ac:dyDescent="0.35">
      <c r="A453" s="2" t="s">
        <v>464</v>
      </c>
      <c r="B453" s="2">
        <v>5</v>
      </c>
      <c r="C453" s="2">
        <v>-143017628.5</v>
      </c>
      <c r="D453" s="2">
        <v>0.2</v>
      </c>
      <c r="E453" s="2">
        <v>353977630</v>
      </c>
      <c r="F453" s="2">
        <v>504811323.89999998</v>
      </c>
      <c r="G453" s="2">
        <v>4</v>
      </c>
      <c r="H453" s="2">
        <v>5</v>
      </c>
      <c r="I453" s="2">
        <v>1</v>
      </c>
      <c r="J453" s="2">
        <v>3.7</v>
      </c>
      <c r="K453" s="2" t="s">
        <v>306</v>
      </c>
      <c r="L453" s="2" t="str">
        <f t="shared" si="42"/>
        <v>Loss Making</v>
      </c>
      <c r="M453" s="2" t="str">
        <f t="shared" si="43"/>
        <v>Stable Earnings</v>
      </c>
      <c r="N453" s="2" t="str">
        <f t="shared" si="44"/>
        <v>Moderate</v>
      </c>
      <c r="O453" s="4" t="str">
        <f t="shared" si="45"/>
        <v>Accounting Risk</v>
      </c>
      <c r="P453" s="4" t="str">
        <f t="shared" si="46"/>
        <v>Moderate</v>
      </c>
      <c r="Q453" s="4" t="str">
        <f t="shared" si="47"/>
        <v>Weak Growth</v>
      </c>
    </row>
    <row r="454" spans="1:17" x14ac:dyDescent="0.35">
      <c r="A454" s="2" t="s">
        <v>465</v>
      </c>
      <c r="B454" s="2">
        <v>5</v>
      </c>
      <c r="C454" s="2">
        <v>-85392739.780000001</v>
      </c>
      <c r="D454" s="2">
        <v>0.4</v>
      </c>
      <c r="E454" s="2">
        <v>363760901.60000002</v>
      </c>
      <c r="F454" s="2">
        <v>473721657.30000001</v>
      </c>
      <c r="G454" s="2">
        <v>4</v>
      </c>
      <c r="H454" s="2">
        <v>5</v>
      </c>
      <c r="I454" s="2">
        <v>1</v>
      </c>
      <c r="J454" s="2">
        <v>3.7</v>
      </c>
      <c r="K454" s="2" t="s">
        <v>306</v>
      </c>
      <c r="L454" s="2" t="str">
        <f t="shared" si="42"/>
        <v>Loss Making</v>
      </c>
      <c r="M454" s="2" t="str">
        <f t="shared" si="43"/>
        <v>Stable Earnings</v>
      </c>
      <c r="N454" s="2" t="str">
        <f t="shared" si="44"/>
        <v>Moderate</v>
      </c>
      <c r="O454" s="4" t="str">
        <f t="shared" si="45"/>
        <v>Accounting Risk</v>
      </c>
      <c r="P454" s="4" t="str">
        <f t="shared" si="46"/>
        <v>Moderate</v>
      </c>
      <c r="Q454" s="4" t="str">
        <f t="shared" si="47"/>
        <v>Weak Growth</v>
      </c>
    </row>
    <row r="455" spans="1:17" x14ac:dyDescent="0.35">
      <c r="A455" s="2" t="s">
        <v>466</v>
      </c>
      <c r="B455" s="2">
        <v>5</v>
      </c>
      <c r="C455" s="2">
        <v>-120727894.2</v>
      </c>
      <c r="D455" s="2">
        <v>0.4</v>
      </c>
      <c r="E455" s="2">
        <v>2062817617</v>
      </c>
      <c r="F455" s="2">
        <v>580325197</v>
      </c>
      <c r="G455" s="2">
        <v>4</v>
      </c>
      <c r="H455" s="2">
        <v>5</v>
      </c>
      <c r="I455" s="2">
        <v>1</v>
      </c>
      <c r="J455" s="2">
        <v>3.7</v>
      </c>
      <c r="K455" s="2" t="s">
        <v>306</v>
      </c>
      <c r="L455" s="2" t="str">
        <f t="shared" si="42"/>
        <v>Loss Making</v>
      </c>
      <c r="M455" s="2" t="str">
        <f t="shared" si="43"/>
        <v>Stable Earnings</v>
      </c>
      <c r="N455" s="2" t="str">
        <f t="shared" si="44"/>
        <v>Moderate</v>
      </c>
      <c r="O455" s="4" t="str">
        <f t="shared" si="45"/>
        <v>Accounting Risk</v>
      </c>
      <c r="P455" s="4" t="str">
        <f t="shared" si="46"/>
        <v>Moderate</v>
      </c>
      <c r="Q455" s="4" t="str">
        <f t="shared" si="47"/>
        <v>Weak Growth</v>
      </c>
    </row>
    <row r="456" spans="1:17" x14ac:dyDescent="0.35">
      <c r="A456" s="2" t="s">
        <v>467</v>
      </c>
      <c r="B456" s="2">
        <v>5</v>
      </c>
      <c r="C456" s="2">
        <v>72270171.379999995</v>
      </c>
      <c r="D456" s="2">
        <v>0.4</v>
      </c>
      <c r="E456" s="2">
        <v>1159088448</v>
      </c>
      <c r="F456" s="2">
        <v>557275094.70000005</v>
      </c>
      <c r="G456" s="2">
        <v>4</v>
      </c>
      <c r="H456" s="2">
        <v>5</v>
      </c>
      <c r="I456" s="2">
        <v>1</v>
      </c>
      <c r="J456" s="2">
        <v>3.7</v>
      </c>
      <c r="K456" s="2" t="s">
        <v>306</v>
      </c>
      <c r="L456" s="2" t="str">
        <f t="shared" si="42"/>
        <v>Profitable</v>
      </c>
      <c r="M456" s="2" t="str">
        <f t="shared" si="43"/>
        <v>Stable Earnings</v>
      </c>
      <c r="N456" s="2" t="str">
        <f t="shared" si="44"/>
        <v>Moderate</v>
      </c>
      <c r="O456" s="4" t="str">
        <f t="shared" si="45"/>
        <v>Accounting Risk</v>
      </c>
      <c r="P456" s="4" t="str">
        <f t="shared" si="46"/>
        <v>Moderate</v>
      </c>
      <c r="Q456" s="4" t="str">
        <f t="shared" si="47"/>
        <v>Weak Growth</v>
      </c>
    </row>
    <row r="457" spans="1:17" x14ac:dyDescent="0.35">
      <c r="A457" s="2" t="s">
        <v>468</v>
      </c>
      <c r="B457" s="2">
        <v>5</v>
      </c>
      <c r="C457" s="2">
        <v>-326165436.39999998</v>
      </c>
      <c r="D457" s="2">
        <v>0.2</v>
      </c>
      <c r="E457" s="2">
        <v>770100630.20000005</v>
      </c>
      <c r="F457" s="2">
        <v>552291778</v>
      </c>
      <c r="G457" s="2">
        <v>4</v>
      </c>
      <c r="H457" s="2">
        <v>5</v>
      </c>
      <c r="I457" s="2">
        <v>1</v>
      </c>
      <c r="J457" s="2">
        <v>3.7</v>
      </c>
      <c r="K457" s="2" t="s">
        <v>306</v>
      </c>
      <c r="L457" s="2" t="str">
        <f t="shared" si="42"/>
        <v>Loss Making</v>
      </c>
      <c r="M457" s="2" t="str">
        <f t="shared" si="43"/>
        <v>Stable Earnings</v>
      </c>
      <c r="N457" s="2" t="str">
        <f t="shared" si="44"/>
        <v>Moderate</v>
      </c>
      <c r="O457" s="4" t="str">
        <f t="shared" si="45"/>
        <v>Accounting Risk</v>
      </c>
      <c r="P457" s="4" t="str">
        <f t="shared" si="46"/>
        <v>Moderate</v>
      </c>
      <c r="Q457" s="4" t="str">
        <f t="shared" si="47"/>
        <v>Weak Growth</v>
      </c>
    </row>
    <row r="458" spans="1:17" x14ac:dyDescent="0.35">
      <c r="A458" s="2" t="s">
        <v>469</v>
      </c>
      <c r="B458" s="2">
        <v>5</v>
      </c>
      <c r="C458" s="2">
        <v>-550222693.10000002</v>
      </c>
      <c r="D458" s="2">
        <v>0.4</v>
      </c>
      <c r="E458" s="2">
        <v>976812146.79999995</v>
      </c>
      <c r="F458" s="2">
        <v>699365579.60000002</v>
      </c>
      <c r="G458" s="2">
        <v>4</v>
      </c>
      <c r="H458" s="2">
        <v>5</v>
      </c>
      <c r="I458" s="2">
        <v>1</v>
      </c>
      <c r="J458" s="2">
        <v>3.7</v>
      </c>
      <c r="K458" s="2" t="s">
        <v>306</v>
      </c>
      <c r="L458" s="2" t="str">
        <f t="shared" si="42"/>
        <v>Loss Making</v>
      </c>
      <c r="M458" s="2" t="str">
        <f t="shared" si="43"/>
        <v>Stable Earnings</v>
      </c>
      <c r="N458" s="2" t="str">
        <f t="shared" si="44"/>
        <v>Moderate</v>
      </c>
      <c r="O458" s="4" t="str">
        <f t="shared" si="45"/>
        <v>Accounting Risk</v>
      </c>
      <c r="P458" s="4" t="str">
        <f t="shared" si="46"/>
        <v>Moderate</v>
      </c>
      <c r="Q458" s="4" t="str">
        <f t="shared" si="47"/>
        <v>Weak Growth</v>
      </c>
    </row>
    <row r="459" spans="1:17" x14ac:dyDescent="0.35">
      <c r="A459" s="2" t="s">
        <v>470</v>
      </c>
      <c r="B459" s="2">
        <v>5</v>
      </c>
      <c r="C459" s="2">
        <v>-488205181.80000001</v>
      </c>
      <c r="D459" s="2">
        <v>0.2</v>
      </c>
      <c r="E459" s="2">
        <v>510370421.39999998</v>
      </c>
      <c r="F459" s="2">
        <v>773033494.79999995</v>
      </c>
      <c r="G459" s="2">
        <v>4</v>
      </c>
      <c r="H459" s="2">
        <v>5</v>
      </c>
      <c r="I459" s="2">
        <v>1</v>
      </c>
      <c r="J459" s="2">
        <v>3.7</v>
      </c>
      <c r="K459" s="2" t="s">
        <v>306</v>
      </c>
      <c r="L459" s="2" t="str">
        <f t="shared" si="42"/>
        <v>Loss Making</v>
      </c>
      <c r="M459" s="2" t="str">
        <f t="shared" si="43"/>
        <v>Stable Earnings</v>
      </c>
      <c r="N459" s="2" t="str">
        <f t="shared" si="44"/>
        <v>Moderate</v>
      </c>
      <c r="O459" s="4" t="str">
        <f t="shared" si="45"/>
        <v>Accounting Risk</v>
      </c>
      <c r="P459" s="4" t="str">
        <f t="shared" si="46"/>
        <v>Moderate</v>
      </c>
      <c r="Q459" s="4" t="str">
        <f t="shared" si="47"/>
        <v>Weak Growth</v>
      </c>
    </row>
    <row r="460" spans="1:17" x14ac:dyDescent="0.35">
      <c r="A460" s="2" t="s">
        <v>471</v>
      </c>
      <c r="B460" s="2">
        <v>5</v>
      </c>
      <c r="C460" s="2">
        <v>20450960.780000001</v>
      </c>
      <c r="D460" s="2">
        <v>0.4</v>
      </c>
      <c r="E460" s="2">
        <v>675016173.29999995</v>
      </c>
      <c r="F460" s="2">
        <v>718424795.5</v>
      </c>
      <c r="G460" s="2">
        <v>4</v>
      </c>
      <c r="H460" s="2">
        <v>5</v>
      </c>
      <c r="I460" s="2">
        <v>1</v>
      </c>
      <c r="J460" s="2">
        <v>3.7</v>
      </c>
      <c r="K460" s="2" t="s">
        <v>306</v>
      </c>
      <c r="L460" s="2" t="str">
        <f t="shared" si="42"/>
        <v>Profitable</v>
      </c>
      <c r="M460" s="2" t="str">
        <f t="shared" si="43"/>
        <v>Stable Earnings</v>
      </c>
      <c r="N460" s="2" t="str">
        <f t="shared" si="44"/>
        <v>Moderate</v>
      </c>
      <c r="O460" s="4" t="str">
        <f t="shared" si="45"/>
        <v>Accounting Risk</v>
      </c>
      <c r="P460" s="4" t="str">
        <f t="shared" si="46"/>
        <v>Moderate</v>
      </c>
      <c r="Q460" s="4" t="str">
        <f t="shared" si="47"/>
        <v>Weak Growth</v>
      </c>
    </row>
    <row r="461" spans="1:17" x14ac:dyDescent="0.35">
      <c r="A461" s="2" t="s">
        <v>472</v>
      </c>
      <c r="B461" s="2">
        <v>5</v>
      </c>
      <c r="C461" s="2">
        <v>-298322715.39999998</v>
      </c>
      <c r="D461" s="2">
        <v>0.4</v>
      </c>
      <c r="E461" s="2">
        <v>475946162.80000001</v>
      </c>
      <c r="F461" s="2">
        <v>682890788.79999995</v>
      </c>
      <c r="G461" s="2">
        <v>4</v>
      </c>
      <c r="H461" s="2">
        <v>5</v>
      </c>
      <c r="I461" s="2">
        <v>1</v>
      </c>
      <c r="J461" s="2">
        <v>3.7</v>
      </c>
      <c r="K461" s="2" t="s">
        <v>306</v>
      </c>
      <c r="L461" s="2" t="str">
        <f t="shared" si="42"/>
        <v>Loss Making</v>
      </c>
      <c r="M461" s="2" t="str">
        <f t="shared" si="43"/>
        <v>Stable Earnings</v>
      </c>
      <c r="N461" s="2" t="str">
        <f t="shared" si="44"/>
        <v>Moderate</v>
      </c>
      <c r="O461" s="4" t="str">
        <f t="shared" si="45"/>
        <v>Accounting Risk</v>
      </c>
      <c r="P461" s="4" t="str">
        <f t="shared" si="46"/>
        <v>Moderate</v>
      </c>
      <c r="Q461" s="4" t="str">
        <f t="shared" si="47"/>
        <v>Weak Growth</v>
      </c>
    </row>
    <row r="462" spans="1:17" x14ac:dyDescent="0.35">
      <c r="A462" s="2" t="s">
        <v>473</v>
      </c>
      <c r="B462" s="2">
        <v>5</v>
      </c>
      <c r="C462" s="2">
        <v>-200708225.69999999</v>
      </c>
      <c r="D462" s="2">
        <v>0.4</v>
      </c>
      <c r="E462" s="2">
        <v>766124655.39999998</v>
      </c>
      <c r="F462" s="2">
        <v>655802129.89999998</v>
      </c>
      <c r="G462" s="2">
        <v>4</v>
      </c>
      <c r="H462" s="2">
        <v>5</v>
      </c>
      <c r="I462" s="2">
        <v>1</v>
      </c>
      <c r="J462" s="2">
        <v>3.7</v>
      </c>
      <c r="K462" s="2" t="s">
        <v>306</v>
      </c>
      <c r="L462" s="2" t="str">
        <f t="shared" si="42"/>
        <v>Loss Making</v>
      </c>
      <c r="M462" s="2" t="str">
        <f t="shared" si="43"/>
        <v>Stable Earnings</v>
      </c>
      <c r="N462" s="2" t="str">
        <f t="shared" si="44"/>
        <v>Moderate</v>
      </c>
      <c r="O462" s="4" t="str">
        <f t="shared" si="45"/>
        <v>Accounting Risk</v>
      </c>
      <c r="P462" s="4" t="str">
        <f t="shared" si="46"/>
        <v>Moderate</v>
      </c>
      <c r="Q462" s="4" t="str">
        <f t="shared" si="47"/>
        <v>Weak Growth</v>
      </c>
    </row>
    <row r="463" spans="1:17" x14ac:dyDescent="0.35">
      <c r="A463" s="2" t="s">
        <v>474</v>
      </c>
      <c r="B463" s="2">
        <v>5</v>
      </c>
      <c r="C463" s="2">
        <v>-210049792</v>
      </c>
      <c r="D463" s="2">
        <v>0.4</v>
      </c>
      <c r="E463" s="2">
        <v>469224875.30000001</v>
      </c>
      <c r="F463" s="2">
        <v>1049560460</v>
      </c>
      <c r="G463" s="2">
        <v>4</v>
      </c>
      <c r="H463" s="2">
        <v>5</v>
      </c>
      <c r="I463" s="2">
        <v>1</v>
      </c>
      <c r="J463" s="2">
        <v>3.7</v>
      </c>
      <c r="K463" s="2" t="s">
        <v>306</v>
      </c>
      <c r="L463" s="2" t="str">
        <f t="shared" si="42"/>
        <v>Loss Making</v>
      </c>
      <c r="M463" s="2" t="str">
        <f t="shared" si="43"/>
        <v>Stable Earnings</v>
      </c>
      <c r="N463" s="2" t="str">
        <f t="shared" si="44"/>
        <v>Moderate</v>
      </c>
      <c r="O463" s="4" t="str">
        <f t="shared" si="45"/>
        <v>Accounting Risk</v>
      </c>
      <c r="P463" s="4" t="str">
        <f t="shared" si="46"/>
        <v>Moderate</v>
      </c>
      <c r="Q463" s="4" t="str">
        <f t="shared" si="47"/>
        <v>Weak Growth</v>
      </c>
    </row>
    <row r="464" spans="1:17" x14ac:dyDescent="0.35">
      <c r="A464" s="2" t="s">
        <v>475</v>
      </c>
      <c r="B464" s="2">
        <v>5</v>
      </c>
      <c r="C464" s="2">
        <v>-165502759.30000001</v>
      </c>
      <c r="D464" s="2">
        <v>0.4</v>
      </c>
      <c r="E464" s="2">
        <v>462386092</v>
      </c>
      <c r="F464" s="2">
        <v>925678455.10000002</v>
      </c>
      <c r="G464" s="2">
        <v>4</v>
      </c>
      <c r="H464" s="2">
        <v>5</v>
      </c>
      <c r="I464" s="2">
        <v>1</v>
      </c>
      <c r="J464" s="2">
        <v>3.7</v>
      </c>
      <c r="K464" s="2" t="s">
        <v>306</v>
      </c>
      <c r="L464" s="2" t="str">
        <f t="shared" si="42"/>
        <v>Loss Making</v>
      </c>
      <c r="M464" s="2" t="str">
        <f t="shared" si="43"/>
        <v>Stable Earnings</v>
      </c>
      <c r="N464" s="2" t="str">
        <f t="shared" si="44"/>
        <v>Moderate</v>
      </c>
      <c r="O464" s="4" t="str">
        <f t="shared" si="45"/>
        <v>Accounting Risk</v>
      </c>
      <c r="P464" s="4" t="str">
        <f t="shared" si="46"/>
        <v>Moderate</v>
      </c>
      <c r="Q464" s="4" t="str">
        <f t="shared" si="47"/>
        <v>Weak Growth</v>
      </c>
    </row>
    <row r="465" spans="1:17" x14ac:dyDescent="0.35">
      <c r="A465" s="2" t="s">
        <v>476</v>
      </c>
      <c r="B465" s="2">
        <v>5</v>
      </c>
      <c r="C465" s="2">
        <v>-262394077.09999999</v>
      </c>
      <c r="D465" s="2">
        <v>0.2</v>
      </c>
      <c r="E465" s="2">
        <v>648810452.5</v>
      </c>
      <c r="F465" s="2">
        <v>1341226360</v>
      </c>
      <c r="G465" s="2">
        <v>4</v>
      </c>
      <c r="H465" s="2">
        <v>5</v>
      </c>
      <c r="I465" s="2">
        <v>1</v>
      </c>
      <c r="J465" s="2">
        <v>3.7</v>
      </c>
      <c r="K465" s="2" t="s">
        <v>306</v>
      </c>
      <c r="L465" s="2" t="str">
        <f t="shared" si="42"/>
        <v>Loss Making</v>
      </c>
      <c r="M465" s="2" t="str">
        <f t="shared" si="43"/>
        <v>Stable Earnings</v>
      </c>
      <c r="N465" s="2" t="str">
        <f t="shared" si="44"/>
        <v>Moderate</v>
      </c>
      <c r="O465" s="4" t="str">
        <f t="shared" si="45"/>
        <v>Accounting Risk</v>
      </c>
      <c r="P465" s="4" t="str">
        <f t="shared" si="46"/>
        <v>Moderate</v>
      </c>
      <c r="Q465" s="4" t="str">
        <f t="shared" si="47"/>
        <v>Weak Growth</v>
      </c>
    </row>
    <row r="466" spans="1:17" x14ac:dyDescent="0.35">
      <c r="A466" s="2" t="s">
        <v>477</v>
      </c>
      <c r="B466" s="2">
        <v>5</v>
      </c>
      <c r="C466" s="2">
        <v>111379003.09999999</v>
      </c>
      <c r="D466" s="2">
        <v>0.2</v>
      </c>
      <c r="E466" s="2">
        <v>943531801.89999998</v>
      </c>
      <c r="F466" s="2">
        <v>1846860555</v>
      </c>
      <c r="G466" s="2">
        <v>4</v>
      </c>
      <c r="H466" s="2">
        <v>5</v>
      </c>
      <c r="I466" s="2">
        <v>1</v>
      </c>
      <c r="J466" s="2">
        <v>3.7</v>
      </c>
      <c r="K466" s="2" t="s">
        <v>306</v>
      </c>
      <c r="L466" s="2" t="str">
        <f t="shared" si="42"/>
        <v>Profitable</v>
      </c>
      <c r="M466" s="2" t="str">
        <f t="shared" si="43"/>
        <v>Stable Earnings</v>
      </c>
      <c r="N466" s="2" t="str">
        <f t="shared" si="44"/>
        <v>Moderate</v>
      </c>
      <c r="O466" s="4" t="str">
        <f t="shared" si="45"/>
        <v>Accounting Risk</v>
      </c>
      <c r="P466" s="4" t="str">
        <f t="shared" si="46"/>
        <v>Moderate</v>
      </c>
      <c r="Q466" s="4" t="str">
        <f t="shared" si="47"/>
        <v>Weak Growth</v>
      </c>
    </row>
    <row r="467" spans="1:17" x14ac:dyDescent="0.35">
      <c r="A467" s="2" t="s">
        <v>478</v>
      </c>
      <c r="B467" s="2">
        <v>5</v>
      </c>
      <c r="C467" s="2">
        <v>-1734119347</v>
      </c>
      <c r="D467" s="2">
        <v>0.4</v>
      </c>
      <c r="E467" s="2">
        <v>4701744237</v>
      </c>
      <c r="F467" s="2">
        <v>1820479011</v>
      </c>
      <c r="G467" s="2">
        <v>4</v>
      </c>
      <c r="H467" s="2">
        <v>5</v>
      </c>
      <c r="I467" s="2">
        <v>1</v>
      </c>
      <c r="J467" s="2">
        <v>3.7</v>
      </c>
      <c r="K467" s="2" t="s">
        <v>306</v>
      </c>
      <c r="L467" s="2" t="str">
        <f t="shared" si="42"/>
        <v>Loss Making</v>
      </c>
      <c r="M467" s="2" t="str">
        <f t="shared" si="43"/>
        <v>Stable Earnings</v>
      </c>
      <c r="N467" s="2" t="str">
        <f t="shared" si="44"/>
        <v>Moderate</v>
      </c>
      <c r="O467" s="4" t="str">
        <f t="shared" si="45"/>
        <v>Accounting Risk</v>
      </c>
      <c r="P467" s="4" t="str">
        <f t="shared" si="46"/>
        <v>Moderate</v>
      </c>
      <c r="Q467" s="4" t="str">
        <f t="shared" si="47"/>
        <v>Weak Growth</v>
      </c>
    </row>
    <row r="468" spans="1:17" x14ac:dyDescent="0.35">
      <c r="A468" s="2" t="s">
        <v>479</v>
      </c>
      <c r="B468" s="2">
        <v>5</v>
      </c>
      <c r="C468" s="2">
        <v>-411783440.69999999</v>
      </c>
      <c r="D468" s="2">
        <v>0.4</v>
      </c>
      <c r="E468" s="2">
        <v>657211327.29999995</v>
      </c>
      <c r="F468" s="2">
        <v>1608270415</v>
      </c>
      <c r="G468" s="2">
        <v>4</v>
      </c>
      <c r="H468" s="2">
        <v>5</v>
      </c>
      <c r="I468" s="2">
        <v>1</v>
      </c>
      <c r="J468" s="2">
        <v>3.7</v>
      </c>
      <c r="K468" s="2" t="s">
        <v>306</v>
      </c>
      <c r="L468" s="2" t="str">
        <f t="shared" si="42"/>
        <v>Loss Making</v>
      </c>
      <c r="M468" s="2" t="str">
        <f t="shared" si="43"/>
        <v>Stable Earnings</v>
      </c>
      <c r="N468" s="2" t="str">
        <f t="shared" si="44"/>
        <v>Moderate</v>
      </c>
      <c r="O468" s="4" t="str">
        <f t="shared" si="45"/>
        <v>Accounting Risk</v>
      </c>
      <c r="P468" s="4" t="str">
        <f t="shared" si="46"/>
        <v>Moderate</v>
      </c>
      <c r="Q468" s="4" t="str">
        <f t="shared" si="47"/>
        <v>Weak Growth</v>
      </c>
    </row>
    <row r="469" spans="1:17" x14ac:dyDescent="0.35">
      <c r="A469" s="2" t="s">
        <v>480</v>
      </c>
      <c r="B469" s="2">
        <v>5</v>
      </c>
      <c r="C469" s="2">
        <v>277920330.39999998</v>
      </c>
      <c r="D469" s="2">
        <v>0.2</v>
      </c>
      <c r="E469" s="2">
        <v>38181108369</v>
      </c>
      <c r="F469" s="2">
        <v>16334075042</v>
      </c>
      <c r="G469" s="2">
        <v>4</v>
      </c>
      <c r="H469" s="2">
        <v>5</v>
      </c>
      <c r="I469" s="2">
        <v>1</v>
      </c>
      <c r="J469" s="2">
        <v>3.7</v>
      </c>
      <c r="K469" s="2" t="s">
        <v>306</v>
      </c>
      <c r="L469" s="2" t="str">
        <f t="shared" si="42"/>
        <v>Profitable</v>
      </c>
      <c r="M469" s="2" t="str">
        <f t="shared" si="43"/>
        <v>Stable Earnings</v>
      </c>
      <c r="N469" s="2" t="str">
        <f t="shared" si="44"/>
        <v>Moderate</v>
      </c>
      <c r="O469" s="4" t="str">
        <f t="shared" si="45"/>
        <v>Accounting Risk</v>
      </c>
      <c r="P469" s="4" t="str">
        <f t="shared" si="46"/>
        <v>Moderate</v>
      </c>
      <c r="Q469" s="4" t="str">
        <f t="shared" si="47"/>
        <v>Weak Growth</v>
      </c>
    </row>
    <row r="470" spans="1:17" x14ac:dyDescent="0.35">
      <c r="A470" s="2" t="s">
        <v>481</v>
      </c>
      <c r="B470" s="2">
        <v>5</v>
      </c>
      <c r="C470" s="2">
        <v>-1041693007</v>
      </c>
      <c r="D470" s="2">
        <v>0.4</v>
      </c>
      <c r="E470" s="2">
        <v>4126587343</v>
      </c>
      <c r="F470" s="2">
        <v>10275492094</v>
      </c>
      <c r="G470" s="2">
        <v>4</v>
      </c>
      <c r="H470" s="2">
        <v>5</v>
      </c>
      <c r="I470" s="2">
        <v>1</v>
      </c>
      <c r="J470" s="2">
        <v>3.7</v>
      </c>
      <c r="K470" s="2" t="s">
        <v>306</v>
      </c>
      <c r="L470" s="2" t="str">
        <f t="shared" si="42"/>
        <v>Loss Making</v>
      </c>
      <c r="M470" s="2" t="str">
        <f t="shared" si="43"/>
        <v>Stable Earnings</v>
      </c>
      <c r="N470" s="2" t="str">
        <f t="shared" si="44"/>
        <v>Moderate</v>
      </c>
      <c r="O470" s="4" t="str">
        <f t="shared" si="45"/>
        <v>Accounting Risk</v>
      </c>
      <c r="P470" s="4" t="str">
        <f t="shared" si="46"/>
        <v>Moderate</v>
      </c>
      <c r="Q470" s="4" t="str">
        <f t="shared" si="47"/>
        <v>Weak Growth</v>
      </c>
    </row>
    <row r="471" spans="1:17" x14ac:dyDescent="0.35">
      <c r="A471" s="2" t="s">
        <v>482</v>
      </c>
      <c r="B471" s="2">
        <v>5</v>
      </c>
      <c r="C471" s="2">
        <v>-4584671735</v>
      </c>
      <c r="D471" s="2">
        <v>0.2</v>
      </c>
      <c r="E471" s="2">
        <v>4955013722</v>
      </c>
      <c r="F471" s="2">
        <v>10062833832</v>
      </c>
      <c r="G471" s="2">
        <v>4</v>
      </c>
      <c r="H471" s="2">
        <v>5</v>
      </c>
      <c r="I471" s="2">
        <v>1</v>
      </c>
      <c r="J471" s="2">
        <v>3.7</v>
      </c>
      <c r="K471" s="2" t="s">
        <v>306</v>
      </c>
      <c r="L471" s="2" t="str">
        <f t="shared" si="42"/>
        <v>Loss Making</v>
      </c>
      <c r="M471" s="2" t="str">
        <f t="shared" si="43"/>
        <v>Stable Earnings</v>
      </c>
      <c r="N471" s="2" t="str">
        <f t="shared" si="44"/>
        <v>Moderate</v>
      </c>
      <c r="O471" s="4" t="str">
        <f t="shared" si="45"/>
        <v>Accounting Risk</v>
      </c>
      <c r="P471" s="4" t="str">
        <f t="shared" si="46"/>
        <v>Moderate</v>
      </c>
      <c r="Q471" s="4" t="str">
        <f t="shared" si="47"/>
        <v>Weak Growth</v>
      </c>
    </row>
    <row r="472" spans="1:17" x14ac:dyDescent="0.35">
      <c r="A472" s="2" t="s">
        <v>483</v>
      </c>
      <c r="B472" s="2">
        <v>5</v>
      </c>
      <c r="C472" s="2">
        <v>-3377179158</v>
      </c>
      <c r="D472" s="2">
        <v>0.2</v>
      </c>
      <c r="E472" s="2">
        <v>6704949192</v>
      </c>
      <c r="F472" s="2">
        <v>8511974364</v>
      </c>
      <c r="G472" s="2">
        <v>4</v>
      </c>
      <c r="H472" s="2">
        <v>5</v>
      </c>
      <c r="I472" s="2">
        <v>1</v>
      </c>
      <c r="J472" s="2">
        <v>3.7</v>
      </c>
      <c r="K472" s="2" t="s">
        <v>306</v>
      </c>
      <c r="L472" s="2" t="str">
        <f t="shared" si="42"/>
        <v>Loss Making</v>
      </c>
      <c r="M472" s="2" t="str">
        <f t="shared" si="43"/>
        <v>Stable Earnings</v>
      </c>
      <c r="N472" s="2" t="str">
        <f t="shared" si="44"/>
        <v>Moderate</v>
      </c>
      <c r="O472" s="4" t="str">
        <f t="shared" si="45"/>
        <v>Accounting Risk</v>
      </c>
      <c r="P472" s="4" t="str">
        <f t="shared" si="46"/>
        <v>Moderate</v>
      </c>
      <c r="Q472" s="4" t="str">
        <f t="shared" si="47"/>
        <v>Weak Growth</v>
      </c>
    </row>
    <row r="473" spans="1:17" x14ac:dyDescent="0.35">
      <c r="A473" s="2" t="s">
        <v>484</v>
      </c>
      <c r="B473" s="2">
        <v>5</v>
      </c>
      <c r="C473" s="2">
        <v>1009333960</v>
      </c>
      <c r="D473" s="2">
        <v>0.4</v>
      </c>
      <c r="E473" s="2">
        <v>3664936784</v>
      </c>
      <c r="F473" s="2">
        <v>7817193401</v>
      </c>
      <c r="G473" s="2">
        <v>4</v>
      </c>
      <c r="H473" s="2">
        <v>5</v>
      </c>
      <c r="I473" s="2">
        <v>1</v>
      </c>
      <c r="J473" s="2">
        <v>3.7</v>
      </c>
      <c r="K473" s="2" t="s">
        <v>306</v>
      </c>
      <c r="L473" s="2" t="str">
        <f t="shared" si="42"/>
        <v>Profitable</v>
      </c>
      <c r="M473" s="2" t="str">
        <f t="shared" si="43"/>
        <v>High Volatility</v>
      </c>
      <c r="N473" s="2" t="str">
        <f t="shared" si="44"/>
        <v>Moderate</v>
      </c>
      <c r="O473" s="4" t="str">
        <f t="shared" si="45"/>
        <v>Accounting Risk</v>
      </c>
      <c r="P473" s="4" t="str">
        <f t="shared" si="46"/>
        <v>Moderate</v>
      </c>
      <c r="Q473" s="4" t="str">
        <f t="shared" si="47"/>
        <v>Weak Growth</v>
      </c>
    </row>
    <row r="474" spans="1:17" x14ac:dyDescent="0.35">
      <c r="A474" s="2" t="s">
        <v>485</v>
      </c>
      <c r="B474" s="2">
        <v>5</v>
      </c>
      <c r="C474" s="2">
        <v>216120783.80000001</v>
      </c>
      <c r="D474" s="2">
        <v>0.4</v>
      </c>
      <c r="E474" s="2">
        <v>3434062185</v>
      </c>
      <c r="F474" s="2">
        <v>5462139865</v>
      </c>
      <c r="G474" s="2">
        <v>4</v>
      </c>
      <c r="H474" s="2">
        <v>5</v>
      </c>
      <c r="I474" s="2">
        <v>1</v>
      </c>
      <c r="J474" s="2">
        <v>3.7</v>
      </c>
      <c r="K474" s="2" t="s">
        <v>306</v>
      </c>
      <c r="L474" s="2" t="str">
        <f t="shared" si="42"/>
        <v>Profitable</v>
      </c>
      <c r="M474" s="2" t="str">
        <f t="shared" si="43"/>
        <v>Stable Earnings</v>
      </c>
      <c r="N474" s="2" t="str">
        <f t="shared" si="44"/>
        <v>Moderate</v>
      </c>
      <c r="O474" s="4" t="str">
        <f t="shared" si="45"/>
        <v>Accounting Risk</v>
      </c>
      <c r="P474" s="4" t="str">
        <f t="shared" si="46"/>
        <v>Moderate</v>
      </c>
      <c r="Q474" s="4" t="str">
        <f t="shared" si="47"/>
        <v>Weak Growth</v>
      </c>
    </row>
    <row r="475" spans="1:17" x14ac:dyDescent="0.35">
      <c r="A475" s="2" t="s">
        <v>486</v>
      </c>
      <c r="B475" s="2">
        <v>5</v>
      </c>
      <c r="C475" s="2">
        <v>-3587950039</v>
      </c>
      <c r="D475" s="2">
        <v>0.2</v>
      </c>
      <c r="E475" s="2">
        <v>3282013588</v>
      </c>
      <c r="F475" s="2">
        <v>6156094545</v>
      </c>
      <c r="G475" s="2">
        <v>4</v>
      </c>
      <c r="H475" s="2">
        <v>5</v>
      </c>
      <c r="I475" s="2">
        <v>1</v>
      </c>
      <c r="J475" s="2">
        <v>3.7</v>
      </c>
      <c r="K475" s="2" t="s">
        <v>306</v>
      </c>
      <c r="L475" s="2" t="str">
        <f t="shared" si="42"/>
        <v>Loss Making</v>
      </c>
      <c r="M475" s="2" t="str">
        <f t="shared" si="43"/>
        <v>Stable Earnings</v>
      </c>
      <c r="N475" s="2" t="str">
        <f t="shared" si="44"/>
        <v>Moderate</v>
      </c>
      <c r="O475" s="4" t="str">
        <f t="shared" si="45"/>
        <v>Accounting Risk</v>
      </c>
      <c r="P475" s="4" t="str">
        <f t="shared" si="46"/>
        <v>Moderate</v>
      </c>
      <c r="Q475" s="4" t="str">
        <f t="shared" si="47"/>
        <v>Weak Growth</v>
      </c>
    </row>
    <row r="476" spans="1:17" x14ac:dyDescent="0.35">
      <c r="A476" s="2" t="s">
        <v>487</v>
      </c>
      <c r="B476" s="2">
        <v>5</v>
      </c>
      <c r="C476" s="2">
        <v>-853561725.5</v>
      </c>
      <c r="D476" s="2">
        <v>0.4</v>
      </c>
      <c r="E476" s="2">
        <v>1780291944</v>
      </c>
      <c r="F476" s="2">
        <v>4392820442</v>
      </c>
      <c r="G476" s="2">
        <v>4</v>
      </c>
      <c r="H476" s="2">
        <v>5</v>
      </c>
      <c r="I476" s="2">
        <v>1</v>
      </c>
      <c r="J476" s="2">
        <v>3.7</v>
      </c>
      <c r="K476" s="2" t="s">
        <v>306</v>
      </c>
      <c r="L476" s="2" t="str">
        <f t="shared" si="42"/>
        <v>Loss Making</v>
      </c>
      <c r="M476" s="2" t="str">
        <f t="shared" si="43"/>
        <v>Stable Earnings</v>
      </c>
      <c r="N476" s="2" t="str">
        <f t="shared" si="44"/>
        <v>Moderate</v>
      </c>
      <c r="O476" s="4" t="str">
        <f t="shared" si="45"/>
        <v>Accounting Risk</v>
      </c>
      <c r="P476" s="4" t="str">
        <f t="shared" si="46"/>
        <v>Moderate</v>
      </c>
      <c r="Q476" s="4" t="str">
        <f t="shared" si="47"/>
        <v>Weak Growth</v>
      </c>
    </row>
    <row r="477" spans="1:17" x14ac:dyDescent="0.35">
      <c r="A477" s="2" t="s">
        <v>488</v>
      </c>
      <c r="B477" s="2">
        <v>5</v>
      </c>
      <c r="C477" s="2">
        <v>-365019125.89999998</v>
      </c>
      <c r="D477" s="2">
        <v>0.4</v>
      </c>
      <c r="E477" s="2">
        <v>1472700373</v>
      </c>
      <c r="F477" s="2">
        <v>3547964078</v>
      </c>
      <c r="G477" s="2">
        <v>4</v>
      </c>
      <c r="H477" s="2">
        <v>5</v>
      </c>
      <c r="I477" s="2">
        <v>1</v>
      </c>
      <c r="J477" s="2">
        <v>3.7</v>
      </c>
      <c r="K477" s="2" t="s">
        <v>306</v>
      </c>
      <c r="L477" s="2" t="str">
        <f t="shared" si="42"/>
        <v>Loss Making</v>
      </c>
      <c r="M477" s="2" t="str">
        <f t="shared" si="43"/>
        <v>Stable Earnings</v>
      </c>
      <c r="N477" s="2" t="str">
        <f t="shared" si="44"/>
        <v>Moderate</v>
      </c>
      <c r="O477" s="4" t="str">
        <f t="shared" si="45"/>
        <v>Accounting Risk</v>
      </c>
      <c r="P477" s="4" t="str">
        <f t="shared" si="46"/>
        <v>Moderate</v>
      </c>
      <c r="Q477" s="4" t="str">
        <f t="shared" si="47"/>
        <v>Weak Growth</v>
      </c>
    </row>
    <row r="478" spans="1:17" x14ac:dyDescent="0.35">
      <c r="A478" s="2" t="s">
        <v>489</v>
      </c>
      <c r="B478" s="2">
        <v>5</v>
      </c>
      <c r="C478" s="2">
        <v>-767318371.79999995</v>
      </c>
      <c r="D478" s="2">
        <v>0.2</v>
      </c>
      <c r="E478" s="2">
        <v>1391751278</v>
      </c>
      <c r="F478" s="2">
        <v>3115922114</v>
      </c>
      <c r="G478" s="2">
        <v>4</v>
      </c>
      <c r="H478" s="2">
        <v>5</v>
      </c>
      <c r="I478" s="2">
        <v>1</v>
      </c>
      <c r="J478" s="2">
        <v>3.7</v>
      </c>
      <c r="K478" s="2" t="s">
        <v>306</v>
      </c>
      <c r="L478" s="2" t="str">
        <f t="shared" si="42"/>
        <v>Loss Making</v>
      </c>
      <c r="M478" s="2" t="str">
        <f t="shared" si="43"/>
        <v>Stable Earnings</v>
      </c>
      <c r="N478" s="2" t="str">
        <f t="shared" si="44"/>
        <v>Moderate</v>
      </c>
      <c r="O478" s="4" t="str">
        <f t="shared" si="45"/>
        <v>Accounting Risk</v>
      </c>
      <c r="P478" s="4" t="str">
        <f t="shared" si="46"/>
        <v>Moderate</v>
      </c>
      <c r="Q478" s="4" t="str">
        <f t="shared" si="47"/>
        <v>Weak Growth</v>
      </c>
    </row>
    <row r="479" spans="1:17" x14ac:dyDescent="0.35">
      <c r="A479" s="2" t="s">
        <v>490</v>
      </c>
      <c r="B479" s="2">
        <v>5</v>
      </c>
      <c r="C479" s="2">
        <v>-1126388570</v>
      </c>
      <c r="D479" s="2">
        <v>0.4</v>
      </c>
      <c r="E479" s="2">
        <v>1555806103</v>
      </c>
      <c r="F479" s="2">
        <v>2428834370</v>
      </c>
      <c r="G479" s="2">
        <v>4</v>
      </c>
      <c r="H479" s="2">
        <v>5</v>
      </c>
      <c r="I479" s="2">
        <v>1</v>
      </c>
      <c r="J479" s="2">
        <v>3.7</v>
      </c>
      <c r="K479" s="2" t="s">
        <v>306</v>
      </c>
      <c r="L479" s="2" t="str">
        <f t="shared" si="42"/>
        <v>Loss Making</v>
      </c>
      <c r="M479" s="2" t="str">
        <f t="shared" si="43"/>
        <v>Stable Earnings</v>
      </c>
      <c r="N479" s="2" t="str">
        <f t="shared" si="44"/>
        <v>Moderate</v>
      </c>
      <c r="O479" s="4" t="str">
        <f t="shared" si="45"/>
        <v>Accounting Risk</v>
      </c>
      <c r="P479" s="4" t="str">
        <f t="shared" si="46"/>
        <v>Moderate</v>
      </c>
      <c r="Q479" s="4" t="str">
        <f t="shared" si="47"/>
        <v>Weak Growth</v>
      </c>
    </row>
    <row r="480" spans="1:17" x14ac:dyDescent="0.35">
      <c r="A480" s="2" t="s">
        <v>491</v>
      </c>
      <c r="B480" s="2">
        <v>5</v>
      </c>
      <c r="C480" s="2">
        <v>-28292050.640000001</v>
      </c>
      <c r="D480" s="2">
        <v>0.4</v>
      </c>
      <c r="E480" s="2">
        <v>46875544.329999998</v>
      </c>
      <c r="F480" s="2">
        <v>-27992513.199999999</v>
      </c>
      <c r="G480" s="2">
        <v>4</v>
      </c>
      <c r="H480" s="2">
        <v>3</v>
      </c>
      <c r="I480" s="2">
        <v>4</v>
      </c>
      <c r="J480" s="2">
        <v>3.7</v>
      </c>
      <c r="K480" s="2" t="s">
        <v>306</v>
      </c>
      <c r="L480" s="2" t="str">
        <f t="shared" si="42"/>
        <v>Loss Making</v>
      </c>
      <c r="M480" s="2" t="str">
        <f t="shared" si="43"/>
        <v>Stable Earnings</v>
      </c>
      <c r="N480" s="2" t="str">
        <f t="shared" si="44"/>
        <v>Moderate</v>
      </c>
      <c r="O480" s="4" t="str">
        <f t="shared" si="45"/>
        <v>Accounting Risk</v>
      </c>
      <c r="P480" s="4" t="str">
        <f t="shared" si="46"/>
        <v>Moderate</v>
      </c>
      <c r="Q480" s="4" t="str">
        <f t="shared" si="47"/>
        <v>Strong Long-Term Growth</v>
      </c>
    </row>
    <row r="481" spans="1:17" x14ac:dyDescent="0.35">
      <c r="A481" s="2" t="s">
        <v>492</v>
      </c>
      <c r="B481" s="2">
        <v>5</v>
      </c>
      <c r="C481" s="2">
        <v>15829991.640000001</v>
      </c>
      <c r="D481" s="2">
        <v>0.4</v>
      </c>
      <c r="E481" s="2">
        <v>46460440.049999997</v>
      </c>
      <c r="F481" s="2">
        <v>-29292249.399999999</v>
      </c>
      <c r="G481" s="2">
        <v>4</v>
      </c>
      <c r="H481" s="2">
        <v>3</v>
      </c>
      <c r="I481" s="2">
        <v>4</v>
      </c>
      <c r="J481" s="2">
        <v>3.7</v>
      </c>
      <c r="K481" s="2" t="s">
        <v>306</v>
      </c>
      <c r="L481" s="2" t="str">
        <f t="shared" si="42"/>
        <v>Profitable</v>
      </c>
      <c r="M481" s="2" t="str">
        <f t="shared" si="43"/>
        <v>Stable Earnings</v>
      </c>
      <c r="N481" s="2" t="str">
        <f t="shared" si="44"/>
        <v>Moderate</v>
      </c>
      <c r="O481" s="4" t="str">
        <f t="shared" si="45"/>
        <v>Accounting Risk</v>
      </c>
      <c r="P481" s="4" t="str">
        <f t="shared" si="46"/>
        <v>Moderate</v>
      </c>
      <c r="Q481" s="4" t="str">
        <f t="shared" si="47"/>
        <v>Strong Long-Term Growth</v>
      </c>
    </row>
    <row r="482" spans="1:17" x14ac:dyDescent="0.35">
      <c r="A482" s="2" t="s">
        <v>493</v>
      </c>
      <c r="B482" s="2">
        <v>5</v>
      </c>
      <c r="C482" s="2">
        <v>-55103883.359999999</v>
      </c>
      <c r="D482" s="2">
        <v>0.2</v>
      </c>
      <c r="E482" s="2">
        <v>77073185.340000004</v>
      </c>
      <c r="F482" s="2">
        <v>-37632376.700000003</v>
      </c>
      <c r="G482" s="2">
        <v>4</v>
      </c>
      <c r="H482" s="2">
        <v>3</v>
      </c>
      <c r="I482" s="2">
        <v>4</v>
      </c>
      <c r="J482" s="2">
        <v>3.7</v>
      </c>
      <c r="K482" s="2" t="s">
        <v>306</v>
      </c>
      <c r="L482" s="2" t="str">
        <f t="shared" si="42"/>
        <v>Loss Making</v>
      </c>
      <c r="M482" s="2" t="str">
        <f t="shared" si="43"/>
        <v>Stable Earnings</v>
      </c>
      <c r="N482" s="2" t="str">
        <f t="shared" si="44"/>
        <v>Moderate</v>
      </c>
      <c r="O482" s="4" t="str">
        <f t="shared" si="45"/>
        <v>Accounting Risk</v>
      </c>
      <c r="P482" s="4" t="str">
        <f t="shared" si="46"/>
        <v>Moderate</v>
      </c>
      <c r="Q482" s="4" t="str">
        <f t="shared" si="47"/>
        <v>Strong Long-Term Growth</v>
      </c>
    </row>
    <row r="483" spans="1:17" x14ac:dyDescent="0.35">
      <c r="A483" s="2" t="s">
        <v>494</v>
      </c>
      <c r="B483" s="2">
        <v>5</v>
      </c>
      <c r="C483" s="2">
        <v>-3783389.64</v>
      </c>
      <c r="D483" s="2">
        <v>0.4</v>
      </c>
      <c r="E483" s="2">
        <v>68614012.650000006</v>
      </c>
      <c r="F483" s="2">
        <v>-23352462.399999999</v>
      </c>
      <c r="G483" s="2">
        <v>4</v>
      </c>
      <c r="H483" s="2">
        <v>3</v>
      </c>
      <c r="I483" s="2">
        <v>4</v>
      </c>
      <c r="J483" s="2">
        <v>3.7</v>
      </c>
      <c r="K483" s="2" t="s">
        <v>306</v>
      </c>
      <c r="L483" s="2" t="str">
        <f t="shared" si="42"/>
        <v>Loss Making</v>
      </c>
      <c r="M483" s="2" t="str">
        <f t="shared" si="43"/>
        <v>Stable Earnings</v>
      </c>
      <c r="N483" s="2" t="str">
        <f t="shared" si="44"/>
        <v>Moderate</v>
      </c>
      <c r="O483" s="4" t="str">
        <f t="shared" si="45"/>
        <v>Accounting Risk</v>
      </c>
      <c r="P483" s="4" t="str">
        <f t="shared" si="46"/>
        <v>Moderate</v>
      </c>
      <c r="Q483" s="4" t="str">
        <f t="shared" si="47"/>
        <v>Strong Long-Term Growth</v>
      </c>
    </row>
    <row r="484" spans="1:17" x14ac:dyDescent="0.35">
      <c r="A484" s="2" t="s">
        <v>495</v>
      </c>
      <c r="B484" s="2">
        <v>5</v>
      </c>
      <c r="C484" s="2">
        <v>-21882951.739999998</v>
      </c>
      <c r="D484" s="2">
        <v>0.4</v>
      </c>
      <c r="E484" s="2">
        <v>71552946.469999999</v>
      </c>
      <c r="F484" s="2">
        <v>-21529041.5</v>
      </c>
      <c r="G484" s="2">
        <v>4</v>
      </c>
      <c r="H484" s="2">
        <v>3</v>
      </c>
      <c r="I484" s="2">
        <v>4</v>
      </c>
      <c r="J484" s="2">
        <v>3.7</v>
      </c>
      <c r="K484" s="2" t="s">
        <v>306</v>
      </c>
      <c r="L484" s="2" t="str">
        <f t="shared" si="42"/>
        <v>Loss Making</v>
      </c>
      <c r="M484" s="2" t="str">
        <f t="shared" si="43"/>
        <v>Stable Earnings</v>
      </c>
      <c r="N484" s="2" t="str">
        <f t="shared" si="44"/>
        <v>Moderate</v>
      </c>
      <c r="O484" s="4" t="str">
        <f t="shared" si="45"/>
        <v>Accounting Risk</v>
      </c>
      <c r="P484" s="4" t="str">
        <f t="shared" si="46"/>
        <v>Moderate</v>
      </c>
      <c r="Q484" s="4" t="str">
        <f t="shared" si="47"/>
        <v>Strong Long-Term Growth</v>
      </c>
    </row>
    <row r="485" spans="1:17" x14ac:dyDescent="0.35">
      <c r="A485" s="2" t="s">
        <v>496</v>
      </c>
      <c r="B485" s="2">
        <v>5</v>
      </c>
      <c r="C485" s="2">
        <v>-26191766.539999999</v>
      </c>
      <c r="D485" s="2">
        <v>0.4</v>
      </c>
      <c r="E485" s="2">
        <v>73099346.090000004</v>
      </c>
      <c r="F485" s="2">
        <v>-22189454.899999999</v>
      </c>
      <c r="G485" s="2">
        <v>4</v>
      </c>
      <c r="H485" s="2">
        <v>3</v>
      </c>
      <c r="I485" s="2">
        <v>4</v>
      </c>
      <c r="J485" s="2">
        <v>3.7</v>
      </c>
      <c r="K485" s="2" t="s">
        <v>306</v>
      </c>
      <c r="L485" s="2" t="str">
        <f t="shared" si="42"/>
        <v>Loss Making</v>
      </c>
      <c r="M485" s="2" t="str">
        <f t="shared" si="43"/>
        <v>Stable Earnings</v>
      </c>
      <c r="N485" s="2" t="str">
        <f t="shared" si="44"/>
        <v>Moderate</v>
      </c>
      <c r="O485" s="4" t="str">
        <f t="shared" si="45"/>
        <v>Accounting Risk</v>
      </c>
      <c r="P485" s="4" t="str">
        <f t="shared" si="46"/>
        <v>Moderate</v>
      </c>
      <c r="Q485" s="4" t="str">
        <f t="shared" si="47"/>
        <v>Strong Long-Term Growth</v>
      </c>
    </row>
    <row r="486" spans="1:17" x14ac:dyDescent="0.35">
      <c r="A486" s="2" t="s">
        <v>497</v>
      </c>
      <c r="B486" s="2">
        <v>5</v>
      </c>
      <c r="C486" s="2">
        <v>-139633736.19999999</v>
      </c>
      <c r="D486" s="2">
        <v>0</v>
      </c>
      <c r="E486" s="2">
        <v>61850302.079999998</v>
      </c>
      <c r="F486" s="2">
        <v>-7912169.4000000004</v>
      </c>
      <c r="G486" s="2">
        <v>4</v>
      </c>
      <c r="H486" s="2">
        <v>3</v>
      </c>
      <c r="I486" s="2">
        <v>4</v>
      </c>
      <c r="J486" s="2">
        <v>3.7</v>
      </c>
      <c r="K486" s="2" t="s">
        <v>306</v>
      </c>
      <c r="L486" s="2" t="str">
        <f t="shared" si="42"/>
        <v>Loss Making</v>
      </c>
      <c r="M486" s="2" t="str">
        <f t="shared" si="43"/>
        <v>Stable Earnings</v>
      </c>
      <c r="N486" s="2" t="str">
        <f t="shared" si="44"/>
        <v>Moderate</v>
      </c>
      <c r="O486" s="4" t="str">
        <f t="shared" si="45"/>
        <v>Accounting Risk</v>
      </c>
      <c r="P486" s="4" t="str">
        <f t="shared" si="46"/>
        <v>Moderate</v>
      </c>
      <c r="Q486" s="4" t="str">
        <f t="shared" si="47"/>
        <v>Strong Long-Term Growth</v>
      </c>
    </row>
    <row r="487" spans="1:17" x14ac:dyDescent="0.35">
      <c r="A487" s="2" t="s">
        <v>498</v>
      </c>
      <c r="B487" s="2">
        <v>5</v>
      </c>
      <c r="C487" s="2">
        <v>-141471692.19999999</v>
      </c>
      <c r="D487" s="2">
        <v>0</v>
      </c>
      <c r="E487" s="2">
        <v>49393442.289999999</v>
      </c>
      <c r="F487" s="2">
        <v>-10520183.6</v>
      </c>
      <c r="G487" s="2">
        <v>4</v>
      </c>
      <c r="H487" s="2">
        <v>3</v>
      </c>
      <c r="I487" s="2">
        <v>4</v>
      </c>
      <c r="J487" s="2">
        <v>3.7</v>
      </c>
      <c r="K487" s="2" t="s">
        <v>306</v>
      </c>
      <c r="L487" s="2" t="str">
        <f t="shared" si="42"/>
        <v>Loss Making</v>
      </c>
      <c r="M487" s="2" t="str">
        <f t="shared" si="43"/>
        <v>Stable Earnings</v>
      </c>
      <c r="N487" s="2" t="str">
        <f t="shared" si="44"/>
        <v>Moderate</v>
      </c>
      <c r="O487" s="4" t="str">
        <f t="shared" si="45"/>
        <v>Accounting Risk</v>
      </c>
      <c r="P487" s="4" t="str">
        <f t="shared" si="46"/>
        <v>Moderate</v>
      </c>
      <c r="Q487" s="4" t="str">
        <f t="shared" si="47"/>
        <v>Strong Long-Term Growth</v>
      </c>
    </row>
    <row r="488" spans="1:17" x14ac:dyDescent="0.35">
      <c r="A488" s="2" t="s">
        <v>499</v>
      </c>
      <c r="B488" s="2">
        <v>5</v>
      </c>
      <c r="C488" s="2">
        <v>-5162472.0199999996</v>
      </c>
      <c r="D488" s="2">
        <v>0.4</v>
      </c>
      <c r="E488" s="2">
        <v>67103277.170000002</v>
      </c>
      <c r="F488" s="2">
        <v>-9064114.9000000004</v>
      </c>
      <c r="G488" s="2">
        <v>4</v>
      </c>
      <c r="H488" s="2">
        <v>3</v>
      </c>
      <c r="I488" s="2">
        <v>4</v>
      </c>
      <c r="J488" s="2">
        <v>3.7</v>
      </c>
      <c r="K488" s="2" t="s">
        <v>306</v>
      </c>
      <c r="L488" s="2" t="str">
        <f t="shared" si="42"/>
        <v>Loss Making</v>
      </c>
      <c r="M488" s="2" t="str">
        <f t="shared" si="43"/>
        <v>Stable Earnings</v>
      </c>
      <c r="N488" s="2" t="str">
        <f t="shared" si="44"/>
        <v>Moderate</v>
      </c>
      <c r="O488" s="4" t="str">
        <f t="shared" si="45"/>
        <v>Accounting Risk</v>
      </c>
      <c r="P488" s="4" t="str">
        <f t="shared" si="46"/>
        <v>Moderate</v>
      </c>
      <c r="Q488" s="4" t="str">
        <f t="shared" si="47"/>
        <v>Strong Long-Term Growth</v>
      </c>
    </row>
    <row r="489" spans="1:17" x14ac:dyDescent="0.35">
      <c r="A489" s="2" t="s">
        <v>500</v>
      </c>
      <c r="B489" s="2">
        <v>5</v>
      </c>
      <c r="C489" s="2">
        <v>-76301934.340000004</v>
      </c>
      <c r="D489" s="2">
        <v>0.2</v>
      </c>
      <c r="E489" s="2">
        <v>49409132.960000001</v>
      </c>
      <c r="F489" s="2">
        <v>-14879287.199999999</v>
      </c>
      <c r="G489" s="2">
        <v>4</v>
      </c>
      <c r="H489" s="2">
        <v>3</v>
      </c>
      <c r="I489" s="2">
        <v>4</v>
      </c>
      <c r="J489" s="2">
        <v>3.7</v>
      </c>
      <c r="K489" s="2" t="s">
        <v>306</v>
      </c>
      <c r="L489" s="2" t="str">
        <f t="shared" si="42"/>
        <v>Loss Making</v>
      </c>
      <c r="M489" s="2" t="str">
        <f t="shared" si="43"/>
        <v>Stable Earnings</v>
      </c>
      <c r="N489" s="2" t="str">
        <f t="shared" si="44"/>
        <v>Moderate</v>
      </c>
      <c r="O489" s="4" t="str">
        <f t="shared" si="45"/>
        <v>Accounting Risk</v>
      </c>
      <c r="P489" s="4" t="str">
        <f t="shared" si="46"/>
        <v>Moderate</v>
      </c>
      <c r="Q489" s="4" t="str">
        <f t="shared" si="47"/>
        <v>Strong Long-Term Growth</v>
      </c>
    </row>
    <row r="490" spans="1:17" x14ac:dyDescent="0.35">
      <c r="A490" s="2" t="s">
        <v>501</v>
      </c>
      <c r="B490" s="2">
        <v>5</v>
      </c>
      <c r="C490" s="2">
        <v>-67351865</v>
      </c>
      <c r="D490" s="2">
        <v>0</v>
      </c>
      <c r="E490" s="2">
        <v>22003745.510000002</v>
      </c>
      <c r="F490" s="2">
        <v>-3191377</v>
      </c>
      <c r="G490" s="2">
        <v>5</v>
      </c>
      <c r="H490" s="2">
        <v>2</v>
      </c>
      <c r="I490" s="2">
        <v>3</v>
      </c>
      <c r="J490" s="2">
        <v>3.7</v>
      </c>
      <c r="K490" s="2" t="s">
        <v>306</v>
      </c>
      <c r="L490" s="2" t="str">
        <f t="shared" si="42"/>
        <v>Loss Making</v>
      </c>
      <c r="M490" s="2" t="str">
        <f t="shared" si="43"/>
        <v>Stable Earnings</v>
      </c>
      <c r="N490" s="2" t="str">
        <f t="shared" si="44"/>
        <v>Moderate</v>
      </c>
      <c r="O490" s="4" t="str">
        <f t="shared" si="45"/>
        <v>Accounting Risk</v>
      </c>
      <c r="P490" s="4" t="str">
        <f t="shared" si="46"/>
        <v>Moderate</v>
      </c>
      <c r="Q490" s="4" t="str">
        <f t="shared" si="47"/>
        <v>Moderate Growth</v>
      </c>
    </row>
    <row r="491" spans="1:17" x14ac:dyDescent="0.35">
      <c r="A491" s="2" t="s">
        <v>502</v>
      </c>
      <c r="B491" s="2">
        <v>5</v>
      </c>
      <c r="C491" s="2">
        <v>-26480171.239999998</v>
      </c>
      <c r="D491" s="2">
        <v>0</v>
      </c>
      <c r="E491" s="2">
        <v>18004580.039999999</v>
      </c>
      <c r="F491" s="2">
        <v>-937181.6</v>
      </c>
      <c r="G491" s="2">
        <v>5</v>
      </c>
      <c r="H491" s="2">
        <v>2</v>
      </c>
      <c r="I491" s="2">
        <v>3</v>
      </c>
      <c r="J491" s="2">
        <v>3.7</v>
      </c>
      <c r="K491" s="2" t="s">
        <v>306</v>
      </c>
      <c r="L491" s="2" t="str">
        <f t="shared" si="42"/>
        <v>Loss Making</v>
      </c>
      <c r="M491" s="2" t="str">
        <f t="shared" si="43"/>
        <v>Stable Earnings</v>
      </c>
      <c r="N491" s="2" t="str">
        <f t="shared" si="44"/>
        <v>Moderate</v>
      </c>
      <c r="O491" s="4" t="str">
        <f t="shared" si="45"/>
        <v>Accounting Risk</v>
      </c>
      <c r="P491" s="4" t="str">
        <f t="shared" si="46"/>
        <v>Moderate</v>
      </c>
      <c r="Q491" s="4" t="str">
        <f t="shared" si="47"/>
        <v>Moderate Growth</v>
      </c>
    </row>
    <row r="492" spans="1:17" x14ac:dyDescent="0.35">
      <c r="A492" s="2" t="s">
        <v>503</v>
      </c>
      <c r="B492" s="2">
        <v>5</v>
      </c>
      <c r="C492" s="2">
        <v>-17655375.559999999</v>
      </c>
      <c r="D492" s="2">
        <v>0</v>
      </c>
      <c r="E492" s="2">
        <v>21125107.789999999</v>
      </c>
      <c r="F492" s="2">
        <v>-1380719.7</v>
      </c>
      <c r="G492" s="2">
        <v>5</v>
      </c>
      <c r="H492" s="2">
        <v>2</v>
      </c>
      <c r="I492" s="2">
        <v>3</v>
      </c>
      <c r="J492" s="2">
        <v>3.7</v>
      </c>
      <c r="K492" s="2" t="s">
        <v>306</v>
      </c>
      <c r="L492" s="2" t="str">
        <f t="shared" si="42"/>
        <v>Loss Making</v>
      </c>
      <c r="M492" s="2" t="str">
        <f t="shared" si="43"/>
        <v>Stable Earnings</v>
      </c>
      <c r="N492" s="2" t="str">
        <f t="shared" si="44"/>
        <v>Moderate</v>
      </c>
      <c r="O492" s="4" t="str">
        <f t="shared" si="45"/>
        <v>Accounting Risk</v>
      </c>
      <c r="P492" s="4" t="str">
        <f t="shared" si="46"/>
        <v>Moderate</v>
      </c>
      <c r="Q492" s="4" t="str">
        <f t="shared" si="47"/>
        <v>Moderate Growth</v>
      </c>
    </row>
    <row r="493" spans="1:17" x14ac:dyDescent="0.35">
      <c r="A493" s="2" t="s">
        <v>504</v>
      </c>
      <c r="B493" s="2">
        <v>5</v>
      </c>
      <c r="C493" s="2">
        <v>-95445016.439999998</v>
      </c>
      <c r="D493" s="2">
        <v>0</v>
      </c>
      <c r="E493" s="2">
        <v>30620177.68</v>
      </c>
      <c r="F493" s="2">
        <v>-2696529.3</v>
      </c>
      <c r="G493" s="2">
        <v>5</v>
      </c>
      <c r="H493" s="2">
        <v>2</v>
      </c>
      <c r="I493" s="2">
        <v>3</v>
      </c>
      <c r="J493" s="2">
        <v>3.7</v>
      </c>
      <c r="K493" s="2" t="s">
        <v>306</v>
      </c>
      <c r="L493" s="2" t="str">
        <f t="shared" si="42"/>
        <v>Loss Making</v>
      </c>
      <c r="M493" s="2" t="str">
        <f t="shared" si="43"/>
        <v>Stable Earnings</v>
      </c>
      <c r="N493" s="2" t="str">
        <f t="shared" si="44"/>
        <v>Moderate</v>
      </c>
      <c r="O493" s="4" t="str">
        <f t="shared" si="45"/>
        <v>Accounting Risk</v>
      </c>
      <c r="P493" s="4" t="str">
        <f t="shared" si="46"/>
        <v>Moderate</v>
      </c>
      <c r="Q493" s="4" t="str">
        <f t="shared" si="47"/>
        <v>Moderate Growth</v>
      </c>
    </row>
    <row r="494" spans="1:17" x14ac:dyDescent="0.35">
      <c r="A494" s="2" t="s">
        <v>505</v>
      </c>
      <c r="B494" s="2">
        <v>5</v>
      </c>
      <c r="C494" s="2">
        <v>-47236120.880000003</v>
      </c>
      <c r="D494" s="2">
        <v>0</v>
      </c>
      <c r="E494" s="2">
        <v>32353276.59</v>
      </c>
      <c r="F494" s="2">
        <v>-2780569.3</v>
      </c>
      <c r="G494" s="2">
        <v>5</v>
      </c>
      <c r="H494" s="2">
        <v>2</v>
      </c>
      <c r="I494" s="2">
        <v>3</v>
      </c>
      <c r="J494" s="2">
        <v>3.7</v>
      </c>
      <c r="K494" s="2" t="s">
        <v>306</v>
      </c>
      <c r="L494" s="2" t="str">
        <f t="shared" si="42"/>
        <v>Loss Making</v>
      </c>
      <c r="M494" s="2" t="str">
        <f t="shared" si="43"/>
        <v>Stable Earnings</v>
      </c>
      <c r="N494" s="2" t="str">
        <f t="shared" si="44"/>
        <v>Moderate</v>
      </c>
      <c r="O494" s="4" t="str">
        <f t="shared" si="45"/>
        <v>Accounting Risk</v>
      </c>
      <c r="P494" s="4" t="str">
        <f t="shared" si="46"/>
        <v>Moderate</v>
      </c>
      <c r="Q494" s="4" t="str">
        <f t="shared" si="47"/>
        <v>Moderate Growth</v>
      </c>
    </row>
    <row r="495" spans="1:17" x14ac:dyDescent="0.35">
      <c r="A495" s="2" t="s">
        <v>506</v>
      </c>
      <c r="B495" s="2">
        <v>5</v>
      </c>
      <c r="C495" s="2">
        <v>-56031743.259999998</v>
      </c>
      <c r="D495" s="2">
        <v>0</v>
      </c>
      <c r="E495" s="2">
        <v>24928747.949999999</v>
      </c>
      <c r="F495" s="2">
        <v>5274914.0999999996</v>
      </c>
      <c r="G495" s="2">
        <v>5</v>
      </c>
      <c r="H495" s="2">
        <v>2</v>
      </c>
      <c r="I495" s="2">
        <v>3</v>
      </c>
      <c r="J495" s="2">
        <v>3.7</v>
      </c>
      <c r="K495" s="2" t="s">
        <v>306</v>
      </c>
      <c r="L495" s="2" t="str">
        <f t="shared" si="42"/>
        <v>Loss Making</v>
      </c>
      <c r="M495" s="2" t="str">
        <f t="shared" si="43"/>
        <v>Stable Earnings</v>
      </c>
      <c r="N495" s="2" t="str">
        <f t="shared" si="44"/>
        <v>Moderate</v>
      </c>
      <c r="O495" s="4" t="str">
        <f t="shared" si="45"/>
        <v>Accounting Risk</v>
      </c>
      <c r="P495" s="4" t="str">
        <f t="shared" si="46"/>
        <v>Moderate</v>
      </c>
      <c r="Q495" s="4" t="str">
        <f t="shared" si="47"/>
        <v>Moderate Growth</v>
      </c>
    </row>
    <row r="496" spans="1:17" x14ac:dyDescent="0.35">
      <c r="A496" s="2" t="s">
        <v>507</v>
      </c>
      <c r="B496" s="2">
        <v>5</v>
      </c>
      <c r="C496" s="2">
        <v>-47582800.700000003</v>
      </c>
      <c r="D496" s="2">
        <v>0</v>
      </c>
      <c r="E496" s="2">
        <v>19583941.699999999</v>
      </c>
      <c r="F496" s="2">
        <v>3099911.8</v>
      </c>
      <c r="G496" s="2">
        <v>5</v>
      </c>
      <c r="H496" s="2">
        <v>2</v>
      </c>
      <c r="I496" s="2">
        <v>3</v>
      </c>
      <c r="J496" s="2">
        <v>3.7</v>
      </c>
      <c r="K496" s="2" t="s">
        <v>306</v>
      </c>
      <c r="L496" s="2" t="str">
        <f t="shared" si="42"/>
        <v>Loss Making</v>
      </c>
      <c r="M496" s="2" t="str">
        <f t="shared" si="43"/>
        <v>Stable Earnings</v>
      </c>
      <c r="N496" s="2" t="str">
        <f t="shared" si="44"/>
        <v>Moderate</v>
      </c>
      <c r="O496" s="4" t="str">
        <f t="shared" si="45"/>
        <v>Accounting Risk</v>
      </c>
      <c r="P496" s="4" t="str">
        <f t="shared" si="46"/>
        <v>Moderate</v>
      </c>
      <c r="Q496" s="4" t="str">
        <f t="shared" si="47"/>
        <v>Moderate Growth</v>
      </c>
    </row>
    <row r="497" spans="1:17" x14ac:dyDescent="0.35">
      <c r="A497" s="2" t="s">
        <v>508</v>
      </c>
      <c r="B497" s="2">
        <v>5</v>
      </c>
      <c r="C497" s="2">
        <v>-69648696.459999993</v>
      </c>
      <c r="D497" s="2">
        <v>0</v>
      </c>
      <c r="E497" s="2">
        <v>23136736.050000001</v>
      </c>
      <c r="F497" s="2">
        <v>2849351.8</v>
      </c>
      <c r="G497" s="2">
        <v>5</v>
      </c>
      <c r="H497" s="2">
        <v>2</v>
      </c>
      <c r="I497" s="2">
        <v>3</v>
      </c>
      <c r="J497" s="2">
        <v>3.7</v>
      </c>
      <c r="K497" s="2" t="s">
        <v>306</v>
      </c>
      <c r="L497" s="2" t="str">
        <f t="shared" si="42"/>
        <v>Loss Making</v>
      </c>
      <c r="M497" s="2" t="str">
        <f t="shared" si="43"/>
        <v>Stable Earnings</v>
      </c>
      <c r="N497" s="2" t="str">
        <f t="shared" si="44"/>
        <v>Moderate</v>
      </c>
      <c r="O497" s="4" t="str">
        <f t="shared" si="45"/>
        <v>Accounting Risk</v>
      </c>
      <c r="P497" s="4" t="str">
        <f t="shared" si="46"/>
        <v>Moderate</v>
      </c>
      <c r="Q497" s="4" t="str">
        <f t="shared" si="47"/>
        <v>Moderate Growth</v>
      </c>
    </row>
    <row r="498" spans="1:17" x14ac:dyDescent="0.35">
      <c r="A498" s="2" t="s">
        <v>509</v>
      </c>
      <c r="B498" s="2">
        <v>5</v>
      </c>
      <c r="C498" s="2">
        <v>-39688743.200000003</v>
      </c>
      <c r="D498" s="2">
        <v>0.2</v>
      </c>
      <c r="E498" s="2">
        <v>54581887.549999997</v>
      </c>
      <c r="F498" s="2">
        <v>-62341055.5</v>
      </c>
      <c r="G498" s="2">
        <v>4</v>
      </c>
      <c r="H498" s="2">
        <v>3</v>
      </c>
      <c r="I498" s="2">
        <v>4</v>
      </c>
      <c r="J498" s="2">
        <v>3.7</v>
      </c>
      <c r="K498" s="2" t="s">
        <v>306</v>
      </c>
      <c r="L498" s="2" t="str">
        <f t="shared" si="42"/>
        <v>Loss Making</v>
      </c>
      <c r="M498" s="2" t="str">
        <f t="shared" si="43"/>
        <v>Stable Earnings</v>
      </c>
      <c r="N498" s="2" t="str">
        <f t="shared" si="44"/>
        <v>Moderate</v>
      </c>
      <c r="O498" s="4" t="str">
        <f t="shared" si="45"/>
        <v>Accounting Risk</v>
      </c>
      <c r="P498" s="4" t="str">
        <f t="shared" si="46"/>
        <v>Moderate</v>
      </c>
      <c r="Q498" s="4" t="str">
        <f t="shared" si="47"/>
        <v>Strong Long-Term Growth</v>
      </c>
    </row>
    <row r="499" spans="1:17" x14ac:dyDescent="0.35">
      <c r="A499" s="2" t="s">
        <v>510</v>
      </c>
      <c r="B499" s="2">
        <v>5</v>
      </c>
      <c r="C499" s="2">
        <v>-71020478.739999995</v>
      </c>
      <c r="D499" s="2">
        <v>0.2</v>
      </c>
      <c r="E499" s="2">
        <v>56064486.399999999</v>
      </c>
      <c r="F499" s="2">
        <v>-62749802.899999999</v>
      </c>
      <c r="G499" s="2">
        <v>4</v>
      </c>
      <c r="H499" s="2">
        <v>3</v>
      </c>
      <c r="I499" s="2">
        <v>4</v>
      </c>
      <c r="J499" s="2">
        <v>3.7</v>
      </c>
      <c r="K499" s="2" t="s">
        <v>306</v>
      </c>
      <c r="L499" s="2" t="str">
        <f t="shared" si="42"/>
        <v>Loss Making</v>
      </c>
      <c r="M499" s="2" t="str">
        <f t="shared" si="43"/>
        <v>Stable Earnings</v>
      </c>
      <c r="N499" s="2" t="str">
        <f t="shared" si="44"/>
        <v>Moderate</v>
      </c>
      <c r="O499" s="4" t="str">
        <f t="shared" si="45"/>
        <v>Accounting Risk</v>
      </c>
      <c r="P499" s="4" t="str">
        <f t="shared" si="46"/>
        <v>Moderate</v>
      </c>
      <c r="Q499" s="4" t="str">
        <f t="shared" si="47"/>
        <v>Strong Long-Term Growth</v>
      </c>
    </row>
    <row r="500" spans="1:17" x14ac:dyDescent="0.35">
      <c r="A500" s="2" t="s">
        <v>511</v>
      </c>
      <c r="B500" s="2">
        <v>5</v>
      </c>
      <c r="C500" s="2">
        <v>-75984516.620000005</v>
      </c>
      <c r="D500" s="2">
        <v>0.2</v>
      </c>
      <c r="E500" s="2">
        <v>85228020.069999993</v>
      </c>
      <c r="F500" s="2">
        <v>-70940809.799999997</v>
      </c>
      <c r="G500" s="2">
        <v>4</v>
      </c>
      <c r="H500" s="2">
        <v>3</v>
      </c>
      <c r="I500" s="2">
        <v>4</v>
      </c>
      <c r="J500" s="2">
        <v>3.7</v>
      </c>
      <c r="K500" s="2" t="s">
        <v>306</v>
      </c>
      <c r="L500" s="2" t="str">
        <f t="shared" si="42"/>
        <v>Loss Making</v>
      </c>
      <c r="M500" s="2" t="str">
        <f t="shared" si="43"/>
        <v>Stable Earnings</v>
      </c>
      <c r="N500" s="2" t="str">
        <f t="shared" si="44"/>
        <v>Moderate</v>
      </c>
      <c r="O500" s="4" t="str">
        <f t="shared" si="45"/>
        <v>Accounting Risk</v>
      </c>
      <c r="P500" s="4" t="str">
        <f t="shared" si="46"/>
        <v>Moderate</v>
      </c>
      <c r="Q500" s="4" t="str">
        <f t="shared" si="47"/>
        <v>Strong Long-Term Growth</v>
      </c>
    </row>
    <row r="501" spans="1:17" x14ac:dyDescent="0.35">
      <c r="A501" s="2" t="s">
        <v>512</v>
      </c>
      <c r="B501" s="2">
        <v>5</v>
      </c>
      <c r="C501" s="2">
        <v>-63797938.039999999</v>
      </c>
      <c r="D501" s="2">
        <v>0.2</v>
      </c>
      <c r="E501" s="2">
        <v>92120567.280000001</v>
      </c>
      <c r="F501" s="2">
        <v>-67994860.900000006</v>
      </c>
      <c r="G501" s="2">
        <v>4</v>
      </c>
      <c r="H501" s="2">
        <v>3</v>
      </c>
      <c r="I501" s="2">
        <v>4</v>
      </c>
      <c r="J501" s="2">
        <v>3.7</v>
      </c>
      <c r="K501" s="2" t="s">
        <v>306</v>
      </c>
      <c r="L501" s="2" t="str">
        <f t="shared" si="42"/>
        <v>Loss Making</v>
      </c>
      <c r="M501" s="2" t="str">
        <f t="shared" si="43"/>
        <v>Stable Earnings</v>
      </c>
      <c r="N501" s="2" t="str">
        <f t="shared" si="44"/>
        <v>Moderate</v>
      </c>
      <c r="O501" s="4" t="str">
        <f t="shared" si="45"/>
        <v>Accounting Risk</v>
      </c>
      <c r="P501" s="4" t="str">
        <f t="shared" si="46"/>
        <v>Moderate</v>
      </c>
      <c r="Q501" s="4" t="str">
        <f t="shared" si="47"/>
        <v>Strong Long-Term Growth</v>
      </c>
    </row>
    <row r="502" spans="1:17" x14ac:dyDescent="0.35">
      <c r="A502" s="2" t="s">
        <v>513</v>
      </c>
      <c r="B502" s="2">
        <v>5</v>
      </c>
      <c r="C502" s="2">
        <v>-15966460.539999999</v>
      </c>
      <c r="D502" s="2">
        <v>0.4</v>
      </c>
      <c r="E502" s="2">
        <v>59385651.899999999</v>
      </c>
      <c r="F502" s="2">
        <v>-68027681.900000006</v>
      </c>
      <c r="G502" s="2">
        <v>4</v>
      </c>
      <c r="H502" s="2">
        <v>3</v>
      </c>
      <c r="I502" s="2">
        <v>4</v>
      </c>
      <c r="J502" s="2">
        <v>3.7</v>
      </c>
      <c r="K502" s="2" t="s">
        <v>306</v>
      </c>
      <c r="L502" s="2" t="str">
        <f t="shared" si="42"/>
        <v>Loss Making</v>
      </c>
      <c r="M502" s="2" t="str">
        <f t="shared" si="43"/>
        <v>Stable Earnings</v>
      </c>
      <c r="N502" s="2" t="str">
        <f t="shared" si="44"/>
        <v>Moderate</v>
      </c>
      <c r="O502" s="4" t="str">
        <f t="shared" si="45"/>
        <v>Accounting Risk</v>
      </c>
      <c r="P502" s="4" t="str">
        <f t="shared" si="46"/>
        <v>Moderate</v>
      </c>
      <c r="Q502" s="4" t="str">
        <f t="shared" si="47"/>
        <v>Strong Long-Term Growth</v>
      </c>
    </row>
    <row r="503" spans="1:17" x14ac:dyDescent="0.35">
      <c r="A503" s="2" t="s">
        <v>514</v>
      </c>
      <c r="B503" s="2">
        <v>5</v>
      </c>
      <c r="C503" s="2">
        <v>-13241496.460000001</v>
      </c>
      <c r="D503" s="2">
        <v>0.4</v>
      </c>
      <c r="E503" s="2">
        <v>45864455.390000001</v>
      </c>
      <c r="F503" s="2">
        <v>-40299679.899999999</v>
      </c>
      <c r="G503" s="2">
        <v>4</v>
      </c>
      <c r="H503" s="2">
        <v>3</v>
      </c>
      <c r="I503" s="2">
        <v>4</v>
      </c>
      <c r="J503" s="2">
        <v>3.7</v>
      </c>
      <c r="K503" s="2" t="s">
        <v>306</v>
      </c>
      <c r="L503" s="2" t="str">
        <f t="shared" si="42"/>
        <v>Loss Making</v>
      </c>
      <c r="M503" s="2" t="str">
        <f t="shared" si="43"/>
        <v>Stable Earnings</v>
      </c>
      <c r="N503" s="2" t="str">
        <f t="shared" si="44"/>
        <v>Moderate</v>
      </c>
      <c r="O503" s="4" t="str">
        <f t="shared" si="45"/>
        <v>Accounting Risk</v>
      </c>
      <c r="P503" s="4" t="str">
        <f t="shared" si="46"/>
        <v>Moderate</v>
      </c>
      <c r="Q503" s="4" t="str">
        <f t="shared" si="47"/>
        <v>Strong Long-Term Growth</v>
      </c>
    </row>
    <row r="504" spans="1:17" x14ac:dyDescent="0.35">
      <c r="A504" s="2" t="s">
        <v>515</v>
      </c>
      <c r="B504" s="2">
        <v>5</v>
      </c>
      <c r="C504" s="2">
        <v>-96116360.079999998</v>
      </c>
      <c r="D504" s="2">
        <v>0.2</v>
      </c>
      <c r="E504" s="2">
        <v>103131256.5</v>
      </c>
      <c r="F504" s="2">
        <v>-38818374.100000001</v>
      </c>
      <c r="G504" s="2">
        <v>4</v>
      </c>
      <c r="H504" s="2">
        <v>3</v>
      </c>
      <c r="I504" s="2">
        <v>4</v>
      </c>
      <c r="J504" s="2">
        <v>3.7</v>
      </c>
      <c r="K504" s="2" t="s">
        <v>306</v>
      </c>
      <c r="L504" s="2" t="str">
        <f t="shared" si="42"/>
        <v>Loss Making</v>
      </c>
      <c r="M504" s="2" t="str">
        <f t="shared" si="43"/>
        <v>Stable Earnings</v>
      </c>
      <c r="N504" s="2" t="str">
        <f t="shared" si="44"/>
        <v>Moderate</v>
      </c>
      <c r="O504" s="4" t="str">
        <f t="shared" si="45"/>
        <v>Accounting Risk</v>
      </c>
      <c r="P504" s="4" t="str">
        <f t="shared" si="46"/>
        <v>Moderate</v>
      </c>
      <c r="Q504" s="4" t="str">
        <f t="shared" si="47"/>
        <v>Strong Long-Term Growth</v>
      </c>
    </row>
    <row r="505" spans="1:17" x14ac:dyDescent="0.35">
      <c r="A505" s="2" t="s">
        <v>516</v>
      </c>
      <c r="B505" s="2">
        <v>5</v>
      </c>
      <c r="C505" s="2">
        <v>-40671594.68</v>
      </c>
      <c r="D505" s="2">
        <v>0.2</v>
      </c>
      <c r="E505" s="2">
        <v>47253702.119999997</v>
      </c>
      <c r="F505" s="2">
        <v>-49418154.899999999</v>
      </c>
      <c r="G505" s="2">
        <v>4</v>
      </c>
      <c r="H505" s="2">
        <v>3</v>
      </c>
      <c r="I505" s="2">
        <v>4</v>
      </c>
      <c r="J505" s="2">
        <v>3.7</v>
      </c>
      <c r="K505" s="2" t="s">
        <v>306</v>
      </c>
      <c r="L505" s="2" t="str">
        <f t="shared" si="42"/>
        <v>Loss Making</v>
      </c>
      <c r="M505" s="2" t="str">
        <f t="shared" si="43"/>
        <v>Stable Earnings</v>
      </c>
      <c r="N505" s="2" t="str">
        <f t="shared" si="44"/>
        <v>Moderate</v>
      </c>
      <c r="O505" s="4" t="str">
        <f t="shared" si="45"/>
        <v>Accounting Risk</v>
      </c>
      <c r="P505" s="4" t="str">
        <f t="shared" si="46"/>
        <v>Moderate</v>
      </c>
      <c r="Q505" s="4" t="str">
        <f t="shared" si="47"/>
        <v>Strong Long-Term Growth</v>
      </c>
    </row>
    <row r="506" spans="1:17" x14ac:dyDescent="0.35">
      <c r="A506" s="2" t="s">
        <v>517</v>
      </c>
      <c r="B506" s="2">
        <v>5</v>
      </c>
      <c r="C506" s="2">
        <v>-6753019.2400000002</v>
      </c>
      <c r="D506" s="2">
        <v>0.4</v>
      </c>
      <c r="E506" s="2">
        <v>89353445.840000004</v>
      </c>
      <c r="F506" s="2">
        <v>-52023878.100000001</v>
      </c>
      <c r="G506" s="2">
        <v>4</v>
      </c>
      <c r="H506" s="2">
        <v>3</v>
      </c>
      <c r="I506" s="2">
        <v>4</v>
      </c>
      <c r="J506" s="2">
        <v>3.7</v>
      </c>
      <c r="K506" s="2" t="s">
        <v>306</v>
      </c>
      <c r="L506" s="2" t="str">
        <f t="shared" si="42"/>
        <v>Loss Making</v>
      </c>
      <c r="M506" s="2" t="str">
        <f t="shared" si="43"/>
        <v>Stable Earnings</v>
      </c>
      <c r="N506" s="2" t="str">
        <f t="shared" si="44"/>
        <v>Moderate</v>
      </c>
      <c r="O506" s="4" t="str">
        <f t="shared" si="45"/>
        <v>Accounting Risk</v>
      </c>
      <c r="P506" s="4" t="str">
        <f t="shared" si="46"/>
        <v>Moderate</v>
      </c>
      <c r="Q506" s="4" t="str">
        <f t="shared" si="47"/>
        <v>Strong Long-Term Growth</v>
      </c>
    </row>
    <row r="507" spans="1:17" x14ac:dyDescent="0.35">
      <c r="A507" s="2" t="s">
        <v>518</v>
      </c>
      <c r="B507" s="2">
        <v>5</v>
      </c>
      <c r="C507" s="2">
        <v>-56041028.159999996</v>
      </c>
      <c r="D507" s="2">
        <v>0.4</v>
      </c>
      <c r="E507" s="2">
        <v>89608933.579999998</v>
      </c>
      <c r="F507" s="2">
        <v>-50450160.899999999</v>
      </c>
      <c r="G507" s="2">
        <v>4</v>
      </c>
      <c r="H507" s="2">
        <v>3</v>
      </c>
      <c r="I507" s="2">
        <v>4</v>
      </c>
      <c r="J507" s="2">
        <v>3.7</v>
      </c>
      <c r="K507" s="2" t="s">
        <v>306</v>
      </c>
      <c r="L507" s="2" t="str">
        <f t="shared" si="42"/>
        <v>Loss Making</v>
      </c>
      <c r="M507" s="2" t="str">
        <f t="shared" si="43"/>
        <v>Stable Earnings</v>
      </c>
      <c r="N507" s="2" t="str">
        <f t="shared" si="44"/>
        <v>Moderate</v>
      </c>
      <c r="O507" s="4" t="str">
        <f t="shared" si="45"/>
        <v>Accounting Risk</v>
      </c>
      <c r="P507" s="4" t="str">
        <f t="shared" si="46"/>
        <v>Moderate</v>
      </c>
      <c r="Q507" s="4" t="str">
        <f t="shared" si="47"/>
        <v>Strong Long-Term Growth</v>
      </c>
    </row>
    <row r="508" spans="1:17" x14ac:dyDescent="0.35">
      <c r="A508" s="2" t="s">
        <v>519</v>
      </c>
      <c r="B508" s="2">
        <v>5</v>
      </c>
      <c r="C508" s="2">
        <v>-42408930.259999998</v>
      </c>
      <c r="D508" s="2">
        <v>0.2</v>
      </c>
      <c r="E508" s="2">
        <v>63535771.280000001</v>
      </c>
      <c r="F508" s="2">
        <v>-74714730.799999997</v>
      </c>
      <c r="G508" s="2">
        <v>4</v>
      </c>
      <c r="H508" s="2">
        <v>3</v>
      </c>
      <c r="I508" s="2">
        <v>4</v>
      </c>
      <c r="J508" s="2">
        <v>3.7</v>
      </c>
      <c r="K508" s="2" t="s">
        <v>306</v>
      </c>
      <c r="L508" s="2" t="str">
        <f t="shared" si="42"/>
        <v>Loss Making</v>
      </c>
      <c r="M508" s="2" t="str">
        <f t="shared" si="43"/>
        <v>Stable Earnings</v>
      </c>
      <c r="N508" s="2" t="str">
        <f t="shared" si="44"/>
        <v>Moderate</v>
      </c>
      <c r="O508" s="4" t="str">
        <f t="shared" si="45"/>
        <v>Accounting Risk</v>
      </c>
      <c r="P508" s="4" t="str">
        <f t="shared" si="46"/>
        <v>Moderate</v>
      </c>
      <c r="Q508" s="4" t="str">
        <f t="shared" si="47"/>
        <v>Strong Long-Term Growth</v>
      </c>
    </row>
    <row r="509" spans="1:17" x14ac:dyDescent="0.35">
      <c r="A509" s="2" t="s">
        <v>520</v>
      </c>
      <c r="B509" s="2">
        <v>5</v>
      </c>
      <c r="C509" s="2">
        <v>-260031177</v>
      </c>
      <c r="D509" s="2">
        <v>0</v>
      </c>
      <c r="E509" s="2">
        <v>55427787.280000001</v>
      </c>
      <c r="F509" s="2">
        <v>-78150955.599999994</v>
      </c>
      <c r="G509" s="2">
        <v>4</v>
      </c>
      <c r="H509" s="2">
        <v>3</v>
      </c>
      <c r="I509" s="2">
        <v>4</v>
      </c>
      <c r="J509" s="2">
        <v>3.7</v>
      </c>
      <c r="K509" s="2" t="s">
        <v>306</v>
      </c>
      <c r="L509" s="2" t="str">
        <f t="shared" si="42"/>
        <v>Loss Making</v>
      </c>
      <c r="M509" s="2" t="str">
        <f t="shared" si="43"/>
        <v>Stable Earnings</v>
      </c>
      <c r="N509" s="2" t="str">
        <f t="shared" si="44"/>
        <v>Moderate</v>
      </c>
      <c r="O509" s="4" t="str">
        <f t="shared" si="45"/>
        <v>Accounting Risk</v>
      </c>
      <c r="P509" s="4" t="str">
        <f t="shared" si="46"/>
        <v>Moderate</v>
      </c>
      <c r="Q509" s="4" t="str">
        <f t="shared" si="47"/>
        <v>Strong Long-Term Growth</v>
      </c>
    </row>
    <row r="510" spans="1:17" x14ac:dyDescent="0.35">
      <c r="A510" s="2" t="s">
        <v>521</v>
      </c>
      <c r="B510" s="2">
        <v>5</v>
      </c>
      <c r="C510" s="2">
        <v>-14188310.619999999</v>
      </c>
      <c r="D510" s="2">
        <v>0.4</v>
      </c>
      <c r="E510" s="2">
        <v>58718265.289999999</v>
      </c>
      <c r="F510" s="2">
        <v>-76964961.099999994</v>
      </c>
      <c r="G510" s="2">
        <v>4</v>
      </c>
      <c r="H510" s="2">
        <v>3</v>
      </c>
      <c r="I510" s="2">
        <v>4</v>
      </c>
      <c r="J510" s="2">
        <v>3.7</v>
      </c>
      <c r="K510" s="2" t="s">
        <v>306</v>
      </c>
      <c r="L510" s="2" t="str">
        <f t="shared" si="42"/>
        <v>Loss Making</v>
      </c>
      <c r="M510" s="2" t="str">
        <f t="shared" si="43"/>
        <v>Stable Earnings</v>
      </c>
      <c r="N510" s="2" t="str">
        <f t="shared" si="44"/>
        <v>Moderate</v>
      </c>
      <c r="O510" s="4" t="str">
        <f t="shared" si="45"/>
        <v>Accounting Risk</v>
      </c>
      <c r="P510" s="4" t="str">
        <f t="shared" si="46"/>
        <v>Moderate</v>
      </c>
      <c r="Q510" s="4" t="str">
        <f t="shared" si="47"/>
        <v>Strong Long-Term Growth</v>
      </c>
    </row>
    <row r="511" spans="1:17" x14ac:dyDescent="0.35">
      <c r="A511" s="2" t="s">
        <v>522</v>
      </c>
      <c r="B511" s="2">
        <v>5</v>
      </c>
      <c r="C511" s="2">
        <v>-14052794.98</v>
      </c>
      <c r="D511" s="2">
        <v>0.6</v>
      </c>
      <c r="E511" s="2">
        <v>147770632.19999999</v>
      </c>
      <c r="F511" s="2">
        <v>-100296632.3</v>
      </c>
      <c r="G511" s="2">
        <v>3</v>
      </c>
      <c r="H511" s="2">
        <v>4</v>
      </c>
      <c r="I511" s="2">
        <v>5</v>
      </c>
      <c r="J511" s="2">
        <v>3.7</v>
      </c>
      <c r="K511" s="2" t="s">
        <v>306</v>
      </c>
      <c r="L511" s="2" t="str">
        <f t="shared" si="42"/>
        <v>Loss Making</v>
      </c>
      <c r="M511" s="2" t="str">
        <f t="shared" si="43"/>
        <v>Stable Earnings</v>
      </c>
      <c r="N511" s="2" t="str">
        <f t="shared" si="44"/>
        <v>Low Quality</v>
      </c>
      <c r="O511" s="4" t="str">
        <f t="shared" si="45"/>
        <v>Accounting Risk</v>
      </c>
      <c r="P511" s="4" t="str">
        <f t="shared" si="46"/>
        <v>Low Quality</v>
      </c>
      <c r="Q511" s="4" t="str">
        <f t="shared" si="47"/>
        <v>Strong Long-Term Growth</v>
      </c>
    </row>
    <row r="512" spans="1:17" x14ac:dyDescent="0.35">
      <c r="A512" s="2" t="s">
        <v>523</v>
      </c>
      <c r="B512" s="2">
        <v>5</v>
      </c>
      <c r="C512" s="2">
        <v>112915210.09999999</v>
      </c>
      <c r="D512" s="2">
        <v>0.6</v>
      </c>
      <c r="E512" s="2">
        <v>206562395.59999999</v>
      </c>
      <c r="F512" s="2">
        <v>-94491363.599999994</v>
      </c>
      <c r="G512" s="2">
        <v>3</v>
      </c>
      <c r="H512" s="2">
        <v>4</v>
      </c>
      <c r="I512" s="2">
        <v>5</v>
      </c>
      <c r="J512" s="2">
        <v>3.7</v>
      </c>
      <c r="K512" s="2" t="s">
        <v>306</v>
      </c>
      <c r="L512" s="2" t="str">
        <f t="shared" si="42"/>
        <v>Profitable</v>
      </c>
      <c r="M512" s="2" t="str">
        <f t="shared" si="43"/>
        <v>Stable Earnings</v>
      </c>
      <c r="N512" s="2" t="str">
        <f t="shared" si="44"/>
        <v>Low Quality</v>
      </c>
      <c r="O512" s="4" t="str">
        <f t="shared" si="45"/>
        <v>Accounting Risk</v>
      </c>
      <c r="P512" s="4" t="str">
        <f t="shared" si="46"/>
        <v>Low Quality</v>
      </c>
      <c r="Q512" s="4" t="str">
        <f t="shared" si="47"/>
        <v>Strong Long-Term Growth</v>
      </c>
    </row>
    <row r="513" spans="1:17" x14ac:dyDescent="0.35">
      <c r="A513" s="2" t="s">
        <v>524</v>
      </c>
      <c r="B513" s="2">
        <v>5</v>
      </c>
      <c r="C513" s="2">
        <v>73267028.719999999</v>
      </c>
      <c r="D513" s="2">
        <v>0.6</v>
      </c>
      <c r="E513" s="2">
        <v>139946451.40000001</v>
      </c>
      <c r="F513" s="2">
        <v>-117565780.3</v>
      </c>
      <c r="G513" s="2">
        <v>3</v>
      </c>
      <c r="H513" s="2">
        <v>4</v>
      </c>
      <c r="I513" s="2">
        <v>5</v>
      </c>
      <c r="J513" s="2">
        <v>3.7</v>
      </c>
      <c r="K513" s="2" t="s">
        <v>306</v>
      </c>
      <c r="L513" s="2" t="str">
        <f t="shared" si="42"/>
        <v>Profitable</v>
      </c>
      <c r="M513" s="2" t="str">
        <f t="shared" si="43"/>
        <v>Stable Earnings</v>
      </c>
      <c r="N513" s="2" t="str">
        <f t="shared" si="44"/>
        <v>Low Quality</v>
      </c>
      <c r="O513" s="4" t="str">
        <f t="shared" si="45"/>
        <v>Accounting Risk</v>
      </c>
      <c r="P513" s="4" t="str">
        <f t="shared" si="46"/>
        <v>Low Quality</v>
      </c>
      <c r="Q513" s="4" t="str">
        <f t="shared" si="47"/>
        <v>Strong Long-Term Growth</v>
      </c>
    </row>
    <row r="514" spans="1:17" x14ac:dyDescent="0.35">
      <c r="A514" s="2" t="s">
        <v>525</v>
      </c>
      <c r="B514" s="2">
        <v>5</v>
      </c>
      <c r="C514" s="2">
        <v>63993597.280000001</v>
      </c>
      <c r="D514" s="2">
        <v>0.8</v>
      </c>
      <c r="E514" s="2">
        <v>157752403.5</v>
      </c>
      <c r="F514" s="2">
        <v>-121693043.90000001</v>
      </c>
      <c r="G514" s="2">
        <v>3</v>
      </c>
      <c r="H514" s="2">
        <v>4</v>
      </c>
      <c r="I514" s="2">
        <v>5</v>
      </c>
      <c r="J514" s="2">
        <v>3.7</v>
      </c>
      <c r="K514" s="2" t="s">
        <v>306</v>
      </c>
      <c r="L514" s="2" t="str">
        <f t="shared" ref="L514:L577" si="48">IF(C514&gt;0,"Profitable","Loss Making")</f>
        <v>Profitable</v>
      </c>
      <c r="M514" s="2" t="str">
        <f t="shared" ref="M514:M577" si="49">IF(C514&gt;500000000,"High Volatility","Stable Earnings")</f>
        <v>Stable Earnings</v>
      </c>
      <c r="N514" s="2" t="str">
        <f t="shared" ref="N514:N577" si="50">IF(G514&gt;=7,"High Quality",IF(G514&gt;=4,"Moderate","Low Quality"))</f>
        <v>Low Quality</v>
      </c>
      <c r="O514" s="4" t="str">
        <f t="shared" ref="O514:O577" si="51">IF(AND(F514&gt;0,D514&gt;0.6),"Operational Growth","Accounting Risk")</f>
        <v>Accounting Risk</v>
      </c>
      <c r="P514" s="4" t="str">
        <f t="shared" ref="P514:P577" si="52">IF(G514&gt;=7,"High Quality", IF(G514&gt;=4,"Moderate","Low Quality"))</f>
        <v>Low Quality</v>
      </c>
      <c r="Q514" s="4" t="str">
        <f t="shared" ref="Q514:Q577" si="53">IF(I514&gt;=4,"Strong Long-Term Growth",IF(I514&gt;=2,"Moderate Growth","Weak Growth"))</f>
        <v>Strong Long-Term Growth</v>
      </c>
    </row>
    <row r="515" spans="1:17" x14ac:dyDescent="0.35">
      <c r="A515" s="2" t="s">
        <v>526</v>
      </c>
      <c r="B515" s="2">
        <v>5</v>
      </c>
      <c r="C515" s="2">
        <v>134446718.30000001</v>
      </c>
      <c r="D515" s="2">
        <v>0.8</v>
      </c>
      <c r="E515" s="2">
        <v>111648824</v>
      </c>
      <c r="F515" s="2">
        <v>-120647346.8</v>
      </c>
      <c r="G515" s="2">
        <v>3</v>
      </c>
      <c r="H515" s="2">
        <v>4</v>
      </c>
      <c r="I515" s="2">
        <v>5</v>
      </c>
      <c r="J515" s="2">
        <v>3.7</v>
      </c>
      <c r="K515" s="2" t="s">
        <v>306</v>
      </c>
      <c r="L515" s="2" t="str">
        <f t="shared" si="48"/>
        <v>Profitable</v>
      </c>
      <c r="M515" s="2" t="str">
        <f t="shared" si="49"/>
        <v>Stable Earnings</v>
      </c>
      <c r="N515" s="2" t="str">
        <f t="shared" si="50"/>
        <v>Low Quality</v>
      </c>
      <c r="O515" s="4" t="str">
        <f t="shared" si="51"/>
        <v>Accounting Risk</v>
      </c>
      <c r="P515" s="4" t="str">
        <f t="shared" si="52"/>
        <v>Low Quality</v>
      </c>
      <c r="Q515" s="4" t="str">
        <f t="shared" si="53"/>
        <v>Strong Long-Term Growth</v>
      </c>
    </row>
    <row r="516" spans="1:17" x14ac:dyDescent="0.35">
      <c r="A516" s="2" t="s">
        <v>527</v>
      </c>
      <c r="B516" s="2">
        <v>5</v>
      </c>
      <c r="C516" s="2">
        <v>-55864860.640000001</v>
      </c>
      <c r="D516" s="2">
        <v>0.6</v>
      </c>
      <c r="E516" s="2">
        <v>162525298</v>
      </c>
      <c r="F516" s="2">
        <v>-115482274.5</v>
      </c>
      <c r="G516" s="2">
        <v>3</v>
      </c>
      <c r="H516" s="2">
        <v>4</v>
      </c>
      <c r="I516" s="2">
        <v>5</v>
      </c>
      <c r="J516" s="2">
        <v>3.7</v>
      </c>
      <c r="K516" s="2" t="s">
        <v>306</v>
      </c>
      <c r="L516" s="2" t="str">
        <f t="shared" si="48"/>
        <v>Loss Making</v>
      </c>
      <c r="M516" s="2" t="str">
        <f t="shared" si="49"/>
        <v>Stable Earnings</v>
      </c>
      <c r="N516" s="2" t="str">
        <f t="shared" si="50"/>
        <v>Low Quality</v>
      </c>
      <c r="O516" s="4" t="str">
        <f t="shared" si="51"/>
        <v>Accounting Risk</v>
      </c>
      <c r="P516" s="4" t="str">
        <f t="shared" si="52"/>
        <v>Low Quality</v>
      </c>
      <c r="Q516" s="4" t="str">
        <f t="shared" si="53"/>
        <v>Strong Long-Term Growth</v>
      </c>
    </row>
    <row r="517" spans="1:17" x14ac:dyDescent="0.35">
      <c r="A517" s="2" t="s">
        <v>528</v>
      </c>
      <c r="B517" s="2">
        <v>5</v>
      </c>
      <c r="C517" s="2">
        <v>36046468.240000002</v>
      </c>
      <c r="D517" s="2">
        <v>0.6</v>
      </c>
      <c r="E517" s="2">
        <v>201314038.09999999</v>
      </c>
      <c r="F517" s="2">
        <v>-320272633.19999999</v>
      </c>
      <c r="G517" s="2">
        <v>3</v>
      </c>
      <c r="H517" s="2">
        <v>4</v>
      </c>
      <c r="I517" s="2">
        <v>5</v>
      </c>
      <c r="J517" s="2">
        <v>3.7</v>
      </c>
      <c r="K517" s="2" t="s">
        <v>306</v>
      </c>
      <c r="L517" s="2" t="str">
        <f t="shared" si="48"/>
        <v>Profitable</v>
      </c>
      <c r="M517" s="2" t="str">
        <f t="shared" si="49"/>
        <v>Stable Earnings</v>
      </c>
      <c r="N517" s="2" t="str">
        <f t="shared" si="50"/>
        <v>Low Quality</v>
      </c>
      <c r="O517" s="4" t="str">
        <f t="shared" si="51"/>
        <v>Accounting Risk</v>
      </c>
      <c r="P517" s="4" t="str">
        <f t="shared" si="52"/>
        <v>Low Quality</v>
      </c>
      <c r="Q517" s="4" t="str">
        <f t="shared" si="53"/>
        <v>Strong Long-Term Growth</v>
      </c>
    </row>
    <row r="518" spans="1:17" x14ac:dyDescent="0.35">
      <c r="A518" s="2" t="s">
        <v>529</v>
      </c>
      <c r="B518" s="2">
        <v>5</v>
      </c>
      <c r="C518" s="2">
        <v>109180989.5</v>
      </c>
      <c r="D518" s="2">
        <v>0.6</v>
      </c>
      <c r="E518" s="2">
        <v>128546639.5</v>
      </c>
      <c r="F518" s="2">
        <v>-268240893.19999999</v>
      </c>
      <c r="G518" s="2">
        <v>3</v>
      </c>
      <c r="H518" s="2">
        <v>4</v>
      </c>
      <c r="I518" s="2">
        <v>5</v>
      </c>
      <c r="J518" s="2">
        <v>3.7</v>
      </c>
      <c r="K518" s="2" t="s">
        <v>306</v>
      </c>
      <c r="L518" s="2" t="str">
        <f t="shared" si="48"/>
        <v>Profitable</v>
      </c>
      <c r="M518" s="2" t="str">
        <f t="shared" si="49"/>
        <v>Stable Earnings</v>
      </c>
      <c r="N518" s="2" t="str">
        <f t="shared" si="50"/>
        <v>Low Quality</v>
      </c>
      <c r="O518" s="4" t="str">
        <f t="shared" si="51"/>
        <v>Accounting Risk</v>
      </c>
      <c r="P518" s="4" t="str">
        <f t="shared" si="52"/>
        <v>Low Quality</v>
      </c>
      <c r="Q518" s="4" t="str">
        <f t="shared" si="53"/>
        <v>Strong Long-Term Growth</v>
      </c>
    </row>
    <row r="519" spans="1:17" x14ac:dyDescent="0.35">
      <c r="A519" s="2" t="s">
        <v>530</v>
      </c>
      <c r="B519" s="2">
        <v>5</v>
      </c>
      <c r="C519" s="2">
        <v>-19103683.34</v>
      </c>
      <c r="D519" s="2">
        <v>0.8</v>
      </c>
      <c r="E519" s="2">
        <v>147208187.69999999</v>
      </c>
      <c r="F519" s="2">
        <v>-277276033.89999998</v>
      </c>
      <c r="G519" s="2">
        <v>3</v>
      </c>
      <c r="H519" s="2">
        <v>4</v>
      </c>
      <c r="I519" s="2">
        <v>5</v>
      </c>
      <c r="J519" s="2">
        <v>3.7</v>
      </c>
      <c r="K519" s="2" t="s">
        <v>306</v>
      </c>
      <c r="L519" s="2" t="str">
        <f t="shared" si="48"/>
        <v>Loss Making</v>
      </c>
      <c r="M519" s="2" t="str">
        <f t="shared" si="49"/>
        <v>Stable Earnings</v>
      </c>
      <c r="N519" s="2" t="str">
        <f t="shared" si="50"/>
        <v>Low Quality</v>
      </c>
      <c r="O519" s="4" t="str">
        <f t="shared" si="51"/>
        <v>Accounting Risk</v>
      </c>
      <c r="P519" s="4" t="str">
        <f t="shared" si="52"/>
        <v>Low Quality</v>
      </c>
      <c r="Q519" s="4" t="str">
        <f t="shared" si="53"/>
        <v>Strong Long-Term Growth</v>
      </c>
    </row>
    <row r="520" spans="1:17" x14ac:dyDescent="0.35">
      <c r="A520" s="2" t="s">
        <v>531</v>
      </c>
      <c r="B520" s="2">
        <v>5</v>
      </c>
      <c r="C520" s="2">
        <v>223335681.69999999</v>
      </c>
      <c r="D520" s="2">
        <v>0.8</v>
      </c>
      <c r="E520" s="2">
        <v>324916552.60000002</v>
      </c>
      <c r="F520" s="2">
        <v>-397437551.69999999</v>
      </c>
      <c r="G520" s="2">
        <v>3</v>
      </c>
      <c r="H520" s="2">
        <v>4</v>
      </c>
      <c r="I520" s="2">
        <v>5</v>
      </c>
      <c r="J520" s="2">
        <v>3.7</v>
      </c>
      <c r="K520" s="2" t="s">
        <v>306</v>
      </c>
      <c r="L520" s="2" t="str">
        <f t="shared" si="48"/>
        <v>Profitable</v>
      </c>
      <c r="M520" s="2" t="str">
        <f t="shared" si="49"/>
        <v>Stable Earnings</v>
      </c>
      <c r="N520" s="2" t="str">
        <f t="shared" si="50"/>
        <v>Low Quality</v>
      </c>
      <c r="O520" s="4" t="str">
        <f t="shared" si="51"/>
        <v>Accounting Risk</v>
      </c>
      <c r="P520" s="4" t="str">
        <f t="shared" si="52"/>
        <v>Low Quality</v>
      </c>
      <c r="Q520" s="4" t="str">
        <f t="shared" si="53"/>
        <v>Strong Long-Term Growth</v>
      </c>
    </row>
    <row r="521" spans="1:17" x14ac:dyDescent="0.35">
      <c r="A521" s="2" t="s">
        <v>532</v>
      </c>
      <c r="B521" s="2">
        <v>5</v>
      </c>
      <c r="C521" s="2">
        <v>87635579.120000005</v>
      </c>
      <c r="D521" s="2">
        <v>0.6</v>
      </c>
      <c r="E521" s="2">
        <v>152247684.69999999</v>
      </c>
      <c r="F521" s="2">
        <v>-372714834.80000001</v>
      </c>
      <c r="G521" s="2">
        <v>3</v>
      </c>
      <c r="H521" s="2">
        <v>4</v>
      </c>
      <c r="I521" s="2">
        <v>5</v>
      </c>
      <c r="J521" s="2">
        <v>3.7</v>
      </c>
      <c r="K521" s="2" t="s">
        <v>306</v>
      </c>
      <c r="L521" s="2" t="str">
        <f t="shared" si="48"/>
        <v>Profitable</v>
      </c>
      <c r="M521" s="2" t="str">
        <f t="shared" si="49"/>
        <v>Stable Earnings</v>
      </c>
      <c r="N521" s="2" t="str">
        <f t="shared" si="50"/>
        <v>Low Quality</v>
      </c>
      <c r="O521" s="4" t="str">
        <f t="shared" si="51"/>
        <v>Accounting Risk</v>
      </c>
      <c r="P521" s="4" t="str">
        <f t="shared" si="52"/>
        <v>Low Quality</v>
      </c>
      <c r="Q521" s="4" t="str">
        <f t="shared" si="53"/>
        <v>Strong Long-Term Growth</v>
      </c>
    </row>
    <row r="522" spans="1:17" x14ac:dyDescent="0.35">
      <c r="A522" s="2" t="s">
        <v>533</v>
      </c>
      <c r="B522" s="2">
        <v>5</v>
      </c>
      <c r="C522" s="2">
        <v>-67198952.420000002</v>
      </c>
      <c r="D522" s="2">
        <v>0.6</v>
      </c>
      <c r="E522" s="2">
        <v>214043744.40000001</v>
      </c>
      <c r="F522" s="2">
        <v>-389389839.10000002</v>
      </c>
      <c r="G522" s="2">
        <v>3</v>
      </c>
      <c r="H522" s="2">
        <v>4</v>
      </c>
      <c r="I522" s="2">
        <v>5</v>
      </c>
      <c r="J522" s="2">
        <v>3.7</v>
      </c>
      <c r="K522" s="2" t="s">
        <v>306</v>
      </c>
      <c r="L522" s="2" t="str">
        <f t="shared" si="48"/>
        <v>Loss Making</v>
      </c>
      <c r="M522" s="2" t="str">
        <f t="shared" si="49"/>
        <v>Stable Earnings</v>
      </c>
      <c r="N522" s="2" t="str">
        <f t="shared" si="50"/>
        <v>Low Quality</v>
      </c>
      <c r="O522" s="4" t="str">
        <f t="shared" si="51"/>
        <v>Accounting Risk</v>
      </c>
      <c r="P522" s="4" t="str">
        <f t="shared" si="52"/>
        <v>Low Quality</v>
      </c>
      <c r="Q522" s="4" t="str">
        <f t="shared" si="53"/>
        <v>Strong Long-Term Growth</v>
      </c>
    </row>
    <row r="523" spans="1:17" x14ac:dyDescent="0.35">
      <c r="A523" s="2" t="s">
        <v>534</v>
      </c>
      <c r="B523" s="2">
        <v>5</v>
      </c>
      <c r="C523" s="2">
        <v>69874354.840000004</v>
      </c>
      <c r="D523" s="2">
        <v>0.8</v>
      </c>
      <c r="E523" s="2">
        <v>161146512</v>
      </c>
      <c r="F523" s="2">
        <v>-352851085.39999998</v>
      </c>
      <c r="G523" s="2">
        <v>3</v>
      </c>
      <c r="H523" s="2">
        <v>4</v>
      </c>
      <c r="I523" s="2">
        <v>5</v>
      </c>
      <c r="J523" s="2">
        <v>3.7</v>
      </c>
      <c r="K523" s="2" t="s">
        <v>306</v>
      </c>
      <c r="L523" s="2" t="str">
        <f t="shared" si="48"/>
        <v>Profitable</v>
      </c>
      <c r="M523" s="2" t="str">
        <f t="shared" si="49"/>
        <v>Stable Earnings</v>
      </c>
      <c r="N523" s="2" t="str">
        <f t="shared" si="50"/>
        <v>Low Quality</v>
      </c>
      <c r="O523" s="4" t="str">
        <f t="shared" si="51"/>
        <v>Accounting Risk</v>
      </c>
      <c r="P523" s="4" t="str">
        <f t="shared" si="52"/>
        <v>Low Quality</v>
      </c>
      <c r="Q523" s="4" t="str">
        <f t="shared" si="53"/>
        <v>Strong Long-Term Growth</v>
      </c>
    </row>
    <row r="524" spans="1:17" x14ac:dyDescent="0.35">
      <c r="A524" s="2" t="s">
        <v>535</v>
      </c>
      <c r="B524" s="2">
        <v>5</v>
      </c>
      <c r="C524" s="2">
        <v>66797097.039999999</v>
      </c>
      <c r="D524" s="2">
        <v>0.6</v>
      </c>
      <c r="E524" s="2">
        <v>227404686.09999999</v>
      </c>
      <c r="F524" s="2">
        <v>-354897842.69999999</v>
      </c>
      <c r="G524" s="2">
        <v>3</v>
      </c>
      <c r="H524" s="2">
        <v>4</v>
      </c>
      <c r="I524" s="2">
        <v>5</v>
      </c>
      <c r="J524" s="2">
        <v>3.7</v>
      </c>
      <c r="K524" s="2" t="s">
        <v>306</v>
      </c>
      <c r="L524" s="2" t="str">
        <f t="shared" si="48"/>
        <v>Profitable</v>
      </c>
      <c r="M524" s="2" t="str">
        <f t="shared" si="49"/>
        <v>Stable Earnings</v>
      </c>
      <c r="N524" s="2" t="str">
        <f t="shared" si="50"/>
        <v>Low Quality</v>
      </c>
      <c r="O524" s="4" t="str">
        <f t="shared" si="51"/>
        <v>Accounting Risk</v>
      </c>
      <c r="P524" s="4" t="str">
        <f t="shared" si="52"/>
        <v>Low Quality</v>
      </c>
      <c r="Q524" s="4" t="str">
        <f t="shared" si="53"/>
        <v>Strong Long-Term Growth</v>
      </c>
    </row>
    <row r="525" spans="1:17" x14ac:dyDescent="0.35">
      <c r="A525" s="2" t="s">
        <v>536</v>
      </c>
      <c r="B525" s="2">
        <v>5</v>
      </c>
      <c r="C525" s="2">
        <v>225505435.40000001</v>
      </c>
      <c r="D525" s="2">
        <v>0.8</v>
      </c>
      <c r="E525" s="2">
        <v>206793642.59999999</v>
      </c>
      <c r="F525" s="2">
        <v>-444095087.19999999</v>
      </c>
      <c r="G525" s="2">
        <v>3</v>
      </c>
      <c r="H525" s="2">
        <v>4</v>
      </c>
      <c r="I525" s="2">
        <v>5</v>
      </c>
      <c r="J525" s="2">
        <v>3.7</v>
      </c>
      <c r="K525" s="2" t="s">
        <v>306</v>
      </c>
      <c r="L525" s="2" t="str">
        <f t="shared" si="48"/>
        <v>Profitable</v>
      </c>
      <c r="M525" s="2" t="str">
        <f t="shared" si="49"/>
        <v>Stable Earnings</v>
      </c>
      <c r="N525" s="2" t="str">
        <f t="shared" si="50"/>
        <v>Low Quality</v>
      </c>
      <c r="O525" s="4" t="str">
        <f t="shared" si="51"/>
        <v>Accounting Risk</v>
      </c>
      <c r="P525" s="4" t="str">
        <f t="shared" si="52"/>
        <v>Low Quality</v>
      </c>
      <c r="Q525" s="4" t="str">
        <f t="shared" si="53"/>
        <v>Strong Long-Term Growth</v>
      </c>
    </row>
    <row r="526" spans="1:17" x14ac:dyDescent="0.35">
      <c r="A526" s="2" t="s">
        <v>537</v>
      </c>
      <c r="B526" s="2">
        <v>5</v>
      </c>
      <c r="C526" s="2">
        <v>56612662.380000003</v>
      </c>
      <c r="D526" s="2">
        <v>0.4</v>
      </c>
      <c r="E526" s="2">
        <v>174677095.19999999</v>
      </c>
      <c r="F526" s="2">
        <v>-419641894.10000002</v>
      </c>
      <c r="G526" s="2">
        <v>3</v>
      </c>
      <c r="H526" s="2">
        <v>4</v>
      </c>
      <c r="I526" s="2">
        <v>5</v>
      </c>
      <c r="J526" s="2">
        <v>3.7</v>
      </c>
      <c r="K526" s="2" t="s">
        <v>306</v>
      </c>
      <c r="L526" s="2" t="str">
        <f t="shared" si="48"/>
        <v>Profitable</v>
      </c>
      <c r="M526" s="2" t="str">
        <f t="shared" si="49"/>
        <v>Stable Earnings</v>
      </c>
      <c r="N526" s="2" t="str">
        <f t="shared" si="50"/>
        <v>Low Quality</v>
      </c>
      <c r="O526" s="4" t="str">
        <f t="shared" si="51"/>
        <v>Accounting Risk</v>
      </c>
      <c r="P526" s="4" t="str">
        <f t="shared" si="52"/>
        <v>Low Quality</v>
      </c>
      <c r="Q526" s="4" t="str">
        <f t="shared" si="53"/>
        <v>Strong Long-Term Growth</v>
      </c>
    </row>
    <row r="527" spans="1:17" x14ac:dyDescent="0.35">
      <c r="A527" s="2" t="s">
        <v>538</v>
      </c>
      <c r="B527" s="2">
        <v>5</v>
      </c>
      <c r="C527" s="2">
        <v>109578122</v>
      </c>
      <c r="D527" s="2">
        <v>0.8</v>
      </c>
      <c r="E527" s="2">
        <v>159252253.5</v>
      </c>
      <c r="F527" s="2">
        <v>-420626542.30000001</v>
      </c>
      <c r="G527" s="2">
        <v>3</v>
      </c>
      <c r="H527" s="2">
        <v>4</v>
      </c>
      <c r="I527" s="2">
        <v>5</v>
      </c>
      <c r="J527" s="2">
        <v>3.7</v>
      </c>
      <c r="K527" s="2" t="s">
        <v>306</v>
      </c>
      <c r="L527" s="2" t="str">
        <f t="shared" si="48"/>
        <v>Profitable</v>
      </c>
      <c r="M527" s="2" t="str">
        <f t="shared" si="49"/>
        <v>Stable Earnings</v>
      </c>
      <c r="N527" s="2" t="str">
        <f t="shared" si="50"/>
        <v>Low Quality</v>
      </c>
      <c r="O527" s="4" t="str">
        <f t="shared" si="51"/>
        <v>Accounting Risk</v>
      </c>
      <c r="P527" s="4" t="str">
        <f t="shared" si="52"/>
        <v>Low Quality</v>
      </c>
      <c r="Q527" s="4" t="str">
        <f t="shared" si="53"/>
        <v>Strong Long-Term Growth</v>
      </c>
    </row>
    <row r="528" spans="1:17" x14ac:dyDescent="0.35">
      <c r="A528" s="2" t="s">
        <v>539</v>
      </c>
      <c r="B528" s="2">
        <v>5</v>
      </c>
      <c r="C528" s="2">
        <v>202704504.40000001</v>
      </c>
      <c r="D528" s="2">
        <v>0.8</v>
      </c>
      <c r="E528" s="2">
        <v>197047837.90000001</v>
      </c>
      <c r="F528" s="2">
        <v>-429101291</v>
      </c>
      <c r="G528" s="2">
        <v>3</v>
      </c>
      <c r="H528" s="2">
        <v>4</v>
      </c>
      <c r="I528" s="2">
        <v>5</v>
      </c>
      <c r="J528" s="2">
        <v>3.7</v>
      </c>
      <c r="K528" s="2" t="s">
        <v>306</v>
      </c>
      <c r="L528" s="2" t="str">
        <f t="shared" si="48"/>
        <v>Profitable</v>
      </c>
      <c r="M528" s="2" t="str">
        <f t="shared" si="49"/>
        <v>Stable Earnings</v>
      </c>
      <c r="N528" s="2" t="str">
        <f t="shared" si="50"/>
        <v>Low Quality</v>
      </c>
      <c r="O528" s="4" t="str">
        <f t="shared" si="51"/>
        <v>Accounting Risk</v>
      </c>
      <c r="P528" s="4" t="str">
        <f t="shared" si="52"/>
        <v>Low Quality</v>
      </c>
      <c r="Q528" s="4" t="str">
        <f t="shared" si="53"/>
        <v>Strong Long-Term Growth</v>
      </c>
    </row>
    <row r="529" spans="1:17" x14ac:dyDescent="0.35">
      <c r="A529" s="2" t="s">
        <v>540</v>
      </c>
      <c r="B529" s="2">
        <v>5</v>
      </c>
      <c r="C529" s="2">
        <v>162227589.30000001</v>
      </c>
      <c r="D529" s="2">
        <v>0.6</v>
      </c>
      <c r="E529" s="2">
        <v>242358554.80000001</v>
      </c>
      <c r="F529" s="2">
        <v>-461480520.5</v>
      </c>
      <c r="G529" s="2">
        <v>3</v>
      </c>
      <c r="H529" s="2">
        <v>4</v>
      </c>
      <c r="I529" s="2">
        <v>5</v>
      </c>
      <c r="J529" s="2">
        <v>3.7</v>
      </c>
      <c r="K529" s="2" t="s">
        <v>306</v>
      </c>
      <c r="L529" s="2" t="str">
        <f t="shared" si="48"/>
        <v>Profitable</v>
      </c>
      <c r="M529" s="2" t="str">
        <f t="shared" si="49"/>
        <v>Stable Earnings</v>
      </c>
      <c r="N529" s="2" t="str">
        <f t="shared" si="50"/>
        <v>Low Quality</v>
      </c>
      <c r="O529" s="4" t="str">
        <f t="shared" si="51"/>
        <v>Accounting Risk</v>
      </c>
      <c r="P529" s="4" t="str">
        <f t="shared" si="52"/>
        <v>Low Quality</v>
      </c>
      <c r="Q529" s="4" t="str">
        <f t="shared" si="53"/>
        <v>Strong Long-Term Growth</v>
      </c>
    </row>
    <row r="530" spans="1:17" x14ac:dyDescent="0.35">
      <c r="A530" s="2" t="s">
        <v>541</v>
      </c>
      <c r="B530" s="2">
        <v>5</v>
      </c>
      <c r="C530" s="2">
        <v>216385922.5</v>
      </c>
      <c r="D530" s="2">
        <v>0.8</v>
      </c>
      <c r="E530" s="2">
        <v>247420781.19999999</v>
      </c>
      <c r="F530" s="2">
        <v>-409982072</v>
      </c>
      <c r="G530" s="2">
        <v>3</v>
      </c>
      <c r="H530" s="2">
        <v>4</v>
      </c>
      <c r="I530" s="2">
        <v>5</v>
      </c>
      <c r="J530" s="2">
        <v>3.7</v>
      </c>
      <c r="K530" s="2" t="s">
        <v>306</v>
      </c>
      <c r="L530" s="2" t="str">
        <f t="shared" si="48"/>
        <v>Profitable</v>
      </c>
      <c r="M530" s="2" t="str">
        <f t="shared" si="49"/>
        <v>Stable Earnings</v>
      </c>
      <c r="N530" s="2" t="str">
        <f t="shared" si="50"/>
        <v>Low Quality</v>
      </c>
      <c r="O530" s="4" t="str">
        <f t="shared" si="51"/>
        <v>Accounting Risk</v>
      </c>
      <c r="P530" s="4" t="str">
        <f t="shared" si="52"/>
        <v>Low Quality</v>
      </c>
      <c r="Q530" s="4" t="str">
        <f t="shared" si="53"/>
        <v>Strong Long-Term Growth</v>
      </c>
    </row>
    <row r="531" spans="1:17" x14ac:dyDescent="0.35">
      <c r="A531" s="2" t="s">
        <v>542</v>
      </c>
      <c r="B531" s="2">
        <v>5</v>
      </c>
      <c r="C531" s="2">
        <v>17016481.899999999</v>
      </c>
      <c r="D531" s="2">
        <v>0.6</v>
      </c>
      <c r="E531" s="2">
        <v>192602367.30000001</v>
      </c>
      <c r="F531" s="2">
        <v>-468270129.30000001</v>
      </c>
      <c r="G531" s="2">
        <v>3</v>
      </c>
      <c r="H531" s="2">
        <v>4</v>
      </c>
      <c r="I531" s="2">
        <v>5</v>
      </c>
      <c r="J531" s="2">
        <v>3.7</v>
      </c>
      <c r="K531" s="2" t="s">
        <v>306</v>
      </c>
      <c r="L531" s="2" t="str">
        <f t="shared" si="48"/>
        <v>Profitable</v>
      </c>
      <c r="M531" s="2" t="str">
        <f t="shared" si="49"/>
        <v>Stable Earnings</v>
      </c>
      <c r="N531" s="2" t="str">
        <f t="shared" si="50"/>
        <v>Low Quality</v>
      </c>
      <c r="O531" s="4" t="str">
        <f t="shared" si="51"/>
        <v>Accounting Risk</v>
      </c>
      <c r="P531" s="4" t="str">
        <f t="shared" si="52"/>
        <v>Low Quality</v>
      </c>
      <c r="Q531" s="4" t="str">
        <f t="shared" si="53"/>
        <v>Strong Long-Term Growth</v>
      </c>
    </row>
    <row r="532" spans="1:17" x14ac:dyDescent="0.35">
      <c r="A532" s="2" t="s">
        <v>543</v>
      </c>
      <c r="B532" s="2">
        <v>5</v>
      </c>
      <c r="C532" s="2">
        <v>-130472789.7</v>
      </c>
      <c r="D532" s="2">
        <v>0.6</v>
      </c>
      <c r="E532" s="2">
        <v>263881383.09999999</v>
      </c>
      <c r="F532" s="2">
        <v>-599967695</v>
      </c>
      <c r="G532" s="2">
        <v>3</v>
      </c>
      <c r="H532" s="2">
        <v>4</v>
      </c>
      <c r="I532" s="2">
        <v>5</v>
      </c>
      <c r="J532" s="2">
        <v>3.7</v>
      </c>
      <c r="K532" s="2" t="s">
        <v>306</v>
      </c>
      <c r="L532" s="2" t="str">
        <f t="shared" si="48"/>
        <v>Loss Making</v>
      </c>
      <c r="M532" s="2" t="str">
        <f t="shared" si="49"/>
        <v>Stable Earnings</v>
      </c>
      <c r="N532" s="2" t="str">
        <f t="shared" si="50"/>
        <v>Low Quality</v>
      </c>
      <c r="O532" s="4" t="str">
        <f t="shared" si="51"/>
        <v>Accounting Risk</v>
      </c>
      <c r="P532" s="4" t="str">
        <f t="shared" si="52"/>
        <v>Low Quality</v>
      </c>
      <c r="Q532" s="4" t="str">
        <f t="shared" si="53"/>
        <v>Strong Long-Term Growth</v>
      </c>
    </row>
    <row r="533" spans="1:17" x14ac:dyDescent="0.35">
      <c r="A533" s="2" t="s">
        <v>544</v>
      </c>
      <c r="B533" s="2">
        <v>5</v>
      </c>
      <c r="C533" s="2">
        <v>94460723.719999999</v>
      </c>
      <c r="D533" s="2">
        <v>0.8</v>
      </c>
      <c r="E533" s="2">
        <v>249244803.80000001</v>
      </c>
      <c r="F533" s="2">
        <v>-548300515.39999998</v>
      </c>
      <c r="G533" s="2">
        <v>3</v>
      </c>
      <c r="H533" s="2">
        <v>4</v>
      </c>
      <c r="I533" s="2">
        <v>5</v>
      </c>
      <c r="J533" s="2">
        <v>3.7</v>
      </c>
      <c r="K533" s="2" t="s">
        <v>306</v>
      </c>
      <c r="L533" s="2" t="str">
        <f t="shared" si="48"/>
        <v>Profitable</v>
      </c>
      <c r="M533" s="2" t="str">
        <f t="shared" si="49"/>
        <v>Stable Earnings</v>
      </c>
      <c r="N533" s="2" t="str">
        <f t="shared" si="50"/>
        <v>Low Quality</v>
      </c>
      <c r="O533" s="4" t="str">
        <f t="shared" si="51"/>
        <v>Accounting Risk</v>
      </c>
      <c r="P533" s="4" t="str">
        <f t="shared" si="52"/>
        <v>Low Quality</v>
      </c>
      <c r="Q533" s="4" t="str">
        <f t="shared" si="53"/>
        <v>Strong Long-Term Growth</v>
      </c>
    </row>
    <row r="534" spans="1:17" x14ac:dyDescent="0.35">
      <c r="A534" s="2" t="s">
        <v>545</v>
      </c>
      <c r="B534" s="2">
        <v>5</v>
      </c>
      <c r="C534" s="2">
        <v>-34176187.299999997</v>
      </c>
      <c r="D534" s="2">
        <v>0.6</v>
      </c>
      <c r="E534" s="2">
        <v>237993957.90000001</v>
      </c>
      <c r="F534" s="2">
        <v>-571691722.5</v>
      </c>
      <c r="G534" s="2">
        <v>3</v>
      </c>
      <c r="H534" s="2">
        <v>4</v>
      </c>
      <c r="I534" s="2">
        <v>5</v>
      </c>
      <c r="J534" s="2">
        <v>3.7</v>
      </c>
      <c r="K534" s="2" t="s">
        <v>306</v>
      </c>
      <c r="L534" s="2" t="str">
        <f t="shared" si="48"/>
        <v>Loss Making</v>
      </c>
      <c r="M534" s="2" t="str">
        <f t="shared" si="49"/>
        <v>Stable Earnings</v>
      </c>
      <c r="N534" s="2" t="str">
        <f t="shared" si="50"/>
        <v>Low Quality</v>
      </c>
      <c r="O534" s="4" t="str">
        <f t="shared" si="51"/>
        <v>Accounting Risk</v>
      </c>
      <c r="P534" s="4" t="str">
        <f t="shared" si="52"/>
        <v>Low Quality</v>
      </c>
      <c r="Q534" s="4" t="str">
        <f t="shared" si="53"/>
        <v>Strong Long-Term Growth</v>
      </c>
    </row>
    <row r="535" spans="1:17" x14ac:dyDescent="0.35">
      <c r="A535" s="2" t="s">
        <v>546</v>
      </c>
      <c r="B535" s="2">
        <v>5</v>
      </c>
      <c r="C535" s="2">
        <v>138761974.80000001</v>
      </c>
      <c r="D535" s="2">
        <v>0.6</v>
      </c>
      <c r="E535" s="2">
        <v>249163875.30000001</v>
      </c>
      <c r="F535" s="2">
        <v>-166088912.19999999</v>
      </c>
      <c r="G535" s="2">
        <v>3</v>
      </c>
      <c r="H535" s="2">
        <v>4</v>
      </c>
      <c r="I535" s="2">
        <v>5</v>
      </c>
      <c r="J535" s="2">
        <v>3.7</v>
      </c>
      <c r="K535" s="2" t="s">
        <v>306</v>
      </c>
      <c r="L535" s="2" t="str">
        <f t="shared" si="48"/>
        <v>Profitable</v>
      </c>
      <c r="M535" s="2" t="str">
        <f t="shared" si="49"/>
        <v>Stable Earnings</v>
      </c>
      <c r="N535" s="2" t="str">
        <f t="shared" si="50"/>
        <v>Low Quality</v>
      </c>
      <c r="O535" s="4" t="str">
        <f t="shared" si="51"/>
        <v>Accounting Risk</v>
      </c>
      <c r="P535" s="4" t="str">
        <f t="shared" si="52"/>
        <v>Low Quality</v>
      </c>
      <c r="Q535" s="4" t="str">
        <f t="shared" si="53"/>
        <v>Strong Long-Term Growth</v>
      </c>
    </row>
    <row r="536" spans="1:17" x14ac:dyDescent="0.35">
      <c r="A536" s="2" t="s">
        <v>547</v>
      </c>
      <c r="B536" s="2">
        <v>5</v>
      </c>
      <c r="C536" s="2">
        <v>322142339.60000002</v>
      </c>
      <c r="D536" s="2">
        <v>0.8</v>
      </c>
      <c r="E536" s="2">
        <v>279569070</v>
      </c>
      <c r="F536" s="2">
        <v>-159123917.09999999</v>
      </c>
      <c r="G536" s="2">
        <v>3</v>
      </c>
      <c r="H536" s="2">
        <v>4</v>
      </c>
      <c r="I536" s="2">
        <v>5</v>
      </c>
      <c r="J536" s="2">
        <v>3.7</v>
      </c>
      <c r="K536" s="2" t="s">
        <v>306</v>
      </c>
      <c r="L536" s="2" t="str">
        <f t="shared" si="48"/>
        <v>Profitable</v>
      </c>
      <c r="M536" s="2" t="str">
        <f t="shared" si="49"/>
        <v>Stable Earnings</v>
      </c>
      <c r="N536" s="2" t="str">
        <f t="shared" si="50"/>
        <v>Low Quality</v>
      </c>
      <c r="O536" s="4" t="str">
        <f t="shared" si="51"/>
        <v>Accounting Risk</v>
      </c>
      <c r="P536" s="4" t="str">
        <f t="shared" si="52"/>
        <v>Low Quality</v>
      </c>
      <c r="Q536" s="4" t="str">
        <f t="shared" si="53"/>
        <v>Strong Long-Term Growth</v>
      </c>
    </row>
    <row r="537" spans="1:17" x14ac:dyDescent="0.35">
      <c r="A537" s="2" t="s">
        <v>548</v>
      </c>
      <c r="B537" s="2">
        <v>5</v>
      </c>
      <c r="C537" s="2">
        <v>-16152518.439999999</v>
      </c>
      <c r="D537" s="2">
        <v>0.6</v>
      </c>
      <c r="E537" s="2">
        <v>142158025.90000001</v>
      </c>
      <c r="F537" s="2">
        <v>-160302257.80000001</v>
      </c>
      <c r="G537" s="2">
        <v>3</v>
      </c>
      <c r="H537" s="2">
        <v>4</v>
      </c>
      <c r="I537" s="2">
        <v>5</v>
      </c>
      <c r="J537" s="2">
        <v>3.7</v>
      </c>
      <c r="K537" s="2" t="s">
        <v>306</v>
      </c>
      <c r="L537" s="2" t="str">
        <f t="shared" si="48"/>
        <v>Loss Making</v>
      </c>
      <c r="M537" s="2" t="str">
        <f t="shared" si="49"/>
        <v>Stable Earnings</v>
      </c>
      <c r="N537" s="2" t="str">
        <f t="shared" si="50"/>
        <v>Low Quality</v>
      </c>
      <c r="O537" s="4" t="str">
        <f t="shared" si="51"/>
        <v>Accounting Risk</v>
      </c>
      <c r="P537" s="4" t="str">
        <f t="shared" si="52"/>
        <v>Low Quality</v>
      </c>
      <c r="Q537" s="4" t="str">
        <f t="shared" si="53"/>
        <v>Strong Long-Term Growth</v>
      </c>
    </row>
    <row r="538" spans="1:17" x14ac:dyDescent="0.35">
      <c r="A538" s="2" t="s">
        <v>549</v>
      </c>
      <c r="B538" s="2">
        <v>5</v>
      </c>
      <c r="C538" s="2">
        <v>152392205.69999999</v>
      </c>
      <c r="D538" s="2">
        <v>0.8</v>
      </c>
      <c r="E538" s="2">
        <v>137683924.40000001</v>
      </c>
      <c r="F538" s="2">
        <v>-128836917.09999999</v>
      </c>
      <c r="G538" s="2">
        <v>3</v>
      </c>
      <c r="H538" s="2">
        <v>4</v>
      </c>
      <c r="I538" s="2">
        <v>5</v>
      </c>
      <c r="J538" s="2">
        <v>3.7</v>
      </c>
      <c r="K538" s="2" t="s">
        <v>306</v>
      </c>
      <c r="L538" s="2" t="str">
        <f t="shared" si="48"/>
        <v>Profitable</v>
      </c>
      <c r="M538" s="2" t="str">
        <f t="shared" si="49"/>
        <v>Stable Earnings</v>
      </c>
      <c r="N538" s="2" t="str">
        <f t="shared" si="50"/>
        <v>Low Quality</v>
      </c>
      <c r="O538" s="4" t="str">
        <f t="shared" si="51"/>
        <v>Accounting Risk</v>
      </c>
      <c r="P538" s="4" t="str">
        <f t="shared" si="52"/>
        <v>Low Quality</v>
      </c>
      <c r="Q538" s="4" t="str">
        <f t="shared" si="53"/>
        <v>Strong Long-Term Growth</v>
      </c>
    </row>
    <row r="539" spans="1:17" x14ac:dyDescent="0.35">
      <c r="A539" s="2" t="s">
        <v>550</v>
      </c>
      <c r="B539" s="2">
        <v>5</v>
      </c>
      <c r="C539" s="2">
        <v>244709720.80000001</v>
      </c>
      <c r="D539" s="2">
        <v>0.8</v>
      </c>
      <c r="E539" s="2">
        <v>277490782.69999999</v>
      </c>
      <c r="F539" s="2">
        <v>-132860548.5</v>
      </c>
      <c r="G539" s="2">
        <v>3</v>
      </c>
      <c r="H539" s="2">
        <v>4</v>
      </c>
      <c r="I539" s="2">
        <v>5</v>
      </c>
      <c r="J539" s="2">
        <v>3.7</v>
      </c>
      <c r="K539" s="2" t="s">
        <v>306</v>
      </c>
      <c r="L539" s="2" t="str">
        <f t="shared" si="48"/>
        <v>Profitable</v>
      </c>
      <c r="M539" s="2" t="str">
        <f t="shared" si="49"/>
        <v>Stable Earnings</v>
      </c>
      <c r="N539" s="2" t="str">
        <f t="shared" si="50"/>
        <v>Low Quality</v>
      </c>
      <c r="O539" s="4" t="str">
        <f t="shared" si="51"/>
        <v>Accounting Risk</v>
      </c>
      <c r="P539" s="4" t="str">
        <f t="shared" si="52"/>
        <v>Low Quality</v>
      </c>
      <c r="Q539" s="4" t="str">
        <f t="shared" si="53"/>
        <v>Strong Long-Term Growth</v>
      </c>
    </row>
    <row r="540" spans="1:17" x14ac:dyDescent="0.35">
      <c r="A540" s="2" t="s">
        <v>551</v>
      </c>
      <c r="B540" s="2">
        <v>5</v>
      </c>
      <c r="C540" s="2">
        <v>56808491.159999996</v>
      </c>
      <c r="D540" s="2">
        <v>0.6</v>
      </c>
      <c r="E540" s="2">
        <v>128204195.2</v>
      </c>
      <c r="F540" s="2">
        <v>-139288515.5</v>
      </c>
      <c r="G540" s="2">
        <v>3</v>
      </c>
      <c r="H540" s="2">
        <v>4</v>
      </c>
      <c r="I540" s="2">
        <v>5</v>
      </c>
      <c r="J540" s="2">
        <v>3.7</v>
      </c>
      <c r="K540" s="2" t="s">
        <v>306</v>
      </c>
      <c r="L540" s="2" t="str">
        <f t="shared" si="48"/>
        <v>Profitable</v>
      </c>
      <c r="M540" s="2" t="str">
        <f t="shared" si="49"/>
        <v>Stable Earnings</v>
      </c>
      <c r="N540" s="2" t="str">
        <f t="shared" si="50"/>
        <v>Low Quality</v>
      </c>
      <c r="O540" s="4" t="str">
        <f t="shared" si="51"/>
        <v>Accounting Risk</v>
      </c>
      <c r="P540" s="4" t="str">
        <f t="shared" si="52"/>
        <v>Low Quality</v>
      </c>
      <c r="Q540" s="4" t="str">
        <f t="shared" si="53"/>
        <v>Strong Long-Term Growth</v>
      </c>
    </row>
    <row r="541" spans="1:17" x14ac:dyDescent="0.35">
      <c r="A541" s="2" t="s">
        <v>552</v>
      </c>
      <c r="B541" s="2">
        <v>5</v>
      </c>
      <c r="C541" s="2">
        <v>-16695217.220000001</v>
      </c>
      <c r="D541" s="2">
        <v>0.6</v>
      </c>
      <c r="E541" s="2">
        <v>173263565.19999999</v>
      </c>
      <c r="F541" s="2">
        <v>-130899564.40000001</v>
      </c>
      <c r="G541" s="2">
        <v>3</v>
      </c>
      <c r="H541" s="2">
        <v>4</v>
      </c>
      <c r="I541" s="2">
        <v>5</v>
      </c>
      <c r="J541" s="2">
        <v>3.7</v>
      </c>
      <c r="K541" s="2" t="s">
        <v>306</v>
      </c>
      <c r="L541" s="2" t="str">
        <f t="shared" si="48"/>
        <v>Loss Making</v>
      </c>
      <c r="M541" s="2" t="str">
        <f t="shared" si="49"/>
        <v>Stable Earnings</v>
      </c>
      <c r="N541" s="2" t="str">
        <f t="shared" si="50"/>
        <v>Low Quality</v>
      </c>
      <c r="O541" s="4" t="str">
        <f t="shared" si="51"/>
        <v>Accounting Risk</v>
      </c>
      <c r="P541" s="4" t="str">
        <f t="shared" si="52"/>
        <v>Low Quality</v>
      </c>
      <c r="Q541" s="4" t="str">
        <f t="shared" si="53"/>
        <v>Strong Long-Term Growth</v>
      </c>
    </row>
    <row r="542" spans="1:17" x14ac:dyDescent="0.35">
      <c r="A542" s="2" t="s">
        <v>553</v>
      </c>
      <c r="B542" s="2">
        <v>5</v>
      </c>
      <c r="C542" s="2">
        <v>-32909807.300000001</v>
      </c>
      <c r="D542" s="2">
        <v>0.4</v>
      </c>
      <c r="E542" s="2">
        <v>136277226.59999999</v>
      </c>
      <c r="F542" s="2">
        <v>-170252148.69999999</v>
      </c>
      <c r="G542" s="2">
        <v>3</v>
      </c>
      <c r="H542" s="2">
        <v>4</v>
      </c>
      <c r="I542" s="2">
        <v>5</v>
      </c>
      <c r="J542" s="2">
        <v>3.7</v>
      </c>
      <c r="K542" s="2" t="s">
        <v>306</v>
      </c>
      <c r="L542" s="2" t="str">
        <f t="shared" si="48"/>
        <v>Loss Making</v>
      </c>
      <c r="M542" s="2" t="str">
        <f t="shared" si="49"/>
        <v>Stable Earnings</v>
      </c>
      <c r="N542" s="2" t="str">
        <f t="shared" si="50"/>
        <v>Low Quality</v>
      </c>
      <c r="O542" s="4" t="str">
        <f t="shared" si="51"/>
        <v>Accounting Risk</v>
      </c>
      <c r="P542" s="4" t="str">
        <f t="shared" si="52"/>
        <v>Low Quality</v>
      </c>
      <c r="Q542" s="4" t="str">
        <f t="shared" si="53"/>
        <v>Strong Long-Term Growth</v>
      </c>
    </row>
    <row r="543" spans="1:17" x14ac:dyDescent="0.35">
      <c r="A543" s="2" t="s">
        <v>554</v>
      </c>
      <c r="B543" s="2">
        <v>5</v>
      </c>
      <c r="C543" s="2">
        <v>35096834.840000004</v>
      </c>
      <c r="D543" s="2">
        <v>0.6</v>
      </c>
      <c r="E543" s="2">
        <v>187587993.90000001</v>
      </c>
      <c r="F543" s="2">
        <v>-176819764.5</v>
      </c>
      <c r="G543" s="2">
        <v>3</v>
      </c>
      <c r="H543" s="2">
        <v>4</v>
      </c>
      <c r="I543" s="2">
        <v>5</v>
      </c>
      <c r="J543" s="2">
        <v>3.7</v>
      </c>
      <c r="K543" s="2" t="s">
        <v>306</v>
      </c>
      <c r="L543" s="2" t="str">
        <f t="shared" si="48"/>
        <v>Profitable</v>
      </c>
      <c r="M543" s="2" t="str">
        <f t="shared" si="49"/>
        <v>Stable Earnings</v>
      </c>
      <c r="N543" s="2" t="str">
        <f t="shared" si="50"/>
        <v>Low Quality</v>
      </c>
      <c r="O543" s="4" t="str">
        <f t="shared" si="51"/>
        <v>Accounting Risk</v>
      </c>
      <c r="P543" s="4" t="str">
        <f t="shared" si="52"/>
        <v>Low Quality</v>
      </c>
      <c r="Q543" s="4" t="str">
        <f t="shared" si="53"/>
        <v>Strong Long-Term Growth</v>
      </c>
    </row>
    <row r="544" spans="1:17" x14ac:dyDescent="0.35">
      <c r="A544" s="2" t="s">
        <v>555</v>
      </c>
      <c r="B544" s="2">
        <v>5</v>
      </c>
      <c r="C544" s="2">
        <v>91724229.579999998</v>
      </c>
      <c r="D544" s="2">
        <v>0.6</v>
      </c>
      <c r="E544" s="2">
        <v>239311710</v>
      </c>
      <c r="F544" s="2">
        <v>-182063699.5</v>
      </c>
      <c r="G544" s="2">
        <v>3</v>
      </c>
      <c r="H544" s="2">
        <v>4</v>
      </c>
      <c r="I544" s="2">
        <v>5</v>
      </c>
      <c r="J544" s="2">
        <v>3.7</v>
      </c>
      <c r="K544" s="2" t="s">
        <v>306</v>
      </c>
      <c r="L544" s="2" t="str">
        <f t="shared" si="48"/>
        <v>Profitable</v>
      </c>
      <c r="M544" s="2" t="str">
        <f t="shared" si="49"/>
        <v>Stable Earnings</v>
      </c>
      <c r="N544" s="2" t="str">
        <f t="shared" si="50"/>
        <v>Low Quality</v>
      </c>
      <c r="O544" s="4" t="str">
        <f t="shared" si="51"/>
        <v>Accounting Risk</v>
      </c>
      <c r="P544" s="4" t="str">
        <f t="shared" si="52"/>
        <v>Low Quality</v>
      </c>
      <c r="Q544" s="4" t="str">
        <f t="shared" si="53"/>
        <v>Strong Long-Term Growth</v>
      </c>
    </row>
    <row r="545" spans="1:17" x14ac:dyDescent="0.35">
      <c r="A545" s="2" t="s">
        <v>556</v>
      </c>
      <c r="B545" s="2">
        <v>5</v>
      </c>
      <c r="C545" s="2">
        <v>29349702.100000001</v>
      </c>
      <c r="D545" s="2">
        <v>0.6</v>
      </c>
      <c r="E545" s="2">
        <v>114041150.7</v>
      </c>
      <c r="F545" s="2">
        <v>-208611090.80000001</v>
      </c>
      <c r="G545" s="2">
        <v>3</v>
      </c>
      <c r="H545" s="2">
        <v>4</v>
      </c>
      <c r="I545" s="2">
        <v>5</v>
      </c>
      <c r="J545" s="2">
        <v>3.7</v>
      </c>
      <c r="K545" s="2" t="s">
        <v>306</v>
      </c>
      <c r="L545" s="2" t="str">
        <f t="shared" si="48"/>
        <v>Profitable</v>
      </c>
      <c r="M545" s="2" t="str">
        <f t="shared" si="49"/>
        <v>Stable Earnings</v>
      </c>
      <c r="N545" s="2" t="str">
        <f t="shared" si="50"/>
        <v>Low Quality</v>
      </c>
      <c r="O545" s="4" t="str">
        <f t="shared" si="51"/>
        <v>Accounting Risk</v>
      </c>
      <c r="P545" s="4" t="str">
        <f t="shared" si="52"/>
        <v>Low Quality</v>
      </c>
      <c r="Q545" s="4" t="str">
        <f t="shared" si="53"/>
        <v>Strong Long-Term Growth</v>
      </c>
    </row>
    <row r="546" spans="1:17" x14ac:dyDescent="0.35">
      <c r="A546" s="2" t="s">
        <v>557</v>
      </c>
      <c r="B546" s="2">
        <v>5</v>
      </c>
      <c r="C546" s="2">
        <v>-23869866.66</v>
      </c>
      <c r="D546" s="2">
        <v>0.6</v>
      </c>
      <c r="E546" s="2">
        <v>159671223.09999999</v>
      </c>
      <c r="F546" s="2">
        <v>-224465524.59999999</v>
      </c>
      <c r="G546" s="2">
        <v>3</v>
      </c>
      <c r="H546" s="2">
        <v>4</v>
      </c>
      <c r="I546" s="2">
        <v>5</v>
      </c>
      <c r="J546" s="2">
        <v>3.7</v>
      </c>
      <c r="K546" s="2" t="s">
        <v>306</v>
      </c>
      <c r="L546" s="2" t="str">
        <f t="shared" si="48"/>
        <v>Loss Making</v>
      </c>
      <c r="M546" s="2" t="str">
        <f t="shared" si="49"/>
        <v>Stable Earnings</v>
      </c>
      <c r="N546" s="2" t="str">
        <f t="shared" si="50"/>
        <v>Low Quality</v>
      </c>
      <c r="O546" s="4" t="str">
        <f t="shared" si="51"/>
        <v>Accounting Risk</v>
      </c>
      <c r="P546" s="4" t="str">
        <f t="shared" si="52"/>
        <v>Low Quality</v>
      </c>
      <c r="Q546" s="4" t="str">
        <f t="shared" si="53"/>
        <v>Strong Long-Term Growth</v>
      </c>
    </row>
    <row r="547" spans="1:17" x14ac:dyDescent="0.35">
      <c r="A547" s="2" t="s">
        <v>558</v>
      </c>
      <c r="B547" s="2">
        <v>5</v>
      </c>
      <c r="C547" s="2">
        <v>-41719011.920000002</v>
      </c>
      <c r="D547" s="2">
        <v>0.4</v>
      </c>
      <c r="E547" s="2">
        <v>138302024.90000001</v>
      </c>
      <c r="F547" s="2">
        <v>-237565858.59999999</v>
      </c>
      <c r="G547" s="2">
        <v>3</v>
      </c>
      <c r="H547" s="2">
        <v>4</v>
      </c>
      <c r="I547" s="2">
        <v>5</v>
      </c>
      <c r="J547" s="2">
        <v>3.7</v>
      </c>
      <c r="K547" s="2" t="s">
        <v>306</v>
      </c>
      <c r="L547" s="2" t="str">
        <f t="shared" si="48"/>
        <v>Loss Making</v>
      </c>
      <c r="M547" s="2" t="str">
        <f t="shared" si="49"/>
        <v>Stable Earnings</v>
      </c>
      <c r="N547" s="2" t="str">
        <f t="shared" si="50"/>
        <v>Low Quality</v>
      </c>
      <c r="O547" s="4" t="str">
        <f t="shared" si="51"/>
        <v>Accounting Risk</v>
      </c>
      <c r="P547" s="4" t="str">
        <f t="shared" si="52"/>
        <v>Low Quality</v>
      </c>
      <c r="Q547" s="4" t="str">
        <f t="shared" si="53"/>
        <v>Strong Long-Term Growth</v>
      </c>
    </row>
    <row r="548" spans="1:17" x14ac:dyDescent="0.35">
      <c r="A548" s="2" t="s">
        <v>559</v>
      </c>
      <c r="B548" s="2">
        <v>5</v>
      </c>
      <c r="C548" s="2">
        <v>-8719597.3399999999</v>
      </c>
      <c r="D548" s="2">
        <v>0.4</v>
      </c>
      <c r="E548" s="2">
        <v>36379377.060000002</v>
      </c>
      <c r="F548" s="2">
        <v>-98629787.200000003</v>
      </c>
      <c r="G548" s="2">
        <v>4</v>
      </c>
      <c r="H548" s="2">
        <v>2</v>
      </c>
      <c r="I548" s="2">
        <v>5</v>
      </c>
      <c r="J548" s="2">
        <v>3.6</v>
      </c>
      <c r="K548" s="2" t="s">
        <v>306</v>
      </c>
      <c r="L548" s="2" t="str">
        <f t="shared" si="48"/>
        <v>Loss Making</v>
      </c>
      <c r="M548" s="2" t="str">
        <f t="shared" si="49"/>
        <v>Stable Earnings</v>
      </c>
      <c r="N548" s="2" t="str">
        <f t="shared" si="50"/>
        <v>Moderate</v>
      </c>
      <c r="O548" s="4" t="str">
        <f t="shared" si="51"/>
        <v>Accounting Risk</v>
      </c>
      <c r="P548" s="4" t="str">
        <f t="shared" si="52"/>
        <v>Moderate</v>
      </c>
      <c r="Q548" s="4" t="str">
        <f t="shared" si="53"/>
        <v>Strong Long-Term Growth</v>
      </c>
    </row>
    <row r="549" spans="1:17" x14ac:dyDescent="0.35">
      <c r="A549" s="2" t="s">
        <v>560</v>
      </c>
      <c r="B549" s="2">
        <v>5</v>
      </c>
      <c r="C549" s="2">
        <v>-17004849.100000001</v>
      </c>
      <c r="D549" s="2">
        <v>0.4</v>
      </c>
      <c r="E549" s="2">
        <v>40231173.68</v>
      </c>
      <c r="F549" s="2">
        <v>-107864745.90000001</v>
      </c>
      <c r="G549" s="2">
        <v>4</v>
      </c>
      <c r="H549" s="2">
        <v>2</v>
      </c>
      <c r="I549" s="2">
        <v>5</v>
      </c>
      <c r="J549" s="2">
        <v>3.6</v>
      </c>
      <c r="K549" s="2" t="s">
        <v>306</v>
      </c>
      <c r="L549" s="2" t="str">
        <f t="shared" si="48"/>
        <v>Loss Making</v>
      </c>
      <c r="M549" s="2" t="str">
        <f t="shared" si="49"/>
        <v>Stable Earnings</v>
      </c>
      <c r="N549" s="2" t="str">
        <f t="shared" si="50"/>
        <v>Moderate</v>
      </c>
      <c r="O549" s="4" t="str">
        <f t="shared" si="51"/>
        <v>Accounting Risk</v>
      </c>
      <c r="P549" s="4" t="str">
        <f t="shared" si="52"/>
        <v>Moderate</v>
      </c>
      <c r="Q549" s="4" t="str">
        <f t="shared" si="53"/>
        <v>Strong Long-Term Growth</v>
      </c>
    </row>
    <row r="550" spans="1:17" x14ac:dyDescent="0.35">
      <c r="A550" s="2" t="s">
        <v>561</v>
      </c>
      <c r="B550" s="2">
        <v>5</v>
      </c>
      <c r="C550" s="2">
        <v>-66399002.899999999</v>
      </c>
      <c r="D550" s="2">
        <v>0</v>
      </c>
      <c r="E550" s="2">
        <v>41790077.060000002</v>
      </c>
      <c r="F550" s="2">
        <v>-105772703.09999999</v>
      </c>
      <c r="G550" s="2">
        <v>4</v>
      </c>
      <c r="H550" s="2">
        <v>2</v>
      </c>
      <c r="I550" s="2">
        <v>5</v>
      </c>
      <c r="J550" s="2">
        <v>3.6</v>
      </c>
      <c r="K550" s="2" t="s">
        <v>306</v>
      </c>
      <c r="L550" s="2" t="str">
        <f t="shared" si="48"/>
        <v>Loss Making</v>
      </c>
      <c r="M550" s="2" t="str">
        <f t="shared" si="49"/>
        <v>Stable Earnings</v>
      </c>
      <c r="N550" s="2" t="str">
        <f t="shared" si="50"/>
        <v>Moderate</v>
      </c>
      <c r="O550" s="4" t="str">
        <f t="shared" si="51"/>
        <v>Accounting Risk</v>
      </c>
      <c r="P550" s="4" t="str">
        <f t="shared" si="52"/>
        <v>Moderate</v>
      </c>
      <c r="Q550" s="4" t="str">
        <f t="shared" si="53"/>
        <v>Strong Long-Term Growth</v>
      </c>
    </row>
    <row r="551" spans="1:17" x14ac:dyDescent="0.35">
      <c r="A551" s="2" t="s">
        <v>562</v>
      </c>
      <c r="B551" s="2">
        <v>5</v>
      </c>
      <c r="C551" s="2">
        <v>-70446034.680000007</v>
      </c>
      <c r="D551" s="2">
        <v>0</v>
      </c>
      <c r="E551" s="2">
        <v>39548415.710000001</v>
      </c>
      <c r="F551" s="2">
        <v>-85970597.5</v>
      </c>
      <c r="G551" s="2">
        <v>4</v>
      </c>
      <c r="H551" s="2">
        <v>2</v>
      </c>
      <c r="I551" s="2">
        <v>5</v>
      </c>
      <c r="J551" s="2">
        <v>3.6</v>
      </c>
      <c r="K551" s="2" t="s">
        <v>306</v>
      </c>
      <c r="L551" s="2" t="str">
        <f t="shared" si="48"/>
        <v>Loss Making</v>
      </c>
      <c r="M551" s="2" t="str">
        <f t="shared" si="49"/>
        <v>Stable Earnings</v>
      </c>
      <c r="N551" s="2" t="str">
        <f t="shared" si="50"/>
        <v>Moderate</v>
      </c>
      <c r="O551" s="4" t="str">
        <f t="shared" si="51"/>
        <v>Accounting Risk</v>
      </c>
      <c r="P551" s="4" t="str">
        <f t="shared" si="52"/>
        <v>Moderate</v>
      </c>
      <c r="Q551" s="4" t="str">
        <f t="shared" si="53"/>
        <v>Strong Long-Term Growth</v>
      </c>
    </row>
    <row r="552" spans="1:17" x14ac:dyDescent="0.35">
      <c r="A552" s="2" t="s">
        <v>563</v>
      </c>
      <c r="B552" s="2">
        <v>5</v>
      </c>
      <c r="C552" s="2">
        <v>-24149761.640000001</v>
      </c>
      <c r="D552" s="2">
        <v>0.2</v>
      </c>
      <c r="E552" s="2">
        <v>34008284.600000001</v>
      </c>
      <c r="F552" s="2">
        <v>-86196292.900000006</v>
      </c>
      <c r="G552" s="2">
        <v>4</v>
      </c>
      <c r="H552" s="2">
        <v>2</v>
      </c>
      <c r="I552" s="2">
        <v>5</v>
      </c>
      <c r="J552" s="2">
        <v>3.6</v>
      </c>
      <c r="K552" s="2" t="s">
        <v>306</v>
      </c>
      <c r="L552" s="2" t="str">
        <f t="shared" si="48"/>
        <v>Loss Making</v>
      </c>
      <c r="M552" s="2" t="str">
        <f t="shared" si="49"/>
        <v>Stable Earnings</v>
      </c>
      <c r="N552" s="2" t="str">
        <f t="shared" si="50"/>
        <v>Moderate</v>
      </c>
      <c r="O552" s="4" t="str">
        <f t="shared" si="51"/>
        <v>Accounting Risk</v>
      </c>
      <c r="P552" s="4" t="str">
        <f t="shared" si="52"/>
        <v>Moderate</v>
      </c>
      <c r="Q552" s="4" t="str">
        <f t="shared" si="53"/>
        <v>Strong Long-Term Growth</v>
      </c>
    </row>
    <row r="553" spans="1:17" x14ac:dyDescent="0.35">
      <c r="A553" s="2" t="s">
        <v>564</v>
      </c>
      <c r="B553" s="2">
        <v>5</v>
      </c>
      <c r="C553" s="2">
        <v>-80503610.219999999</v>
      </c>
      <c r="D553" s="2">
        <v>0</v>
      </c>
      <c r="E553" s="2">
        <v>40045477.399999999</v>
      </c>
      <c r="F553" s="2">
        <v>-86365452.599999994</v>
      </c>
      <c r="G553" s="2">
        <v>4</v>
      </c>
      <c r="H553" s="2">
        <v>2</v>
      </c>
      <c r="I553" s="2">
        <v>5</v>
      </c>
      <c r="J553" s="2">
        <v>3.6</v>
      </c>
      <c r="K553" s="2" t="s">
        <v>306</v>
      </c>
      <c r="L553" s="2" t="str">
        <f t="shared" si="48"/>
        <v>Loss Making</v>
      </c>
      <c r="M553" s="2" t="str">
        <f t="shared" si="49"/>
        <v>Stable Earnings</v>
      </c>
      <c r="N553" s="2" t="str">
        <f t="shared" si="50"/>
        <v>Moderate</v>
      </c>
      <c r="O553" s="4" t="str">
        <f t="shared" si="51"/>
        <v>Accounting Risk</v>
      </c>
      <c r="P553" s="4" t="str">
        <f t="shared" si="52"/>
        <v>Moderate</v>
      </c>
      <c r="Q553" s="4" t="str">
        <f t="shared" si="53"/>
        <v>Strong Long-Term Growth</v>
      </c>
    </row>
    <row r="554" spans="1:17" x14ac:dyDescent="0.35">
      <c r="A554" s="2" t="s">
        <v>565</v>
      </c>
      <c r="B554" s="2">
        <v>5</v>
      </c>
      <c r="C554" s="2">
        <v>-30370825.84</v>
      </c>
      <c r="D554" s="2">
        <v>0.2</v>
      </c>
      <c r="E554" s="2">
        <v>35409265.649999999</v>
      </c>
      <c r="F554" s="2">
        <v>-82772895.299999997</v>
      </c>
      <c r="G554" s="2">
        <v>4</v>
      </c>
      <c r="H554" s="2">
        <v>2</v>
      </c>
      <c r="I554" s="2">
        <v>5</v>
      </c>
      <c r="J554" s="2">
        <v>3.6</v>
      </c>
      <c r="K554" s="2" t="s">
        <v>306</v>
      </c>
      <c r="L554" s="2" t="str">
        <f t="shared" si="48"/>
        <v>Loss Making</v>
      </c>
      <c r="M554" s="2" t="str">
        <f t="shared" si="49"/>
        <v>Stable Earnings</v>
      </c>
      <c r="N554" s="2" t="str">
        <f t="shared" si="50"/>
        <v>Moderate</v>
      </c>
      <c r="O554" s="4" t="str">
        <f t="shared" si="51"/>
        <v>Accounting Risk</v>
      </c>
      <c r="P554" s="4" t="str">
        <f t="shared" si="52"/>
        <v>Moderate</v>
      </c>
      <c r="Q554" s="4" t="str">
        <f t="shared" si="53"/>
        <v>Strong Long-Term Growth</v>
      </c>
    </row>
    <row r="555" spans="1:17" x14ac:dyDescent="0.35">
      <c r="A555" s="2" t="s">
        <v>566</v>
      </c>
      <c r="B555" s="2">
        <v>5</v>
      </c>
      <c r="C555" s="2">
        <v>-160636731.5</v>
      </c>
      <c r="D555" s="2">
        <v>0</v>
      </c>
      <c r="E555" s="2">
        <v>42234914.140000001</v>
      </c>
      <c r="F555" s="2">
        <v>-90533530.200000003</v>
      </c>
      <c r="G555" s="2">
        <v>4</v>
      </c>
      <c r="H555" s="2">
        <v>2</v>
      </c>
      <c r="I555" s="2">
        <v>5</v>
      </c>
      <c r="J555" s="2">
        <v>3.6</v>
      </c>
      <c r="K555" s="2" t="s">
        <v>306</v>
      </c>
      <c r="L555" s="2" t="str">
        <f t="shared" si="48"/>
        <v>Loss Making</v>
      </c>
      <c r="M555" s="2" t="str">
        <f t="shared" si="49"/>
        <v>Stable Earnings</v>
      </c>
      <c r="N555" s="2" t="str">
        <f t="shared" si="50"/>
        <v>Moderate</v>
      </c>
      <c r="O555" s="4" t="str">
        <f t="shared" si="51"/>
        <v>Accounting Risk</v>
      </c>
      <c r="P555" s="4" t="str">
        <f t="shared" si="52"/>
        <v>Moderate</v>
      </c>
      <c r="Q555" s="4" t="str">
        <f t="shared" si="53"/>
        <v>Strong Long-Term Growth</v>
      </c>
    </row>
    <row r="556" spans="1:17" x14ac:dyDescent="0.35">
      <c r="A556" s="2" t="s">
        <v>567</v>
      </c>
      <c r="B556" s="2">
        <v>5</v>
      </c>
      <c r="C556" s="2">
        <v>-101365819.09999999</v>
      </c>
      <c r="D556" s="2">
        <v>0</v>
      </c>
      <c r="E556" s="2">
        <v>35976955.829999998</v>
      </c>
      <c r="F556" s="2">
        <v>-91565037.900000006</v>
      </c>
      <c r="G556" s="2">
        <v>4</v>
      </c>
      <c r="H556" s="2">
        <v>2</v>
      </c>
      <c r="I556" s="2">
        <v>5</v>
      </c>
      <c r="J556" s="2">
        <v>3.6</v>
      </c>
      <c r="K556" s="2" t="s">
        <v>306</v>
      </c>
      <c r="L556" s="2" t="str">
        <f t="shared" si="48"/>
        <v>Loss Making</v>
      </c>
      <c r="M556" s="2" t="str">
        <f t="shared" si="49"/>
        <v>Stable Earnings</v>
      </c>
      <c r="N556" s="2" t="str">
        <f t="shared" si="50"/>
        <v>Moderate</v>
      </c>
      <c r="O556" s="4" t="str">
        <f t="shared" si="51"/>
        <v>Accounting Risk</v>
      </c>
      <c r="P556" s="4" t="str">
        <f t="shared" si="52"/>
        <v>Moderate</v>
      </c>
      <c r="Q556" s="4" t="str">
        <f t="shared" si="53"/>
        <v>Strong Long-Term Growth</v>
      </c>
    </row>
    <row r="557" spans="1:17" x14ac:dyDescent="0.35">
      <c r="A557" s="2" t="s">
        <v>568</v>
      </c>
      <c r="B557" s="2">
        <v>5</v>
      </c>
      <c r="C557" s="2">
        <v>-28760143.52</v>
      </c>
      <c r="D557" s="2">
        <v>0</v>
      </c>
      <c r="E557" s="2">
        <v>15350671.210000001</v>
      </c>
      <c r="F557" s="2">
        <v>-40887513.200000003</v>
      </c>
      <c r="G557" s="2">
        <v>5</v>
      </c>
      <c r="H557" s="2">
        <v>1</v>
      </c>
      <c r="I557" s="2">
        <v>4</v>
      </c>
      <c r="J557" s="2">
        <v>3.6</v>
      </c>
      <c r="K557" s="2" t="s">
        <v>306</v>
      </c>
      <c r="L557" s="2" t="str">
        <f t="shared" si="48"/>
        <v>Loss Making</v>
      </c>
      <c r="M557" s="2" t="str">
        <f t="shared" si="49"/>
        <v>Stable Earnings</v>
      </c>
      <c r="N557" s="2" t="str">
        <f t="shared" si="50"/>
        <v>Moderate</v>
      </c>
      <c r="O557" s="4" t="str">
        <f t="shared" si="51"/>
        <v>Accounting Risk</v>
      </c>
      <c r="P557" s="4" t="str">
        <f t="shared" si="52"/>
        <v>Moderate</v>
      </c>
      <c r="Q557" s="4" t="str">
        <f t="shared" si="53"/>
        <v>Strong Long-Term Growth</v>
      </c>
    </row>
    <row r="558" spans="1:17" x14ac:dyDescent="0.35">
      <c r="A558" s="2" t="s">
        <v>569</v>
      </c>
      <c r="B558" s="2">
        <v>5</v>
      </c>
      <c r="C558" s="2">
        <v>-4491467.3600000003</v>
      </c>
      <c r="D558" s="2">
        <v>0</v>
      </c>
      <c r="E558" s="2">
        <v>2888899.7370000002</v>
      </c>
      <c r="F558" s="2">
        <v>-6662190</v>
      </c>
      <c r="G558" s="2">
        <v>5</v>
      </c>
      <c r="H558" s="2">
        <v>1</v>
      </c>
      <c r="I558" s="2">
        <v>4</v>
      </c>
      <c r="J558" s="2">
        <v>3.6</v>
      </c>
      <c r="K558" s="2" t="s">
        <v>306</v>
      </c>
      <c r="L558" s="2" t="str">
        <f t="shared" si="48"/>
        <v>Loss Making</v>
      </c>
      <c r="M558" s="2" t="str">
        <f t="shared" si="49"/>
        <v>Stable Earnings</v>
      </c>
      <c r="N558" s="2" t="str">
        <f t="shared" si="50"/>
        <v>Moderate</v>
      </c>
      <c r="O558" s="4" t="str">
        <f t="shared" si="51"/>
        <v>Accounting Risk</v>
      </c>
      <c r="P558" s="4" t="str">
        <f t="shared" si="52"/>
        <v>Moderate</v>
      </c>
      <c r="Q558" s="4" t="str">
        <f t="shared" si="53"/>
        <v>Strong Long-Term Growth</v>
      </c>
    </row>
    <row r="559" spans="1:17" x14ac:dyDescent="0.35">
      <c r="A559" s="2" t="s">
        <v>570</v>
      </c>
      <c r="B559" s="2">
        <v>5</v>
      </c>
      <c r="C559" s="2">
        <v>-13215834.279999999</v>
      </c>
      <c r="D559" s="2">
        <v>0</v>
      </c>
      <c r="E559" s="2">
        <v>14699647.35</v>
      </c>
      <c r="F559" s="2">
        <v>-5952358.2999999998</v>
      </c>
      <c r="G559" s="2">
        <v>5</v>
      </c>
      <c r="H559" s="2">
        <v>1</v>
      </c>
      <c r="I559" s="2">
        <v>4</v>
      </c>
      <c r="J559" s="2">
        <v>3.6</v>
      </c>
      <c r="K559" s="2" t="s">
        <v>306</v>
      </c>
      <c r="L559" s="2" t="str">
        <f t="shared" si="48"/>
        <v>Loss Making</v>
      </c>
      <c r="M559" s="2" t="str">
        <f t="shared" si="49"/>
        <v>Stable Earnings</v>
      </c>
      <c r="N559" s="2" t="str">
        <f t="shared" si="50"/>
        <v>Moderate</v>
      </c>
      <c r="O559" s="4" t="str">
        <f t="shared" si="51"/>
        <v>Accounting Risk</v>
      </c>
      <c r="P559" s="4" t="str">
        <f t="shared" si="52"/>
        <v>Moderate</v>
      </c>
      <c r="Q559" s="4" t="str">
        <f t="shared" si="53"/>
        <v>Strong Long-Term Growth</v>
      </c>
    </row>
    <row r="560" spans="1:17" x14ac:dyDescent="0.35">
      <c r="A560" s="2" t="s">
        <v>571</v>
      </c>
      <c r="B560" s="2">
        <v>5</v>
      </c>
      <c r="C560" s="2">
        <v>-6760960.0999999996</v>
      </c>
      <c r="D560" s="2">
        <v>0</v>
      </c>
      <c r="E560" s="2">
        <v>2403220.4160000002</v>
      </c>
      <c r="F560" s="2">
        <v>-5866982.2999999998</v>
      </c>
      <c r="G560" s="2">
        <v>5</v>
      </c>
      <c r="H560" s="2">
        <v>1</v>
      </c>
      <c r="I560" s="2">
        <v>4</v>
      </c>
      <c r="J560" s="2">
        <v>3.6</v>
      </c>
      <c r="K560" s="2" t="s">
        <v>306</v>
      </c>
      <c r="L560" s="2" t="str">
        <f t="shared" si="48"/>
        <v>Loss Making</v>
      </c>
      <c r="M560" s="2" t="str">
        <f t="shared" si="49"/>
        <v>Stable Earnings</v>
      </c>
      <c r="N560" s="2" t="str">
        <f t="shared" si="50"/>
        <v>Moderate</v>
      </c>
      <c r="O560" s="4" t="str">
        <f t="shared" si="51"/>
        <v>Accounting Risk</v>
      </c>
      <c r="P560" s="4" t="str">
        <f t="shared" si="52"/>
        <v>Moderate</v>
      </c>
      <c r="Q560" s="4" t="str">
        <f t="shared" si="53"/>
        <v>Strong Long-Term Growth</v>
      </c>
    </row>
    <row r="561" spans="1:17" x14ac:dyDescent="0.35">
      <c r="A561" s="2" t="s">
        <v>572</v>
      </c>
      <c r="B561" s="2">
        <v>5</v>
      </c>
      <c r="C561" s="2">
        <v>-7562062.2999999998</v>
      </c>
      <c r="D561" s="2">
        <v>0</v>
      </c>
      <c r="E561" s="2">
        <v>5405629.7989999996</v>
      </c>
      <c r="F561" s="2">
        <v>-5923703.5999999996</v>
      </c>
      <c r="G561" s="2">
        <v>5</v>
      </c>
      <c r="H561" s="2">
        <v>1</v>
      </c>
      <c r="I561" s="2">
        <v>4</v>
      </c>
      <c r="J561" s="2">
        <v>3.6</v>
      </c>
      <c r="K561" s="2" t="s">
        <v>306</v>
      </c>
      <c r="L561" s="2" t="str">
        <f t="shared" si="48"/>
        <v>Loss Making</v>
      </c>
      <c r="M561" s="2" t="str">
        <f t="shared" si="49"/>
        <v>Stable Earnings</v>
      </c>
      <c r="N561" s="2" t="str">
        <f t="shared" si="50"/>
        <v>Moderate</v>
      </c>
      <c r="O561" s="4" t="str">
        <f t="shared" si="51"/>
        <v>Accounting Risk</v>
      </c>
      <c r="P561" s="4" t="str">
        <f t="shared" si="52"/>
        <v>Moderate</v>
      </c>
      <c r="Q561" s="4" t="str">
        <f t="shared" si="53"/>
        <v>Strong Long-Term Growth</v>
      </c>
    </row>
    <row r="562" spans="1:17" x14ac:dyDescent="0.35">
      <c r="A562" s="2" t="s">
        <v>573</v>
      </c>
      <c r="B562" s="2">
        <v>5</v>
      </c>
      <c r="C562" s="2">
        <v>-5310971.96</v>
      </c>
      <c r="D562" s="2">
        <v>0</v>
      </c>
      <c r="E562" s="2">
        <v>3068655.9879999999</v>
      </c>
      <c r="F562" s="2">
        <v>-5703550.0999999996</v>
      </c>
      <c r="G562" s="2">
        <v>5</v>
      </c>
      <c r="H562" s="2">
        <v>1</v>
      </c>
      <c r="I562" s="2">
        <v>4</v>
      </c>
      <c r="J562" s="2">
        <v>3.6</v>
      </c>
      <c r="K562" s="2" t="s">
        <v>306</v>
      </c>
      <c r="L562" s="2" t="str">
        <f t="shared" si="48"/>
        <v>Loss Making</v>
      </c>
      <c r="M562" s="2" t="str">
        <f t="shared" si="49"/>
        <v>Stable Earnings</v>
      </c>
      <c r="N562" s="2" t="str">
        <f t="shared" si="50"/>
        <v>Moderate</v>
      </c>
      <c r="O562" s="4" t="str">
        <f t="shared" si="51"/>
        <v>Accounting Risk</v>
      </c>
      <c r="P562" s="4" t="str">
        <f t="shared" si="52"/>
        <v>Moderate</v>
      </c>
      <c r="Q562" s="4" t="str">
        <f t="shared" si="53"/>
        <v>Strong Long-Term Growth</v>
      </c>
    </row>
    <row r="563" spans="1:17" x14ac:dyDescent="0.35">
      <c r="A563" s="2" t="s">
        <v>574</v>
      </c>
      <c r="B563" s="2">
        <v>5</v>
      </c>
      <c r="C563" s="2">
        <v>-52237326.200000003</v>
      </c>
      <c r="D563" s="2">
        <v>0</v>
      </c>
      <c r="E563" s="2">
        <v>3687266.4180000001</v>
      </c>
      <c r="F563" s="2">
        <v>-5346848.3</v>
      </c>
      <c r="G563" s="2">
        <v>5</v>
      </c>
      <c r="H563" s="2">
        <v>1</v>
      </c>
      <c r="I563" s="2">
        <v>4</v>
      </c>
      <c r="J563" s="2">
        <v>3.6</v>
      </c>
      <c r="K563" s="2" t="s">
        <v>306</v>
      </c>
      <c r="L563" s="2" t="str">
        <f t="shared" si="48"/>
        <v>Loss Making</v>
      </c>
      <c r="M563" s="2" t="str">
        <f t="shared" si="49"/>
        <v>Stable Earnings</v>
      </c>
      <c r="N563" s="2" t="str">
        <f t="shared" si="50"/>
        <v>Moderate</v>
      </c>
      <c r="O563" s="4" t="str">
        <f t="shared" si="51"/>
        <v>Accounting Risk</v>
      </c>
      <c r="P563" s="4" t="str">
        <f t="shared" si="52"/>
        <v>Moderate</v>
      </c>
      <c r="Q563" s="4" t="str">
        <f t="shared" si="53"/>
        <v>Strong Long-Term Growth</v>
      </c>
    </row>
    <row r="564" spans="1:17" x14ac:dyDescent="0.35">
      <c r="A564" s="2" t="s">
        <v>575</v>
      </c>
      <c r="B564" s="2">
        <v>5</v>
      </c>
      <c r="C564" s="2">
        <v>-21151258.539999999</v>
      </c>
      <c r="D564" s="2">
        <v>0</v>
      </c>
      <c r="E564" s="2">
        <v>2318277.1469999999</v>
      </c>
      <c r="F564" s="2">
        <v>-5356484.2</v>
      </c>
      <c r="G564" s="2">
        <v>5</v>
      </c>
      <c r="H564" s="2">
        <v>1</v>
      </c>
      <c r="I564" s="2">
        <v>4</v>
      </c>
      <c r="J564" s="2">
        <v>3.6</v>
      </c>
      <c r="K564" s="2" t="s">
        <v>306</v>
      </c>
      <c r="L564" s="2" t="str">
        <f t="shared" si="48"/>
        <v>Loss Making</v>
      </c>
      <c r="M564" s="2" t="str">
        <f t="shared" si="49"/>
        <v>Stable Earnings</v>
      </c>
      <c r="N564" s="2" t="str">
        <f t="shared" si="50"/>
        <v>Moderate</v>
      </c>
      <c r="O564" s="4" t="str">
        <f t="shared" si="51"/>
        <v>Accounting Risk</v>
      </c>
      <c r="P564" s="4" t="str">
        <f t="shared" si="52"/>
        <v>Moderate</v>
      </c>
      <c r="Q564" s="4" t="str">
        <f t="shared" si="53"/>
        <v>Strong Long-Term Growth</v>
      </c>
    </row>
    <row r="565" spans="1:17" x14ac:dyDescent="0.35">
      <c r="A565" s="2" t="s">
        <v>576</v>
      </c>
      <c r="B565" s="2">
        <v>5</v>
      </c>
      <c r="C565" s="2">
        <v>-28960224.859999999</v>
      </c>
      <c r="D565" s="2">
        <v>0</v>
      </c>
      <c r="E565" s="2">
        <v>8923213.8959999997</v>
      </c>
      <c r="F565" s="2">
        <v>-14538602.199999999</v>
      </c>
      <c r="G565" s="2">
        <v>5</v>
      </c>
      <c r="H565" s="2">
        <v>1</v>
      </c>
      <c r="I565" s="2">
        <v>4</v>
      </c>
      <c r="J565" s="2">
        <v>3.6</v>
      </c>
      <c r="K565" s="2" t="s">
        <v>306</v>
      </c>
      <c r="L565" s="2" t="str">
        <f t="shared" si="48"/>
        <v>Loss Making</v>
      </c>
      <c r="M565" s="2" t="str">
        <f t="shared" si="49"/>
        <v>Stable Earnings</v>
      </c>
      <c r="N565" s="2" t="str">
        <f t="shared" si="50"/>
        <v>Moderate</v>
      </c>
      <c r="O565" s="4" t="str">
        <f t="shared" si="51"/>
        <v>Accounting Risk</v>
      </c>
      <c r="P565" s="4" t="str">
        <f t="shared" si="52"/>
        <v>Moderate</v>
      </c>
      <c r="Q565" s="4" t="str">
        <f t="shared" si="53"/>
        <v>Strong Long-Term Growth</v>
      </c>
    </row>
    <row r="566" spans="1:17" x14ac:dyDescent="0.35">
      <c r="A566" s="2" t="s">
        <v>577</v>
      </c>
      <c r="B566" s="2">
        <v>5</v>
      </c>
      <c r="C566" s="2">
        <v>-46740433.100000001</v>
      </c>
      <c r="D566" s="2">
        <v>0</v>
      </c>
      <c r="E566" s="2">
        <v>6454519.3109999998</v>
      </c>
      <c r="F566" s="2">
        <v>-14570931.6</v>
      </c>
      <c r="G566" s="2">
        <v>5</v>
      </c>
      <c r="H566" s="2">
        <v>1</v>
      </c>
      <c r="I566" s="2">
        <v>4</v>
      </c>
      <c r="J566" s="2">
        <v>3.6</v>
      </c>
      <c r="K566" s="2" t="s">
        <v>306</v>
      </c>
      <c r="L566" s="2" t="str">
        <f t="shared" si="48"/>
        <v>Loss Making</v>
      </c>
      <c r="M566" s="2" t="str">
        <f t="shared" si="49"/>
        <v>Stable Earnings</v>
      </c>
      <c r="N566" s="2" t="str">
        <f t="shared" si="50"/>
        <v>Moderate</v>
      </c>
      <c r="O566" s="4" t="str">
        <f t="shared" si="51"/>
        <v>Accounting Risk</v>
      </c>
      <c r="P566" s="4" t="str">
        <f t="shared" si="52"/>
        <v>Moderate</v>
      </c>
      <c r="Q566" s="4" t="str">
        <f t="shared" si="53"/>
        <v>Strong Long-Term Growth</v>
      </c>
    </row>
    <row r="567" spans="1:17" x14ac:dyDescent="0.35">
      <c r="A567" s="2" t="s">
        <v>578</v>
      </c>
      <c r="B567" s="2">
        <v>5</v>
      </c>
      <c r="C567" s="2">
        <v>-37409915.920000002</v>
      </c>
      <c r="D567" s="2">
        <v>0</v>
      </c>
      <c r="E567" s="2">
        <v>14648745.25</v>
      </c>
      <c r="F567" s="2">
        <v>-14014834.699999999</v>
      </c>
      <c r="G567" s="2">
        <v>5</v>
      </c>
      <c r="H567" s="2">
        <v>1</v>
      </c>
      <c r="I567" s="2">
        <v>4</v>
      </c>
      <c r="J567" s="2">
        <v>3.6</v>
      </c>
      <c r="K567" s="2" t="s">
        <v>306</v>
      </c>
      <c r="L567" s="2" t="str">
        <f t="shared" si="48"/>
        <v>Loss Making</v>
      </c>
      <c r="M567" s="2" t="str">
        <f t="shared" si="49"/>
        <v>Stable Earnings</v>
      </c>
      <c r="N567" s="2" t="str">
        <f t="shared" si="50"/>
        <v>Moderate</v>
      </c>
      <c r="O567" s="4" t="str">
        <f t="shared" si="51"/>
        <v>Accounting Risk</v>
      </c>
      <c r="P567" s="4" t="str">
        <f t="shared" si="52"/>
        <v>Moderate</v>
      </c>
      <c r="Q567" s="4" t="str">
        <f t="shared" si="53"/>
        <v>Strong Long-Term Growth</v>
      </c>
    </row>
    <row r="568" spans="1:17" x14ac:dyDescent="0.35">
      <c r="A568" s="2" t="s">
        <v>579</v>
      </c>
      <c r="B568" s="2">
        <v>5</v>
      </c>
      <c r="C568" s="2">
        <v>-13102327.199999999</v>
      </c>
      <c r="D568" s="2">
        <v>0</v>
      </c>
      <c r="E568" s="2">
        <v>12538172.199999999</v>
      </c>
      <c r="F568" s="2">
        <v>-14736912.4</v>
      </c>
      <c r="G568" s="2">
        <v>5</v>
      </c>
      <c r="H568" s="2">
        <v>1</v>
      </c>
      <c r="I568" s="2">
        <v>4</v>
      </c>
      <c r="J568" s="2">
        <v>3.6</v>
      </c>
      <c r="K568" s="2" t="s">
        <v>306</v>
      </c>
      <c r="L568" s="2" t="str">
        <f t="shared" si="48"/>
        <v>Loss Making</v>
      </c>
      <c r="M568" s="2" t="str">
        <f t="shared" si="49"/>
        <v>Stable Earnings</v>
      </c>
      <c r="N568" s="2" t="str">
        <f t="shared" si="50"/>
        <v>Moderate</v>
      </c>
      <c r="O568" s="4" t="str">
        <f t="shared" si="51"/>
        <v>Accounting Risk</v>
      </c>
      <c r="P568" s="4" t="str">
        <f t="shared" si="52"/>
        <v>Moderate</v>
      </c>
      <c r="Q568" s="4" t="str">
        <f t="shared" si="53"/>
        <v>Strong Long-Term Growth</v>
      </c>
    </row>
    <row r="569" spans="1:17" x14ac:dyDescent="0.35">
      <c r="A569" s="2" t="s">
        <v>580</v>
      </c>
      <c r="B569" s="2">
        <v>5</v>
      </c>
      <c r="C569" s="2">
        <v>-8340363.5199999996</v>
      </c>
      <c r="D569" s="2">
        <v>0</v>
      </c>
      <c r="E569" s="2">
        <v>8153687.8470000001</v>
      </c>
      <c r="F569" s="2">
        <v>-14205140.5</v>
      </c>
      <c r="G569" s="2">
        <v>5</v>
      </c>
      <c r="H569" s="2">
        <v>1</v>
      </c>
      <c r="I569" s="2">
        <v>4</v>
      </c>
      <c r="J569" s="2">
        <v>3.6</v>
      </c>
      <c r="K569" s="2" t="s">
        <v>306</v>
      </c>
      <c r="L569" s="2" t="str">
        <f t="shared" si="48"/>
        <v>Loss Making</v>
      </c>
      <c r="M569" s="2" t="str">
        <f t="shared" si="49"/>
        <v>Stable Earnings</v>
      </c>
      <c r="N569" s="2" t="str">
        <f t="shared" si="50"/>
        <v>Moderate</v>
      </c>
      <c r="O569" s="4" t="str">
        <f t="shared" si="51"/>
        <v>Accounting Risk</v>
      </c>
      <c r="P569" s="4" t="str">
        <f t="shared" si="52"/>
        <v>Moderate</v>
      </c>
      <c r="Q569" s="4" t="str">
        <f t="shared" si="53"/>
        <v>Strong Long-Term Growth</v>
      </c>
    </row>
    <row r="570" spans="1:17" x14ac:dyDescent="0.35">
      <c r="A570" s="2" t="s">
        <v>581</v>
      </c>
      <c r="B570" s="2">
        <v>5</v>
      </c>
      <c r="C570" s="2">
        <v>-38110932.659999996</v>
      </c>
      <c r="D570" s="2">
        <v>0</v>
      </c>
      <c r="E570" s="2">
        <v>9570323.6270000003</v>
      </c>
      <c r="F570" s="2">
        <v>-13685368</v>
      </c>
      <c r="G570" s="2">
        <v>5</v>
      </c>
      <c r="H570" s="2">
        <v>1</v>
      </c>
      <c r="I570" s="2">
        <v>4</v>
      </c>
      <c r="J570" s="2">
        <v>3.6</v>
      </c>
      <c r="K570" s="2" t="s">
        <v>306</v>
      </c>
      <c r="L570" s="2" t="str">
        <f t="shared" si="48"/>
        <v>Loss Making</v>
      </c>
      <c r="M570" s="2" t="str">
        <f t="shared" si="49"/>
        <v>Stable Earnings</v>
      </c>
      <c r="N570" s="2" t="str">
        <f t="shared" si="50"/>
        <v>Moderate</v>
      </c>
      <c r="O570" s="4" t="str">
        <f t="shared" si="51"/>
        <v>Accounting Risk</v>
      </c>
      <c r="P570" s="4" t="str">
        <f t="shared" si="52"/>
        <v>Moderate</v>
      </c>
      <c r="Q570" s="4" t="str">
        <f t="shared" si="53"/>
        <v>Strong Long-Term Growth</v>
      </c>
    </row>
    <row r="571" spans="1:17" x14ac:dyDescent="0.35">
      <c r="A571" s="2" t="s">
        <v>582</v>
      </c>
      <c r="B571" s="2">
        <v>5</v>
      </c>
      <c r="C571" s="2">
        <v>-41343295.219999999</v>
      </c>
      <c r="D571" s="2">
        <v>0</v>
      </c>
      <c r="E571" s="2">
        <v>11168821.66</v>
      </c>
      <c r="F571" s="2">
        <v>-13877698</v>
      </c>
      <c r="G571" s="2">
        <v>5</v>
      </c>
      <c r="H571" s="2">
        <v>1</v>
      </c>
      <c r="I571" s="2">
        <v>4</v>
      </c>
      <c r="J571" s="2">
        <v>3.6</v>
      </c>
      <c r="K571" s="2" t="s">
        <v>306</v>
      </c>
      <c r="L571" s="2" t="str">
        <f t="shared" si="48"/>
        <v>Loss Making</v>
      </c>
      <c r="M571" s="2" t="str">
        <f t="shared" si="49"/>
        <v>Stable Earnings</v>
      </c>
      <c r="N571" s="2" t="str">
        <f t="shared" si="50"/>
        <v>Moderate</v>
      </c>
      <c r="O571" s="4" t="str">
        <f t="shared" si="51"/>
        <v>Accounting Risk</v>
      </c>
      <c r="P571" s="4" t="str">
        <f t="shared" si="52"/>
        <v>Moderate</v>
      </c>
      <c r="Q571" s="4" t="str">
        <f t="shared" si="53"/>
        <v>Strong Long-Term Growth</v>
      </c>
    </row>
    <row r="572" spans="1:17" x14ac:dyDescent="0.35">
      <c r="A572" s="2" t="s">
        <v>583</v>
      </c>
      <c r="B572" s="2">
        <v>5</v>
      </c>
      <c r="C572" s="2">
        <v>-10213913.26</v>
      </c>
      <c r="D572" s="2">
        <v>0</v>
      </c>
      <c r="E572" s="2">
        <v>5790582.7800000003</v>
      </c>
      <c r="F572" s="2">
        <v>-13172302</v>
      </c>
      <c r="G572" s="2">
        <v>5</v>
      </c>
      <c r="H572" s="2">
        <v>1</v>
      </c>
      <c r="I572" s="2">
        <v>4</v>
      </c>
      <c r="J572" s="2">
        <v>3.6</v>
      </c>
      <c r="K572" s="2" t="s">
        <v>306</v>
      </c>
      <c r="L572" s="2" t="str">
        <f t="shared" si="48"/>
        <v>Loss Making</v>
      </c>
      <c r="M572" s="2" t="str">
        <f t="shared" si="49"/>
        <v>Stable Earnings</v>
      </c>
      <c r="N572" s="2" t="str">
        <f t="shared" si="50"/>
        <v>Moderate</v>
      </c>
      <c r="O572" s="4" t="str">
        <f t="shared" si="51"/>
        <v>Accounting Risk</v>
      </c>
      <c r="P572" s="4" t="str">
        <f t="shared" si="52"/>
        <v>Moderate</v>
      </c>
      <c r="Q572" s="4" t="str">
        <f t="shared" si="53"/>
        <v>Strong Long-Term Growth</v>
      </c>
    </row>
    <row r="573" spans="1:17" x14ac:dyDescent="0.35">
      <c r="A573" s="2" t="s">
        <v>584</v>
      </c>
      <c r="B573" s="2">
        <v>5</v>
      </c>
      <c r="C573" s="2">
        <v>-27506482.18</v>
      </c>
      <c r="D573" s="2">
        <v>0</v>
      </c>
      <c r="E573" s="2">
        <v>11784016.25</v>
      </c>
      <c r="F573" s="2">
        <v>-13725291.800000001</v>
      </c>
      <c r="G573" s="2">
        <v>5</v>
      </c>
      <c r="H573" s="2">
        <v>1</v>
      </c>
      <c r="I573" s="2">
        <v>4</v>
      </c>
      <c r="J573" s="2">
        <v>3.6</v>
      </c>
      <c r="K573" s="2" t="s">
        <v>306</v>
      </c>
      <c r="L573" s="2" t="str">
        <f t="shared" si="48"/>
        <v>Loss Making</v>
      </c>
      <c r="M573" s="2" t="str">
        <f t="shared" si="49"/>
        <v>Stable Earnings</v>
      </c>
      <c r="N573" s="2" t="str">
        <f t="shared" si="50"/>
        <v>Moderate</v>
      </c>
      <c r="O573" s="4" t="str">
        <f t="shared" si="51"/>
        <v>Accounting Risk</v>
      </c>
      <c r="P573" s="4" t="str">
        <f t="shared" si="52"/>
        <v>Moderate</v>
      </c>
      <c r="Q573" s="4" t="str">
        <f t="shared" si="53"/>
        <v>Strong Long-Term Growth</v>
      </c>
    </row>
    <row r="574" spans="1:17" x14ac:dyDescent="0.35">
      <c r="A574" s="2" t="s">
        <v>585</v>
      </c>
      <c r="B574" s="2">
        <v>5</v>
      </c>
      <c r="C574" s="2">
        <v>-19941165.199999999</v>
      </c>
      <c r="D574" s="2">
        <v>0</v>
      </c>
      <c r="E574" s="2">
        <v>5154231.727</v>
      </c>
      <c r="F574" s="2">
        <v>-12913167.6</v>
      </c>
      <c r="G574" s="2">
        <v>5</v>
      </c>
      <c r="H574" s="2">
        <v>1</v>
      </c>
      <c r="I574" s="2">
        <v>4</v>
      </c>
      <c r="J574" s="2">
        <v>3.6</v>
      </c>
      <c r="K574" s="2" t="s">
        <v>306</v>
      </c>
      <c r="L574" s="2" t="str">
        <f t="shared" si="48"/>
        <v>Loss Making</v>
      </c>
      <c r="M574" s="2" t="str">
        <f t="shared" si="49"/>
        <v>Stable Earnings</v>
      </c>
      <c r="N574" s="2" t="str">
        <f t="shared" si="50"/>
        <v>Moderate</v>
      </c>
      <c r="O574" s="4" t="str">
        <f t="shared" si="51"/>
        <v>Accounting Risk</v>
      </c>
      <c r="P574" s="4" t="str">
        <f t="shared" si="52"/>
        <v>Moderate</v>
      </c>
      <c r="Q574" s="4" t="str">
        <f t="shared" si="53"/>
        <v>Strong Long-Term Growth</v>
      </c>
    </row>
    <row r="575" spans="1:17" x14ac:dyDescent="0.35">
      <c r="A575" s="2" t="s">
        <v>586</v>
      </c>
      <c r="B575" s="2">
        <v>5</v>
      </c>
      <c r="C575" s="2">
        <v>-19161328.620000001</v>
      </c>
      <c r="D575" s="2">
        <v>0</v>
      </c>
      <c r="E575" s="2">
        <v>6958193.2050000001</v>
      </c>
      <c r="F575" s="2">
        <v>-16701139.9</v>
      </c>
      <c r="G575" s="2">
        <v>5</v>
      </c>
      <c r="H575" s="2">
        <v>1</v>
      </c>
      <c r="I575" s="2">
        <v>4</v>
      </c>
      <c r="J575" s="2">
        <v>3.6</v>
      </c>
      <c r="K575" s="2" t="s">
        <v>306</v>
      </c>
      <c r="L575" s="2" t="str">
        <f t="shared" si="48"/>
        <v>Loss Making</v>
      </c>
      <c r="M575" s="2" t="str">
        <f t="shared" si="49"/>
        <v>Stable Earnings</v>
      </c>
      <c r="N575" s="2" t="str">
        <f t="shared" si="50"/>
        <v>Moderate</v>
      </c>
      <c r="O575" s="4" t="str">
        <f t="shared" si="51"/>
        <v>Accounting Risk</v>
      </c>
      <c r="P575" s="4" t="str">
        <f t="shared" si="52"/>
        <v>Moderate</v>
      </c>
      <c r="Q575" s="4" t="str">
        <f t="shared" si="53"/>
        <v>Strong Long-Term Growth</v>
      </c>
    </row>
    <row r="576" spans="1:17" x14ac:dyDescent="0.35">
      <c r="A576" s="2" t="s">
        <v>587</v>
      </c>
      <c r="B576" s="2">
        <v>5</v>
      </c>
      <c r="C576" s="2">
        <v>-21438357</v>
      </c>
      <c r="D576" s="2">
        <v>0</v>
      </c>
      <c r="E576" s="2">
        <v>12329109.25</v>
      </c>
      <c r="F576" s="2">
        <v>-16883447.199999999</v>
      </c>
      <c r="G576" s="2">
        <v>5</v>
      </c>
      <c r="H576" s="2">
        <v>1</v>
      </c>
      <c r="I576" s="2">
        <v>4</v>
      </c>
      <c r="J576" s="2">
        <v>3.6</v>
      </c>
      <c r="K576" s="2" t="s">
        <v>306</v>
      </c>
      <c r="L576" s="2" t="str">
        <f t="shared" si="48"/>
        <v>Loss Making</v>
      </c>
      <c r="M576" s="2" t="str">
        <f t="shared" si="49"/>
        <v>Stable Earnings</v>
      </c>
      <c r="N576" s="2" t="str">
        <f t="shared" si="50"/>
        <v>Moderate</v>
      </c>
      <c r="O576" s="4" t="str">
        <f t="shared" si="51"/>
        <v>Accounting Risk</v>
      </c>
      <c r="P576" s="4" t="str">
        <f t="shared" si="52"/>
        <v>Moderate</v>
      </c>
      <c r="Q576" s="4" t="str">
        <f t="shared" si="53"/>
        <v>Strong Long-Term Growth</v>
      </c>
    </row>
    <row r="577" spans="1:17" x14ac:dyDescent="0.35">
      <c r="A577" s="2" t="s">
        <v>588</v>
      </c>
      <c r="B577" s="2">
        <v>5</v>
      </c>
      <c r="C577" s="2">
        <v>-24374666.699999999</v>
      </c>
      <c r="D577" s="2">
        <v>0</v>
      </c>
      <c r="E577" s="2">
        <v>8766722.4039999992</v>
      </c>
      <c r="F577" s="2">
        <v>-16894875.899999999</v>
      </c>
      <c r="G577" s="2">
        <v>5</v>
      </c>
      <c r="H577" s="2">
        <v>1</v>
      </c>
      <c r="I577" s="2">
        <v>4</v>
      </c>
      <c r="J577" s="2">
        <v>3.6</v>
      </c>
      <c r="K577" s="2" t="s">
        <v>306</v>
      </c>
      <c r="L577" s="2" t="str">
        <f t="shared" si="48"/>
        <v>Loss Making</v>
      </c>
      <c r="M577" s="2" t="str">
        <f t="shared" si="49"/>
        <v>Stable Earnings</v>
      </c>
      <c r="N577" s="2" t="str">
        <f t="shared" si="50"/>
        <v>Moderate</v>
      </c>
      <c r="O577" s="4" t="str">
        <f t="shared" si="51"/>
        <v>Accounting Risk</v>
      </c>
      <c r="P577" s="4" t="str">
        <f t="shared" si="52"/>
        <v>Moderate</v>
      </c>
      <c r="Q577" s="4" t="str">
        <f t="shared" si="53"/>
        <v>Strong Long-Term Growth</v>
      </c>
    </row>
    <row r="578" spans="1:17" x14ac:dyDescent="0.35">
      <c r="A578" s="2" t="s">
        <v>589</v>
      </c>
      <c r="B578" s="2">
        <v>5</v>
      </c>
      <c r="C578" s="2">
        <v>-24850682.859999999</v>
      </c>
      <c r="D578" s="2">
        <v>0</v>
      </c>
      <c r="E578" s="2">
        <v>8786079.6219999995</v>
      </c>
      <c r="F578" s="2">
        <v>-17189800.199999999</v>
      </c>
      <c r="G578" s="2">
        <v>5</v>
      </c>
      <c r="H578" s="2">
        <v>1</v>
      </c>
      <c r="I578" s="2">
        <v>4</v>
      </c>
      <c r="J578" s="2">
        <v>3.6</v>
      </c>
      <c r="K578" s="2" t="s">
        <v>306</v>
      </c>
      <c r="L578" s="2" t="str">
        <f t="shared" ref="L578:L641" si="54">IF(C578&gt;0,"Profitable","Loss Making")</f>
        <v>Loss Making</v>
      </c>
      <c r="M578" s="2" t="str">
        <f t="shared" ref="M578:M641" si="55">IF(C578&gt;500000000,"High Volatility","Stable Earnings")</f>
        <v>Stable Earnings</v>
      </c>
      <c r="N578" s="2" t="str">
        <f t="shared" ref="N578:N641" si="56">IF(G578&gt;=7,"High Quality",IF(G578&gt;=4,"Moderate","Low Quality"))</f>
        <v>Moderate</v>
      </c>
      <c r="O578" s="4" t="str">
        <f t="shared" ref="O578:O641" si="57">IF(AND(F578&gt;0,D578&gt;0.6),"Operational Growth","Accounting Risk")</f>
        <v>Accounting Risk</v>
      </c>
      <c r="P578" s="4" t="str">
        <f t="shared" ref="P578:P641" si="58">IF(G578&gt;=7,"High Quality", IF(G578&gt;=4,"Moderate","Low Quality"))</f>
        <v>Moderate</v>
      </c>
      <c r="Q578" s="4" t="str">
        <f t="shared" ref="Q578:Q641" si="59">IF(I578&gt;=4,"Strong Long-Term Growth",IF(I578&gt;=2,"Moderate Growth","Weak Growth"))</f>
        <v>Strong Long-Term Growth</v>
      </c>
    </row>
    <row r="579" spans="1:17" x14ac:dyDescent="0.35">
      <c r="A579" s="2" t="s">
        <v>590</v>
      </c>
      <c r="B579" s="2">
        <v>5</v>
      </c>
      <c r="C579" s="2">
        <v>-17271881.379999999</v>
      </c>
      <c r="D579" s="2">
        <v>0</v>
      </c>
      <c r="E579" s="2">
        <v>8814810.8129999992</v>
      </c>
      <c r="F579" s="2">
        <v>-17221491</v>
      </c>
      <c r="G579" s="2">
        <v>5</v>
      </c>
      <c r="H579" s="2">
        <v>1</v>
      </c>
      <c r="I579" s="2">
        <v>4</v>
      </c>
      <c r="J579" s="2">
        <v>3.6</v>
      </c>
      <c r="K579" s="2" t="s">
        <v>306</v>
      </c>
      <c r="L579" s="2" t="str">
        <f t="shared" si="54"/>
        <v>Loss Making</v>
      </c>
      <c r="M579" s="2" t="str">
        <f t="shared" si="55"/>
        <v>Stable Earnings</v>
      </c>
      <c r="N579" s="2" t="str">
        <f t="shared" si="56"/>
        <v>Moderate</v>
      </c>
      <c r="O579" s="4" t="str">
        <f t="shared" si="57"/>
        <v>Accounting Risk</v>
      </c>
      <c r="P579" s="4" t="str">
        <f t="shared" si="58"/>
        <v>Moderate</v>
      </c>
      <c r="Q579" s="4" t="str">
        <f t="shared" si="59"/>
        <v>Strong Long-Term Growth</v>
      </c>
    </row>
    <row r="580" spans="1:17" x14ac:dyDescent="0.35">
      <c r="A580" s="2" t="s">
        <v>591</v>
      </c>
      <c r="B580" s="2">
        <v>5</v>
      </c>
      <c r="C580" s="2">
        <v>-13172861.859999999</v>
      </c>
      <c r="D580" s="2">
        <v>0</v>
      </c>
      <c r="E580" s="2">
        <v>7220437.2539999997</v>
      </c>
      <c r="F580" s="2">
        <v>-17378827</v>
      </c>
      <c r="G580" s="2">
        <v>5</v>
      </c>
      <c r="H580" s="2">
        <v>1</v>
      </c>
      <c r="I580" s="2">
        <v>4</v>
      </c>
      <c r="J580" s="2">
        <v>3.6</v>
      </c>
      <c r="K580" s="2" t="s">
        <v>306</v>
      </c>
      <c r="L580" s="2" t="str">
        <f t="shared" si="54"/>
        <v>Loss Making</v>
      </c>
      <c r="M580" s="2" t="str">
        <f t="shared" si="55"/>
        <v>Stable Earnings</v>
      </c>
      <c r="N580" s="2" t="str">
        <f t="shared" si="56"/>
        <v>Moderate</v>
      </c>
      <c r="O580" s="4" t="str">
        <f t="shared" si="57"/>
        <v>Accounting Risk</v>
      </c>
      <c r="P580" s="4" t="str">
        <f t="shared" si="58"/>
        <v>Moderate</v>
      </c>
      <c r="Q580" s="4" t="str">
        <f t="shared" si="59"/>
        <v>Strong Long-Term Growth</v>
      </c>
    </row>
    <row r="581" spans="1:17" x14ac:dyDescent="0.35">
      <c r="A581" s="2" t="s">
        <v>592</v>
      </c>
      <c r="B581" s="2">
        <v>5</v>
      </c>
      <c r="C581" s="2">
        <v>-42311562.060000002</v>
      </c>
      <c r="D581" s="2">
        <v>0</v>
      </c>
      <c r="E581" s="2">
        <v>11473612.59</v>
      </c>
      <c r="F581" s="2">
        <v>-15905809.800000001</v>
      </c>
      <c r="G581" s="2">
        <v>5</v>
      </c>
      <c r="H581" s="2">
        <v>1</v>
      </c>
      <c r="I581" s="2">
        <v>4</v>
      </c>
      <c r="J581" s="2">
        <v>3.6</v>
      </c>
      <c r="K581" s="2" t="s">
        <v>306</v>
      </c>
      <c r="L581" s="2" t="str">
        <f t="shared" si="54"/>
        <v>Loss Making</v>
      </c>
      <c r="M581" s="2" t="str">
        <f t="shared" si="55"/>
        <v>Stable Earnings</v>
      </c>
      <c r="N581" s="2" t="str">
        <f t="shared" si="56"/>
        <v>Moderate</v>
      </c>
      <c r="O581" s="4" t="str">
        <f t="shared" si="57"/>
        <v>Accounting Risk</v>
      </c>
      <c r="P581" s="4" t="str">
        <f t="shared" si="58"/>
        <v>Moderate</v>
      </c>
      <c r="Q581" s="4" t="str">
        <f t="shared" si="59"/>
        <v>Strong Long-Term Growth</v>
      </c>
    </row>
    <row r="582" spans="1:17" x14ac:dyDescent="0.35">
      <c r="A582" s="2" t="s">
        <v>593</v>
      </c>
      <c r="B582" s="2">
        <v>5</v>
      </c>
      <c r="C582" s="2">
        <v>-11641859.380000001</v>
      </c>
      <c r="D582" s="2">
        <v>0</v>
      </c>
      <c r="E582" s="2">
        <v>11554740.380000001</v>
      </c>
      <c r="F582" s="2">
        <v>-15959322</v>
      </c>
      <c r="G582" s="2">
        <v>5</v>
      </c>
      <c r="H582" s="2">
        <v>1</v>
      </c>
      <c r="I582" s="2">
        <v>4</v>
      </c>
      <c r="J582" s="2">
        <v>3.6</v>
      </c>
      <c r="K582" s="2" t="s">
        <v>306</v>
      </c>
      <c r="L582" s="2" t="str">
        <f t="shared" si="54"/>
        <v>Loss Making</v>
      </c>
      <c r="M582" s="2" t="str">
        <f t="shared" si="55"/>
        <v>Stable Earnings</v>
      </c>
      <c r="N582" s="2" t="str">
        <f t="shared" si="56"/>
        <v>Moderate</v>
      </c>
      <c r="O582" s="4" t="str">
        <f t="shared" si="57"/>
        <v>Accounting Risk</v>
      </c>
      <c r="P582" s="4" t="str">
        <f t="shared" si="58"/>
        <v>Moderate</v>
      </c>
      <c r="Q582" s="4" t="str">
        <f t="shared" si="59"/>
        <v>Strong Long-Term Growth</v>
      </c>
    </row>
    <row r="583" spans="1:17" x14ac:dyDescent="0.35">
      <c r="A583" s="2" t="s">
        <v>594</v>
      </c>
      <c r="B583" s="2">
        <v>5</v>
      </c>
      <c r="C583" s="2">
        <v>-16522473</v>
      </c>
      <c r="D583" s="2">
        <v>0</v>
      </c>
      <c r="E583" s="2">
        <v>7725065.949</v>
      </c>
      <c r="F583" s="2">
        <v>-15589324.699999999</v>
      </c>
      <c r="G583" s="2">
        <v>5</v>
      </c>
      <c r="H583" s="2">
        <v>1</v>
      </c>
      <c r="I583" s="2">
        <v>4</v>
      </c>
      <c r="J583" s="2">
        <v>3.6</v>
      </c>
      <c r="K583" s="2" t="s">
        <v>306</v>
      </c>
      <c r="L583" s="2" t="str">
        <f t="shared" si="54"/>
        <v>Loss Making</v>
      </c>
      <c r="M583" s="2" t="str">
        <f t="shared" si="55"/>
        <v>Stable Earnings</v>
      </c>
      <c r="N583" s="2" t="str">
        <f t="shared" si="56"/>
        <v>Moderate</v>
      </c>
      <c r="O583" s="4" t="str">
        <f t="shared" si="57"/>
        <v>Accounting Risk</v>
      </c>
      <c r="P583" s="4" t="str">
        <f t="shared" si="58"/>
        <v>Moderate</v>
      </c>
      <c r="Q583" s="4" t="str">
        <f t="shared" si="59"/>
        <v>Strong Long-Term Growth</v>
      </c>
    </row>
    <row r="584" spans="1:17" x14ac:dyDescent="0.35">
      <c r="A584" s="2" t="s">
        <v>595</v>
      </c>
      <c r="B584" s="2">
        <v>5</v>
      </c>
      <c r="C584" s="2">
        <v>-21110954.18</v>
      </c>
      <c r="D584" s="2">
        <v>0</v>
      </c>
      <c r="E584" s="2">
        <v>7304752.3849999998</v>
      </c>
      <c r="F584" s="2">
        <v>-15652044.6</v>
      </c>
      <c r="G584" s="2">
        <v>5</v>
      </c>
      <c r="H584" s="2">
        <v>1</v>
      </c>
      <c r="I584" s="2">
        <v>4</v>
      </c>
      <c r="J584" s="2">
        <v>3.6</v>
      </c>
      <c r="K584" s="2" t="s">
        <v>306</v>
      </c>
      <c r="L584" s="2" t="str">
        <f t="shared" si="54"/>
        <v>Loss Making</v>
      </c>
      <c r="M584" s="2" t="str">
        <f t="shared" si="55"/>
        <v>Stable Earnings</v>
      </c>
      <c r="N584" s="2" t="str">
        <f t="shared" si="56"/>
        <v>Moderate</v>
      </c>
      <c r="O584" s="4" t="str">
        <f t="shared" si="57"/>
        <v>Accounting Risk</v>
      </c>
      <c r="P584" s="4" t="str">
        <f t="shared" si="58"/>
        <v>Moderate</v>
      </c>
      <c r="Q584" s="4" t="str">
        <f t="shared" si="59"/>
        <v>Strong Long-Term Growth</v>
      </c>
    </row>
    <row r="585" spans="1:17" x14ac:dyDescent="0.35">
      <c r="A585" s="2" t="s">
        <v>596</v>
      </c>
      <c r="B585" s="2">
        <v>5</v>
      </c>
      <c r="C585" s="2">
        <v>-15465167.4</v>
      </c>
      <c r="D585" s="2">
        <v>0</v>
      </c>
      <c r="E585" s="2">
        <v>7144357.0939999996</v>
      </c>
      <c r="F585" s="2">
        <v>-15120334.300000001</v>
      </c>
      <c r="G585" s="2">
        <v>5</v>
      </c>
      <c r="H585" s="2">
        <v>1</v>
      </c>
      <c r="I585" s="2">
        <v>4</v>
      </c>
      <c r="J585" s="2">
        <v>3.6</v>
      </c>
      <c r="K585" s="2" t="s">
        <v>306</v>
      </c>
      <c r="L585" s="2" t="str">
        <f t="shared" si="54"/>
        <v>Loss Making</v>
      </c>
      <c r="M585" s="2" t="str">
        <f t="shared" si="55"/>
        <v>Stable Earnings</v>
      </c>
      <c r="N585" s="2" t="str">
        <f t="shared" si="56"/>
        <v>Moderate</v>
      </c>
      <c r="O585" s="4" t="str">
        <f t="shared" si="57"/>
        <v>Accounting Risk</v>
      </c>
      <c r="P585" s="4" t="str">
        <f t="shared" si="58"/>
        <v>Moderate</v>
      </c>
      <c r="Q585" s="4" t="str">
        <f t="shared" si="59"/>
        <v>Strong Long-Term Growth</v>
      </c>
    </row>
    <row r="586" spans="1:17" x14ac:dyDescent="0.35">
      <c r="A586" s="2" t="s">
        <v>597</v>
      </c>
      <c r="B586" s="2">
        <v>5</v>
      </c>
      <c r="C586" s="2">
        <v>-18453867.739999998</v>
      </c>
      <c r="D586" s="2">
        <v>0</v>
      </c>
      <c r="E586" s="2">
        <v>7876348.6189999999</v>
      </c>
      <c r="F586" s="2">
        <v>-15167231.300000001</v>
      </c>
      <c r="G586" s="2">
        <v>5</v>
      </c>
      <c r="H586" s="2">
        <v>1</v>
      </c>
      <c r="I586" s="2">
        <v>4</v>
      </c>
      <c r="J586" s="2">
        <v>3.6</v>
      </c>
      <c r="K586" s="2" t="s">
        <v>306</v>
      </c>
      <c r="L586" s="2" t="str">
        <f t="shared" si="54"/>
        <v>Loss Making</v>
      </c>
      <c r="M586" s="2" t="str">
        <f t="shared" si="55"/>
        <v>Stable Earnings</v>
      </c>
      <c r="N586" s="2" t="str">
        <f t="shared" si="56"/>
        <v>Moderate</v>
      </c>
      <c r="O586" s="4" t="str">
        <f t="shared" si="57"/>
        <v>Accounting Risk</v>
      </c>
      <c r="P586" s="4" t="str">
        <f t="shared" si="58"/>
        <v>Moderate</v>
      </c>
      <c r="Q586" s="4" t="str">
        <f t="shared" si="59"/>
        <v>Strong Long-Term Growth</v>
      </c>
    </row>
    <row r="587" spans="1:17" x14ac:dyDescent="0.35">
      <c r="A587" s="2" t="s">
        <v>598</v>
      </c>
      <c r="B587" s="2">
        <v>5</v>
      </c>
      <c r="C587" s="2">
        <v>-16539792.140000001</v>
      </c>
      <c r="D587" s="2">
        <v>0</v>
      </c>
      <c r="E587" s="2">
        <v>6651065.1289999997</v>
      </c>
      <c r="F587" s="2">
        <v>-15274361.5</v>
      </c>
      <c r="G587" s="2">
        <v>5</v>
      </c>
      <c r="H587" s="2">
        <v>1</v>
      </c>
      <c r="I587" s="2">
        <v>4</v>
      </c>
      <c r="J587" s="2">
        <v>3.6</v>
      </c>
      <c r="K587" s="2" t="s">
        <v>306</v>
      </c>
      <c r="L587" s="2" t="str">
        <f t="shared" si="54"/>
        <v>Loss Making</v>
      </c>
      <c r="M587" s="2" t="str">
        <f t="shared" si="55"/>
        <v>Stable Earnings</v>
      </c>
      <c r="N587" s="2" t="str">
        <f t="shared" si="56"/>
        <v>Moderate</v>
      </c>
      <c r="O587" s="4" t="str">
        <f t="shared" si="57"/>
        <v>Accounting Risk</v>
      </c>
      <c r="P587" s="4" t="str">
        <f t="shared" si="58"/>
        <v>Moderate</v>
      </c>
      <c r="Q587" s="4" t="str">
        <f t="shared" si="59"/>
        <v>Strong Long-Term Growth</v>
      </c>
    </row>
    <row r="588" spans="1:17" x14ac:dyDescent="0.35">
      <c r="A588" s="2" t="s">
        <v>599</v>
      </c>
      <c r="B588" s="2">
        <v>5</v>
      </c>
      <c r="C588" s="2">
        <v>-11513782.32</v>
      </c>
      <c r="D588" s="2">
        <v>0</v>
      </c>
      <c r="E588" s="2">
        <v>7049591.1030000001</v>
      </c>
      <c r="F588" s="2">
        <v>-9191104.3000000007</v>
      </c>
      <c r="G588" s="2">
        <v>5</v>
      </c>
      <c r="H588" s="2">
        <v>1</v>
      </c>
      <c r="I588" s="2">
        <v>4</v>
      </c>
      <c r="J588" s="2">
        <v>3.6</v>
      </c>
      <c r="K588" s="2" t="s">
        <v>306</v>
      </c>
      <c r="L588" s="2" t="str">
        <f t="shared" si="54"/>
        <v>Loss Making</v>
      </c>
      <c r="M588" s="2" t="str">
        <f t="shared" si="55"/>
        <v>Stable Earnings</v>
      </c>
      <c r="N588" s="2" t="str">
        <f t="shared" si="56"/>
        <v>Moderate</v>
      </c>
      <c r="O588" s="4" t="str">
        <f t="shared" si="57"/>
        <v>Accounting Risk</v>
      </c>
      <c r="P588" s="4" t="str">
        <f t="shared" si="58"/>
        <v>Moderate</v>
      </c>
      <c r="Q588" s="4" t="str">
        <f t="shared" si="59"/>
        <v>Strong Long-Term Growth</v>
      </c>
    </row>
    <row r="589" spans="1:17" x14ac:dyDescent="0.35">
      <c r="A589" s="2" t="s">
        <v>600</v>
      </c>
      <c r="B589" s="2">
        <v>5</v>
      </c>
      <c r="C589" s="2">
        <v>-22794469.100000001</v>
      </c>
      <c r="D589" s="2">
        <v>0</v>
      </c>
      <c r="E589" s="2">
        <v>9716435.5840000007</v>
      </c>
      <c r="F589" s="2">
        <v>-9592938.6999999993</v>
      </c>
      <c r="G589" s="2">
        <v>5</v>
      </c>
      <c r="H589" s="2">
        <v>1</v>
      </c>
      <c r="I589" s="2">
        <v>4</v>
      </c>
      <c r="J589" s="2">
        <v>3.6</v>
      </c>
      <c r="K589" s="2" t="s">
        <v>306</v>
      </c>
      <c r="L589" s="2" t="str">
        <f t="shared" si="54"/>
        <v>Loss Making</v>
      </c>
      <c r="M589" s="2" t="str">
        <f t="shared" si="55"/>
        <v>Stable Earnings</v>
      </c>
      <c r="N589" s="2" t="str">
        <f t="shared" si="56"/>
        <v>Moderate</v>
      </c>
      <c r="O589" s="4" t="str">
        <f t="shared" si="57"/>
        <v>Accounting Risk</v>
      </c>
      <c r="P589" s="4" t="str">
        <f t="shared" si="58"/>
        <v>Moderate</v>
      </c>
      <c r="Q589" s="4" t="str">
        <f t="shared" si="59"/>
        <v>Strong Long-Term Growth</v>
      </c>
    </row>
    <row r="590" spans="1:17" x14ac:dyDescent="0.35">
      <c r="A590" s="2" t="s">
        <v>601</v>
      </c>
      <c r="B590" s="2">
        <v>5</v>
      </c>
      <c r="C590" s="2">
        <v>-24829216.68</v>
      </c>
      <c r="D590" s="2">
        <v>0</v>
      </c>
      <c r="E590" s="2">
        <v>11888565.49</v>
      </c>
      <c r="F590" s="2">
        <v>-10248641.6</v>
      </c>
      <c r="G590" s="2">
        <v>5</v>
      </c>
      <c r="H590" s="2">
        <v>1</v>
      </c>
      <c r="I590" s="2">
        <v>4</v>
      </c>
      <c r="J590" s="2">
        <v>3.6</v>
      </c>
      <c r="K590" s="2" t="s">
        <v>306</v>
      </c>
      <c r="L590" s="2" t="str">
        <f t="shared" si="54"/>
        <v>Loss Making</v>
      </c>
      <c r="M590" s="2" t="str">
        <f t="shared" si="55"/>
        <v>Stable Earnings</v>
      </c>
      <c r="N590" s="2" t="str">
        <f t="shared" si="56"/>
        <v>Moderate</v>
      </c>
      <c r="O590" s="4" t="str">
        <f t="shared" si="57"/>
        <v>Accounting Risk</v>
      </c>
      <c r="P590" s="4" t="str">
        <f t="shared" si="58"/>
        <v>Moderate</v>
      </c>
      <c r="Q590" s="4" t="str">
        <f t="shared" si="59"/>
        <v>Strong Long-Term Growth</v>
      </c>
    </row>
    <row r="591" spans="1:17" x14ac:dyDescent="0.35">
      <c r="A591" s="2" t="s">
        <v>602</v>
      </c>
      <c r="B591" s="2">
        <v>5</v>
      </c>
      <c r="C591" s="2">
        <v>-23747996.600000001</v>
      </c>
      <c r="D591" s="2">
        <v>0</v>
      </c>
      <c r="E591" s="2">
        <v>5943069.5099999998</v>
      </c>
      <c r="F591" s="2">
        <v>-10378511.800000001</v>
      </c>
      <c r="G591" s="2">
        <v>5</v>
      </c>
      <c r="H591" s="2">
        <v>1</v>
      </c>
      <c r="I591" s="2">
        <v>4</v>
      </c>
      <c r="J591" s="2">
        <v>3.6</v>
      </c>
      <c r="K591" s="2" t="s">
        <v>306</v>
      </c>
      <c r="L591" s="2" t="str">
        <f t="shared" si="54"/>
        <v>Loss Making</v>
      </c>
      <c r="M591" s="2" t="str">
        <f t="shared" si="55"/>
        <v>Stable Earnings</v>
      </c>
      <c r="N591" s="2" t="str">
        <f t="shared" si="56"/>
        <v>Moderate</v>
      </c>
      <c r="O591" s="4" t="str">
        <f t="shared" si="57"/>
        <v>Accounting Risk</v>
      </c>
      <c r="P591" s="4" t="str">
        <f t="shared" si="58"/>
        <v>Moderate</v>
      </c>
      <c r="Q591" s="4" t="str">
        <f t="shared" si="59"/>
        <v>Strong Long-Term Growth</v>
      </c>
    </row>
    <row r="592" spans="1:17" x14ac:dyDescent="0.35">
      <c r="A592" s="2" t="s">
        <v>603</v>
      </c>
      <c r="B592" s="2">
        <v>5</v>
      </c>
      <c r="C592" s="2">
        <v>-22533920.739999998</v>
      </c>
      <c r="D592" s="2">
        <v>0</v>
      </c>
      <c r="E592" s="2">
        <v>5060766.4579999996</v>
      </c>
      <c r="F592" s="2">
        <v>-10681415</v>
      </c>
      <c r="G592" s="2">
        <v>5</v>
      </c>
      <c r="H592" s="2">
        <v>1</v>
      </c>
      <c r="I592" s="2">
        <v>4</v>
      </c>
      <c r="J592" s="2">
        <v>3.6</v>
      </c>
      <c r="K592" s="2" t="s">
        <v>306</v>
      </c>
      <c r="L592" s="2" t="str">
        <f t="shared" si="54"/>
        <v>Loss Making</v>
      </c>
      <c r="M592" s="2" t="str">
        <f t="shared" si="55"/>
        <v>Stable Earnings</v>
      </c>
      <c r="N592" s="2" t="str">
        <f t="shared" si="56"/>
        <v>Moderate</v>
      </c>
      <c r="O592" s="4" t="str">
        <f t="shared" si="57"/>
        <v>Accounting Risk</v>
      </c>
      <c r="P592" s="4" t="str">
        <f t="shared" si="58"/>
        <v>Moderate</v>
      </c>
      <c r="Q592" s="4" t="str">
        <f t="shared" si="59"/>
        <v>Strong Long-Term Growth</v>
      </c>
    </row>
    <row r="593" spans="1:17" x14ac:dyDescent="0.35">
      <c r="A593" s="2" t="s">
        <v>604</v>
      </c>
      <c r="B593" s="2">
        <v>5</v>
      </c>
      <c r="C593" s="2">
        <v>-10302502.42</v>
      </c>
      <c r="D593" s="2">
        <v>0</v>
      </c>
      <c r="E593" s="2">
        <v>7088772.6639999999</v>
      </c>
      <c r="F593" s="2">
        <v>-11594098.800000001</v>
      </c>
      <c r="G593" s="2">
        <v>5</v>
      </c>
      <c r="H593" s="2">
        <v>1</v>
      </c>
      <c r="I593" s="2">
        <v>4</v>
      </c>
      <c r="J593" s="2">
        <v>3.6</v>
      </c>
      <c r="K593" s="2" t="s">
        <v>306</v>
      </c>
      <c r="L593" s="2" t="str">
        <f t="shared" si="54"/>
        <v>Loss Making</v>
      </c>
      <c r="M593" s="2" t="str">
        <f t="shared" si="55"/>
        <v>Stable Earnings</v>
      </c>
      <c r="N593" s="2" t="str">
        <f t="shared" si="56"/>
        <v>Moderate</v>
      </c>
      <c r="O593" s="4" t="str">
        <f t="shared" si="57"/>
        <v>Accounting Risk</v>
      </c>
      <c r="P593" s="4" t="str">
        <f t="shared" si="58"/>
        <v>Moderate</v>
      </c>
      <c r="Q593" s="4" t="str">
        <f t="shared" si="59"/>
        <v>Strong Long-Term Growth</v>
      </c>
    </row>
    <row r="594" spans="1:17" x14ac:dyDescent="0.35">
      <c r="A594" s="2" t="s">
        <v>605</v>
      </c>
      <c r="B594" s="2">
        <v>5</v>
      </c>
      <c r="C594" s="2">
        <v>-9747458.0199999996</v>
      </c>
      <c r="D594" s="2">
        <v>0</v>
      </c>
      <c r="E594" s="2">
        <v>4625667.432</v>
      </c>
      <c r="F594" s="2">
        <v>-7959032</v>
      </c>
      <c r="G594" s="2">
        <v>5</v>
      </c>
      <c r="H594" s="2">
        <v>1</v>
      </c>
      <c r="I594" s="2">
        <v>4</v>
      </c>
      <c r="J594" s="2">
        <v>3.6</v>
      </c>
      <c r="K594" s="2" t="s">
        <v>306</v>
      </c>
      <c r="L594" s="2" t="str">
        <f t="shared" si="54"/>
        <v>Loss Making</v>
      </c>
      <c r="M594" s="2" t="str">
        <f t="shared" si="55"/>
        <v>Stable Earnings</v>
      </c>
      <c r="N594" s="2" t="str">
        <f t="shared" si="56"/>
        <v>Moderate</v>
      </c>
      <c r="O594" s="4" t="str">
        <f t="shared" si="57"/>
        <v>Accounting Risk</v>
      </c>
      <c r="P594" s="4" t="str">
        <f t="shared" si="58"/>
        <v>Moderate</v>
      </c>
      <c r="Q594" s="4" t="str">
        <f t="shared" si="59"/>
        <v>Strong Long-Term Growth</v>
      </c>
    </row>
    <row r="595" spans="1:17" x14ac:dyDescent="0.35">
      <c r="A595" s="2" t="s">
        <v>606</v>
      </c>
      <c r="B595" s="2">
        <v>5</v>
      </c>
      <c r="C595" s="2">
        <v>-24959283.879999999</v>
      </c>
      <c r="D595" s="2">
        <v>0</v>
      </c>
      <c r="E595" s="2">
        <v>15275483.68</v>
      </c>
      <c r="F595" s="2">
        <v>-8067412.5</v>
      </c>
      <c r="G595" s="2">
        <v>5</v>
      </c>
      <c r="H595" s="2">
        <v>1</v>
      </c>
      <c r="I595" s="2">
        <v>4</v>
      </c>
      <c r="J595" s="2">
        <v>3.6</v>
      </c>
      <c r="K595" s="2" t="s">
        <v>306</v>
      </c>
      <c r="L595" s="2" t="str">
        <f t="shared" si="54"/>
        <v>Loss Making</v>
      </c>
      <c r="M595" s="2" t="str">
        <f t="shared" si="55"/>
        <v>Stable Earnings</v>
      </c>
      <c r="N595" s="2" t="str">
        <f t="shared" si="56"/>
        <v>Moderate</v>
      </c>
      <c r="O595" s="4" t="str">
        <f t="shared" si="57"/>
        <v>Accounting Risk</v>
      </c>
      <c r="P595" s="4" t="str">
        <f t="shared" si="58"/>
        <v>Moderate</v>
      </c>
      <c r="Q595" s="4" t="str">
        <f t="shared" si="59"/>
        <v>Strong Long-Term Growth</v>
      </c>
    </row>
    <row r="596" spans="1:17" x14ac:dyDescent="0.35">
      <c r="A596" s="2" t="s">
        <v>607</v>
      </c>
      <c r="B596" s="2">
        <v>5</v>
      </c>
      <c r="C596" s="2">
        <v>-15549530.76</v>
      </c>
      <c r="D596" s="2">
        <v>0</v>
      </c>
      <c r="E596" s="2">
        <v>3705214.6910000001</v>
      </c>
      <c r="F596" s="2">
        <v>-8129700.5999999996</v>
      </c>
      <c r="G596" s="2">
        <v>5</v>
      </c>
      <c r="H596" s="2">
        <v>1</v>
      </c>
      <c r="I596" s="2">
        <v>4</v>
      </c>
      <c r="J596" s="2">
        <v>3.6</v>
      </c>
      <c r="K596" s="2" t="s">
        <v>306</v>
      </c>
      <c r="L596" s="2" t="str">
        <f t="shared" si="54"/>
        <v>Loss Making</v>
      </c>
      <c r="M596" s="2" t="str">
        <f t="shared" si="55"/>
        <v>Stable Earnings</v>
      </c>
      <c r="N596" s="2" t="str">
        <f t="shared" si="56"/>
        <v>Moderate</v>
      </c>
      <c r="O596" s="4" t="str">
        <f t="shared" si="57"/>
        <v>Accounting Risk</v>
      </c>
      <c r="P596" s="4" t="str">
        <f t="shared" si="58"/>
        <v>Moderate</v>
      </c>
      <c r="Q596" s="4" t="str">
        <f t="shared" si="59"/>
        <v>Strong Long-Term Growth</v>
      </c>
    </row>
    <row r="597" spans="1:17" x14ac:dyDescent="0.35">
      <c r="A597" s="2" t="s">
        <v>608</v>
      </c>
      <c r="B597" s="2">
        <v>5</v>
      </c>
      <c r="C597" s="2">
        <v>-5935633.5800000001</v>
      </c>
      <c r="D597" s="2">
        <v>0</v>
      </c>
      <c r="E597" s="2">
        <v>4178657.4810000001</v>
      </c>
      <c r="F597" s="2">
        <v>-8245876.7000000002</v>
      </c>
      <c r="G597" s="2">
        <v>5</v>
      </c>
      <c r="H597" s="2">
        <v>1</v>
      </c>
      <c r="I597" s="2">
        <v>4</v>
      </c>
      <c r="J597" s="2">
        <v>3.6</v>
      </c>
      <c r="K597" s="2" t="s">
        <v>306</v>
      </c>
      <c r="L597" s="2" t="str">
        <f t="shared" si="54"/>
        <v>Loss Making</v>
      </c>
      <c r="M597" s="2" t="str">
        <f t="shared" si="55"/>
        <v>Stable Earnings</v>
      </c>
      <c r="N597" s="2" t="str">
        <f t="shared" si="56"/>
        <v>Moderate</v>
      </c>
      <c r="O597" s="4" t="str">
        <f t="shared" si="57"/>
        <v>Accounting Risk</v>
      </c>
      <c r="P597" s="4" t="str">
        <f t="shared" si="58"/>
        <v>Moderate</v>
      </c>
      <c r="Q597" s="4" t="str">
        <f t="shared" si="59"/>
        <v>Strong Long-Term Growth</v>
      </c>
    </row>
    <row r="598" spans="1:17" x14ac:dyDescent="0.35">
      <c r="A598" s="2" t="s">
        <v>609</v>
      </c>
      <c r="B598" s="2">
        <v>5</v>
      </c>
      <c r="C598" s="2">
        <v>-16341819.42</v>
      </c>
      <c r="D598" s="2">
        <v>0</v>
      </c>
      <c r="E598" s="2">
        <v>6337090.5980000002</v>
      </c>
      <c r="F598" s="2">
        <v>-8282362.4000000004</v>
      </c>
      <c r="G598" s="2">
        <v>5</v>
      </c>
      <c r="H598" s="2">
        <v>1</v>
      </c>
      <c r="I598" s="2">
        <v>4</v>
      </c>
      <c r="J598" s="2">
        <v>3.6</v>
      </c>
      <c r="K598" s="2" t="s">
        <v>306</v>
      </c>
      <c r="L598" s="2" t="str">
        <f t="shared" si="54"/>
        <v>Loss Making</v>
      </c>
      <c r="M598" s="2" t="str">
        <f t="shared" si="55"/>
        <v>Stable Earnings</v>
      </c>
      <c r="N598" s="2" t="str">
        <f t="shared" si="56"/>
        <v>Moderate</v>
      </c>
      <c r="O598" s="4" t="str">
        <f t="shared" si="57"/>
        <v>Accounting Risk</v>
      </c>
      <c r="P598" s="4" t="str">
        <f t="shared" si="58"/>
        <v>Moderate</v>
      </c>
      <c r="Q598" s="4" t="str">
        <f t="shared" si="59"/>
        <v>Strong Long-Term Growth</v>
      </c>
    </row>
    <row r="599" spans="1:17" x14ac:dyDescent="0.35">
      <c r="A599" s="2" t="s">
        <v>610</v>
      </c>
      <c r="B599" s="2">
        <v>5</v>
      </c>
      <c r="C599" s="2">
        <v>-33783071.119999997</v>
      </c>
      <c r="D599" s="2">
        <v>0</v>
      </c>
      <c r="E599" s="2">
        <v>12696627.859999999</v>
      </c>
      <c r="F599" s="2">
        <v>-8298373.2999999998</v>
      </c>
      <c r="G599" s="2">
        <v>5</v>
      </c>
      <c r="H599" s="2">
        <v>1</v>
      </c>
      <c r="I599" s="2">
        <v>4</v>
      </c>
      <c r="J599" s="2">
        <v>3.6</v>
      </c>
      <c r="K599" s="2" t="s">
        <v>306</v>
      </c>
      <c r="L599" s="2" t="str">
        <f t="shared" si="54"/>
        <v>Loss Making</v>
      </c>
      <c r="M599" s="2" t="str">
        <f t="shared" si="55"/>
        <v>Stable Earnings</v>
      </c>
      <c r="N599" s="2" t="str">
        <f t="shared" si="56"/>
        <v>Moderate</v>
      </c>
      <c r="O599" s="4" t="str">
        <f t="shared" si="57"/>
        <v>Accounting Risk</v>
      </c>
      <c r="P599" s="4" t="str">
        <f t="shared" si="58"/>
        <v>Moderate</v>
      </c>
      <c r="Q599" s="4" t="str">
        <f t="shared" si="59"/>
        <v>Strong Long-Term Growth</v>
      </c>
    </row>
    <row r="600" spans="1:17" x14ac:dyDescent="0.35">
      <c r="A600" s="2" t="s">
        <v>611</v>
      </c>
      <c r="B600" s="2">
        <v>5</v>
      </c>
      <c r="C600" s="2">
        <v>-52582748.340000004</v>
      </c>
      <c r="D600" s="2">
        <v>0</v>
      </c>
      <c r="E600" s="2">
        <v>8402120.4140000008</v>
      </c>
      <c r="F600" s="2">
        <v>-8418195.8000000007</v>
      </c>
      <c r="G600" s="2">
        <v>5</v>
      </c>
      <c r="H600" s="2">
        <v>1</v>
      </c>
      <c r="I600" s="2">
        <v>4</v>
      </c>
      <c r="J600" s="2">
        <v>3.6</v>
      </c>
      <c r="K600" s="2" t="s">
        <v>306</v>
      </c>
      <c r="L600" s="2" t="str">
        <f t="shared" si="54"/>
        <v>Loss Making</v>
      </c>
      <c r="M600" s="2" t="str">
        <f t="shared" si="55"/>
        <v>Stable Earnings</v>
      </c>
      <c r="N600" s="2" t="str">
        <f t="shared" si="56"/>
        <v>Moderate</v>
      </c>
      <c r="O600" s="4" t="str">
        <f t="shared" si="57"/>
        <v>Accounting Risk</v>
      </c>
      <c r="P600" s="4" t="str">
        <f t="shared" si="58"/>
        <v>Moderate</v>
      </c>
      <c r="Q600" s="4" t="str">
        <f t="shared" si="59"/>
        <v>Strong Long-Term Growth</v>
      </c>
    </row>
    <row r="601" spans="1:17" x14ac:dyDescent="0.35">
      <c r="A601" s="2" t="s">
        <v>612</v>
      </c>
      <c r="B601" s="2">
        <v>5</v>
      </c>
      <c r="C601" s="2">
        <v>-13732147.539999999</v>
      </c>
      <c r="D601" s="2">
        <v>0</v>
      </c>
      <c r="E601" s="2">
        <v>3110202.3930000002</v>
      </c>
      <c r="F601" s="2">
        <v>-8456710.1999999993</v>
      </c>
      <c r="G601" s="2">
        <v>5</v>
      </c>
      <c r="H601" s="2">
        <v>1</v>
      </c>
      <c r="I601" s="2">
        <v>4</v>
      </c>
      <c r="J601" s="2">
        <v>3.6</v>
      </c>
      <c r="K601" s="2" t="s">
        <v>306</v>
      </c>
      <c r="L601" s="2" t="str">
        <f t="shared" si="54"/>
        <v>Loss Making</v>
      </c>
      <c r="M601" s="2" t="str">
        <f t="shared" si="55"/>
        <v>Stable Earnings</v>
      </c>
      <c r="N601" s="2" t="str">
        <f t="shared" si="56"/>
        <v>Moderate</v>
      </c>
      <c r="O601" s="4" t="str">
        <f t="shared" si="57"/>
        <v>Accounting Risk</v>
      </c>
      <c r="P601" s="4" t="str">
        <f t="shared" si="58"/>
        <v>Moderate</v>
      </c>
      <c r="Q601" s="4" t="str">
        <f t="shared" si="59"/>
        <v>Strong Long-Term Growth</v>
      </c>
    </row>
    <row r="602" spans="1:17" x14ac:dyDescent="0.35">
      <c r="A602" s="2" t="s">
        <v>613</v>
      </c>
      <c r="B602" s="2">
        <v>5</v>
      </c>
      <c r="C602" s="2">
        <v>-16647889.98</v>
      </c>
      <c r="D602" s="2">
        <v>0</v>
      </c>
      <c r="E602" s="2">
        <v>4278621.3859999999</v>
      </c>
      <c r="F602" s="2">
        <v>-7887530.9000000004</v>
      </c>
      <c r="G602" s="2">
        <v>5</v>
      </c>
      <c r="H602" s="2">
        <v>1</v>
      </c>
      <c r="I602" s="2">
        <v>4</v>
      </c>
      <c r="J602" s="2">
        <v>3.6</v>
      </c>
      <c r="K602" s="2" t="s">
        <v>306</v>
      </c>
      <c r="L602" s="2" t="str">
        <f t="shared" si="54"/>
        <v>Loss Making</v>
      </c>
      <c r="M602" s="2" t="str">
        <f t="shared" si="55"/>
        <v>Stable Earnings</v>
      </c>
      <c r="N602" s="2" t="str">
        <f t="shared" si="56"/>
        <v>Moderate</v>
      </c>
      <c r="O602" s="4" t="str">
        <f t="shared" si="57"/>
        <v>Accounting Risk</v>
      </c>
      <c r="P602" s="4" t="str">
        <f t="shared" si="58"/>
        <v>Moderate</v>
      </c>
      <c r="Q602" s="4" t="str">
        <f t="shared" si="59"/>
        <v>Strong Long-Term Growth</v>
      </c>
    </row>
    <row r="603" spans="1:17" x14ac:dyDescent="0.35">
      <c r="A603" s="2" t="s">
        <v>614</v>
      </c>
      <c r="B603" s="2">
        <v>5</v>
      </c>
      <c r="C603" s="2">
        <v>-65167738.119999997</v>
      </c>
      <c r="D603" s="2">
        <v>0</v>
      </c>
      <c r="E603" s="2">
        <v>11600059.57</v>
      </c>
      <c r="F603" s="2">
        <v>-7706347.5</v>
      </c>
      <c r="G603" s="2">
        <v>5</v>
      </c>
      <c r="H603" s="2">
        <v>1</v>
      </c>
      <c r="I603" s="2">
        <v>4</v>
      </c>
      <c r="J603" s="2">
        <v>3.6</v>
      </c>
      <c r="K603" s="2" t="s">
        <v>306</v>
      </c>
      <c r="L603" s="2" t="str">
        <f t="shared" si="54"/>
        <v>Loss Making</v>
      </c>
      <c r="M603" s="2" t="str">
        <f t="shared" si="55"/>
        <v>Stable Earnings</v>
      </c>
      <c r="N603" s="2" t="str">
        <f t="shared" si="56"/>
        <v>Moderate</v>
      </c>
      <c r="O603" s="4" t="str">
        <f t="shared" si="57"/>
        <v>Accounting Risk</v>
      </c>
      <c r="P603" s="4" t="str">
        <f t="shared" si="58"/>
        <v>Moderate</v>
      </c>
      <c r="Q603" s="4" t="str">
        <f t="shared" si="59"/>
        <v>Strong Long-Term Growth</v>
      </c>
    </row>
    <row r="604" spans="1:17" x14ac:dyDescent="0.35">
      <c r="A604" s="2" t="s">
        <v>615</v>
      </c>
      <c r="B604" s="2">
        <v>5</v>
      </c>
      <c r="C604" s="2">
        <v>-16334445.220000001</v>
      </c>
      <c r="D604" s="2">
        <v>0</v>
      </c>
      <c r="E604" s="2">
        <v>2816622.6009999998</v>
      </c>
      <c r="F604" s="2">
        <v>-7268277.2000000002</v>
      </c>
      <c r="G604" s="2">
        <v>5</v>
      </c>
      <c r="H604" s="2">
        <v>1</v>
      </c>
      <c r="I604" s="2">
        <v>4</v>
      </c>
      <c r="J604" s="2">
        <v>3.6</v>
      </c>
      <c r="K604" s="2" t="s">
        <v>306</v>
      </c>
      <c r="L604" s="2" t="str">
        <f t="shared" si="54"/>
        <v>Loss Making</v>
      </c>
      <c r="M604" s="2" t="str">
        <f t="shared" si="55"/>
        <v>Stable Earnings</v>
      </c>
      <c r="N604" s="2" t="str">
        <f t="shared" si="56"/>
        <v>Moderate</v>
      </c>
      <c r="O604" s="4" t="str">
        <f t="shared" si="57"/>
        <v>Accounting Risk</v>
      </c>
      <c r="P604" s="4" t="str">
        <f t="shared" si="58"/>
        <v>Moderate</v>
      </c>
      <c r="Q604" s="4" t="str">
        <f t="shared" si="59"/>
        <v>Strong Long-Term Growth</v>
      </c>
    </row>
    <row r="605" spans="1:17" x14ac:dyDescent="0.35">
      <c r="A605" s="2" t="s">
        <v>616</v>
      </c>
      <c r="B605" s="2">
        <v>5</v>
      </c>
      <c r="C605" s="2">
        <v>-11661224.18</v>
      </c>
      <c r="D605" s="2">
        <v>0</v>
      </c>
      <c r="E605" s="2">
        <v>9440244.9210000001</v>
      </c>
      <c r="F605" s="2">
        <v>-21379441.699999999</v>
      </c>
      <c r="G605" s="2">
        <v>5</v>
      </c>
      <c r="H605" s="2">
        <v>1</v>
      </c>
      <c r="I605" s="2">
        <v>4</v>
      </c>
      <c r="J605" s="2">
        <v>3.6</v>
      </c>
      <c r="K605" s="2" t="s">
        <v>306</v>
      </c>
      <c r="L605" s="2" t="str">
        <f t="shared" si="54"/>
        <v>Loss Making</v>
      </c>
      <c r="M605" s="2" t="str">
        <f t="shared" si="55"/>
        <v>Stable Earnings</v>
      </c>
      <c r="N605" s="2" t="str">
        <f t="shared" si="56"/>
        <v>Moderate</v>
      </c>
      <c r="O605" s="4" t="str">
        <f t="shared" si="57"/>
        <v>Accounting Risk</v>
      </c>
      <c r="P605" s="4" t="str">
        <f t="shared" si="58"/>
        <v>Moderate</v>
      </c>
      <c r="Q605" s="4" t="str">
        <f t="shared" si="59"/>
        <v>Strong Long-Term Growth</v>
      </c>
    </row>
    <row r="606" spans="1:17" x14ac:dyDescent="0.35">
      <c r="A606" s="2" t="s">
        <v>617</v>
      </c>
      <c r="B606" s="2">
        <v>5</v>
      </c>
      <c r="C606" s="2">
        <v>-23200964.66</v>
      </c>
      <c r="D606" s="2">
        <v>0</v>
      </c>
      <c r="E606" s="2">
        <v>10514133.92</v>
      </c>
      <c r="F606" s="2">
        <v>-21436041</v>
      </c>
      <c r="G606" s="2">
        <v>5</v>
      </c>
      <c r="H606" s="2">
        <v>1</v>
      </c>
      <c r="I606" s="2">
        <v>4</v>
      </c>
      <c r="J606" s="2">
        <v>3.6</v>
      </c>
      <c r="K606" s="2" t="s">
        <v>306</v>
      </c>
      <c r="L606" s="2" t="str">
        <f t="shared" si="54"/>
        <v>Loss Making</v>
      </c>
      <c r="M606" s="2" t="str">
        <f t="shared" si="55"/>
        <v>Stable Earnings</v>
      </c>
      <c r="N606" s="2" t="str">
        <f t="shared" si="56"/>
        <v>Moderate</v>
      </c>
      <c r="O606" s="4" t="str">
        <f t="shared" si="57"/>
        <v>Accounting Risk</v>
      </c>
      <c r="P606" s="4" t="str">
        <f t="shared" si="58"/>
        <v>Moderate</v>
      </c>
      <c r="Q606" s="4" t="str">
        <f t="shared" si="59"/>
        <v>Strong Long-Term Growth</v>
      </c>
    </row>
    <row r="607" spans="1:17" x14ac:dyDescent="0.35">
      <c r="A607" s="2" t="s">
        <v>618</v>
      </c>
      <c r="B607" s="2">
        <v>5</v>
      </c>
      <c r="C607" s="2">
        <v>-39333515.18</v>
      </c>
      <c r="D607" s="2">
        <v>0</v>
      </c>
      <c r="E607" s="2">
        <v>14930939.9</v>
      </c>
      <c r="F607" s="2">
        <v>-22565723.899999999</v>
      </c>
      <c r="G607" s="2">
        <v>5</v>
      </c>
      <c r="H607" s="2">
        <v>1</v>
      </c>
      <c r="I607" s="2">
        <v>4</v>
      </c>
      <c r="J607" s="2">
        <v>3.6</v>
      </c>
      <c r="K607" s="2" t="s">
        <v>306</v>
      </c>
      <c r="L607" s="2" t="str">
        <f t="shared" si="54"/>
        <v>Loss Making</v>
      </c>
      <c r="M607" s="2" t="str">
        <f t="shared" si="55"/>
        <v>Stable Earnings</v>
      </c>
      <c r="N607" s="2" t="str">
        <f t="shared" si="56"/>
        <v>Moderate</v>
      </c>
      <c r="O607" s="4" t="str">
        <f t="shared" si="57"/>
        <v>Accounting Risk</v>
      </c>
      <c r="P607" s="4" t="str">
        <f t="shared" si="58"/>
        <v>Moderate</v>
      </c>
      <c r="Q607" s="4" t="str">
        <f t="shared" si="59"/>
        <v>Strong Long-Term Growth</v>
      </c>
    </row>
    <row r="608" spans="1:17" x14ac:dyDescent="0.35">
      <c r="A608" s="2" t="s">
        <v>619</v>
      </c>
      <c r="B608" s="2">
        <v>5</v>
      </c>
      <c r="C608" s="2">
        <v>-21587253.699999999</v>
      </c>
      <c r="D608" s="2">
        <v>0</v>
      </c>
      <c r="E608" s="2">
        <v>11102486.630000001</v>
      </c>
      <c r="F608" s="2">
        <v>-22565732</v>
      </c>
      <c r="G608" s="2">
        <v>5</v>
      </c>
      <c r="H608" s="2">
        <v>1</v>
      </c>
      <c r="I608" s="2">
        <v>4</v>
      </c>
      <c r="J608" s="2">
        <v>3.6</v>
      </c>
      <c r="K608" s="2" t="s">
        <v>306</v>
      </c>
      <c r="L608" s="2" t="str">
        <f t="shared" si="54"/>
        <v>Loss Making</v>
      </c>
      <c r="M608" s="2" t="str">
        <f t="shared" si="55"/>
        <v>Stable Earnings</v>
      </c>
      <c r="N608" s="2" t="str">
        <f t="shared" si="56"/>
        <v>Moderate</v>
      </c>
      <c r="O608" s="4" t="str">
        <f t="shared" si="57"/>
        <v>Accounting Risk</v>
      </c>
      <c r="P608" s="4" t="str">
        <f t="shared" si="58"/>
        <v>Moderate</v>
      </c>
      <c r="Q608" s="4" t="str">
        <f t="shared" si="59"/>
        <v>Strong Long-Term Growth</v>
      </c>
    </row>
    <row r="609" spans="1:17" x14ac:dyDescent="0.35">
      <c r="A609" s="2" t="s">
        <v>620</v>
      </c>
      <c r="B609" s="2">
        <v>5</v>
      </c>
      <c r="C609" s="2">
        <v>-28406283</v>
      </c>
      <c r="D609" s="2">
        <v>0</v>
      </c>
      <c r="E609" s="2">
        <v>9786458.9729999993</v>
      </c>
      <c r="F609" s="2">
        <v>-18728600.600000001</v>
      </c>
      <c r="G609" s="2">
        <v>5</v>
      </c>
      <c r="H609" s="2">
        <v>1</v>
      </c>
      <c r="I609" s="2">
        <v>4</v>
      </c>
      <c r="J609" s="2">
        <v>3.6</v>
      </c>
      <c r="K609" s="2" t="s">
        <v>306</v>
      </c>
      <c r="L609" s="2" t="str">
        <f t="shared" si="54"/>
        <v>Loss Making</v>
      </c>
      <c r="M609" s="2" t="str">
        <f t="shared" si="55"/>
        <v>Stable Earnings</v>
      </c>
      <c r="N609" s="2" t="str">
        <f t="shared" si="56"/>
        <v>Moderate</v>
      </c>
      <c r="O609" s="4" t="str">
        <f t="shared" si="57"/>
        <v>Accounting Risk</v>
      </c>
      <c r="P609" s="4" t="str">
        <f t="shared" si="58"/>
        <v>Moderate</v>
      </c>
      <c r="Q609" s="4" t="str">
        <f t="shared" si="59"/>
        <v>Strong Long-Term Growth</v>
      </c>
    </row>
    <row r="610" spans="1:17" x14ac:dyDescent="0.35">
      <c r="A610" s="2" t="s">
        <v>621</v>
      </c>
      <c r="B610" s="2">
        <v>5</v>
      </c>
      <c r="C610" s="2">
        <v>-20345330.18</v>
      </c>
      <c r="D610" s="2">
        <v>0</v>
      </c>
      <c r="E610" s="2">
        <v>11089054.199999999</v>
      </c>
      <c r="F610" s="2">
        <v>-16664732.1</v>
      </c>
      <c r="G610" s="2">
        <v>5</v>
      </c>
      <c r="H610" s="2">
        <v>1</v>
      </c>
      <c r="I610" s="2">
        <v>4</v>
      </c>
      <c r="J610" s="2">
        <v>3.6</v>
      </c>
      <c r="K610" s="2" t="s">
        <v>306</v>
      </c>
      <c r="L610" s="2" t="str">
        <f t="shared" si="54"/>
        <v>Loss Making</v>
      </c>
      <c r="M610" s="2" t="str">
        <f t="shared" si="55"/>
        <v>Stable Earnings</v>
      </c>
      <c r="N610" s="2" t="str">
        <f t="shared" si="56"/>
        <v>Moderate</v>
      </c>
      <c r="O610" s="4" t="str">
        <f t="shared" si="57"/>
        <v>Accounting Risk</v>
      </c>
      <c r="P610" s="4" t="str">
        <f t="shared" si="58"/>
        <v>Moderate</v>
      </c>
      <c r="Q610" s="4" t="str">
        <f t="shared" si="59"/>
        <v>Strong Long-Term Growth</v>
      </c>
    </row>
    <row r="611" spans="1:17" x14ac:dyDescent="0.35">
      <c r="A611" s="2" t="s">
        <v>622</v>
      </c>
      <c r="B611" s="2">
        <v>5</v>
      </c>
      <c r="C611" s="2">
        <v>-6682727.0199999996</v>
      </c>
      <c r="D611" s="2">
        <v>0</v>
      </c>
      <c r="E611" s="2">
        <v>8618429.6089999992</v>
      </c>
      <c r="F611" s="2">
        <v>-18320039.899999999</v>
      </c>
      <c r="G611" s="2">
        <v>5</v>
      </c>
      <c r="H611" s="2">
        <v>1</v>
      </c>
      <c r="I611" s="2">
        <v>4</v>
      </c>
      <c r="J611" s="2">
        <v>3.6</v>
      </c>
      <c r="K611" s="2" t="s">
        <v>306</v>
      </c>
      <c r="L611" s="2" t="str">
        <f t="shared" si="54"/>
        <v>Loss Making</v>
      </c>
      <c r="M611" s="2" t="str">
        <f t="shared" si="55"/>
        <v>Stable Earnings</v>
      </c>
      <c r="N611" s="2" t="str">
        <f t="shared" si="56"/>
        <v>Moderate</v>
      </c>
      <c r="O611" s="4" t="str">
        <f t="shared" si="57"/>
        <v>Accounting Risk</v>
      </c>
      <c r="P611" s="4" t="str">
        <f t="shared" si="58"/>
        <v>Moderate</v>
      </c>
      <c r="Q611" s="4" t="str">
        <f t="shared" si="59"/>
        <v>Strong Long-Term Growth</v>
      </c>
    </row>
    <row r="612" spans="1:17" x14ac:dyDescent="0.35">
      <c r="A612" s="2" t="s">
        <v>623</v>
      </c>
      <c r="B612" s="2">
        <v>5</v>
      </c>
      <c r="C612" s="2">
        <v>-87937560.579999998</v>
      </c>
      <c r="D612" s="2">
        <v>0</v>
      </c>
      <c r="E612" s="2">
        <v>15124406.550000001</v>
      </c>
      <c r="F612" s="2">
        <v>-18358755.699999999</v>
      </c>
      <c r="G612" s="2">
        <v>5</v>
      </c>
      <c r="H612" s="2">
        <v>1</v>
      </c>
      <c r="I612" s="2">
        <v>4</v>
      </c>
      <c r="J612" s="2">
        <v>3.6</v>
      </c>
      <c r="K612" s="2" t="s">
        <v>306</v>
      </c>
      <c r="L612" s="2" t="str">
        <f t="shared" si="54"/>
        <v>Loss Making</v>
      </c>
      <c r="M612" s="2" t="str">
        <f t="shared" si="55"/>
        <v>Stable Earnings</v>
      </c>
      <c r="N612" s="2" t="str">
        <f t="shared" si="56"/>
        <v>Moderate</v>
      </c>
      <c r="O612" s="4" t="str">
        <f t="shared" si="57"/>
        <v>Accounting Risk</v>
      </c>
      <c r="P612" s="4" t="str">
        <f t="shared" si="58"/>
        <v>Moderate</v>
      </c>
      <c r="Q612" s="4" t="str">
        <f t="shared" si="59"/>
        <v>Strong Long-Term Growth</v>
      </c>
    </row>
    <row r="613" spans="1:17" x14ac:dyDescent="0.35">
      <c r="A613" s="2" t="s">
        <v>624</v>
      </c>
      <c r="B613" s="2">
        <v>5</v>
      </c>
      <c r="C613" s="2">
        <v>-12979664.18</v>
      </c>
      <c r="D613" s="2">
        <v>0</v>
      </c>
      <c r="E613" s="2">
        <v>9162839.8289999999</v>
      </c>
      <c r="F613" s="2">
        <v>-19861038.800000001</v>
      </c>
      <c r="G613" s="2">
        <v>5</v>
      </c>
      <c r="H613" s="2">
        <v>1</v>
      </c>
      <c r="I613" s="2">
        <v>4</v>
      </c>
      <c r="J613" s="2">
        <v>3.6</v>
      </c>
      <c r="K613" s="2" t="s">
        <v>306</v>
      </c>
      <c r="L613" s="2" t="str">
        <f t="shared" si="54"/>
        <v>Loss Making</v>
      </c>
      <c r="M613" s="2" t="str">
        <f t="shared" si="55"/>
        <v>Stable Earnings</v>
      </c>
      <c r="N613" s="2" t="str">
        <f t="shared" si="56"/>
        <v>Moderate</v>
      </c>
      <c r="O613" s="4" t="str">
        <f t="shared" si="57"/>
        <v>Accounting Risk</v>
      </c>
      <c r="P613" s="4" t="str">
        <f t="shared" si="58"/>
        <v>Moderate</v>
      </c>
      <c r="Q613" s="4" t="str">
        <f t="shared" si="59"/>
        <v>Strong Long-Term Growth</v>
      </c>
    </row>
    <row r="614" spans="1:17" x14ac:dyDescent="0.35">
      <c r="A614" s="2" t="s">
        <v>625</v>
      </c>
      <c r="B614" s="2">
        <v>5</v>
      </c>
      <c r="C614" s="2">
        <v>-45082986.840000004</v>
      </c>
      <c r="D614" s="2">
        <v>0</v>
      </c>
      <c r="E614" s="2">
        <v>14575516.130000001</v>
      </c>
      <c r="F614" s="2">
        <v>-23488354.199999999</v>
      </c>
      <c r="G614" s="2">
        <v>5</v>
      </c>
      <c r="H614" s="2">
        <v>1</v>
      </c>
      <c r="I614" s="2">
        <v>4</v>
      </c>
      <c r="J614" s="2">
        <v>3.6</v>
      </c>
      <c r="K614" s="2" t="s">
        <v>306</v>
      </c>
      <c r="L614" s="2" t="str">
        <f t="shared" si="54"/>
        <v>Loss Making</v>
      </c>
      <c r="M614" s="2" t="str">
        <f t="shared" si="55"/>
        <v>Stable Earnings</v>
      </c>
      <c r="N614" s="2" t="str">
        <f t="shared" si="56"/>
        <v>Moderate</v>
      </c>
      <c r="O614" s="4" t="str">
        <f t="shared" si="57"/>
        <v>Accounting Risk</v>
      </c>
      <c r="P614" s="4" t="str">
        <f t="shared" si="58"/>
        <v>Moderate</v>
      </c>
      <c r="Q614" s="4" t="str">
        <f t="shared" si="59"/>
        <v>Strong Long-Term Growth</v>
      </c>
    </row>
    <row r="615" spans="1:17" x14ac:dyDescent="0.35">
      <c r="A615" s="2" t="s">
        <v>626</v>
      </c>
      <c r="B615" s="2">
        <v>5</v>
      </c>
      <c r="C615" s="2">
        <v>-37522196.619999997</v>
      </c>
      <c r="D615" s="2">
        <v>0</v>
      </c>
      <c r="E615" s="2">
        <v>10353587.619999999</v>
      </c>
      <c r="F615" s="2">
        <v>-23054535.5</v>
      </c>
      <c r="G615" s="2">
        <v>5</v>
      </c>
      <c r="H615" s="2">
        <v>1</v>
      </c>
      <c r="I615" s="2">
        <v>4</v>
      </c>
      <c r="J615" s="2">
        <v>3.6</v>
      </c>
      <c r="K615" s="2" t="s">
        <v>306</v>
      </c>
      <c r="L615" s="2" t="str">
        <f t="shared" si="54"/>
        <v>Loss Making</v>
      </c>
      <c r="M615" s="2" t="str">
        <f t="shared" si="55"/>
        <v>Stable Earnings</v>
      </c>
      <c r="N615" s="2" t="str">
        <f t="shared" si="56"/>
        <v>Moderate</v>
      </c>
      <c r="O615" s="4" t="str">
        <f t="shared" si="57"/>
        <v>Accounting Risk</v>
      </c>
      <c r="P615" s="4" t="str">
        <f t="shared" si="58"/>
        <v>Moderate</v>
      </c>
      <c r="Q615" s="4" t="str">
        <f t="shared" si="59"/>
        <v>Strong Long-Term Growth</v>
      </c>
    </row>
    <row r="616" spans="1:17" x14ac:dyDescent="0.35">
      <c r="A616" s="2" t="s">
        <v>627</v>
      </c>
      <c r="B616" s="2">
        <v>5</v>
      </c>
      <c r="C616" s="2">
        <v>-48072377.719999999</v>
      </c>
      <c r="D616" s="2">
        <v>0</v>
      </c>
      <c r="E616" s="2">
        <v>14017976.119999999</v>
      </c>
      <c r="F616" s="2">
        <v>-23636764.600000001</v>
      </c>
      <c r="G616" s="2">
        <v>5</v>
      </c>
      <c r="H616" s="2">
        <v>1</v>
      </c>
      <c r="I616" s="2">
        <v>4</v>
      </c>
      <c r="J616" s="2">
        <v>3.6</v>
      </c>
      <c r="K616" s="2" t="s">
        <v>306</v>
      </c>
      <c r="L616" s="2" t="str">
        <f t="shared" si="54"/>
        <v>Loss Making</v>
      </c>
      <c r="M616" s="2" t="str">
        <f t="shared" si="55"/>
        <v>Stable Earnings</v>
      </c>
      <c r="N616" s="2" t="str">
        <f t="shared" si="56"/>
        <v>Moderate</v>
      </c>
      <c r="O616" s="4" t="str">
        <f t="shared" si="57"/>
        <v>Accounting Risk</v>
      </c>
      <c r="P616" s="4" t="str">
        <f t="shared" si="58"/>
        <v>Moderate</v>
      </c>
      <c r="Q616" s="4" t="str">
        <f t="shared" si="59"/>
        <v>Strong Long-Term Growth</v>
      </c>
    </row>
    <row r="617" spans="1:17" x14ac:dyDescent="0.35">
      <c r="A617" s="2" t="s">
        <v>628</v>
      </c>
      <c r="B617" s="2">
        <v>5</v>
      </c>
      <c r="C617" s="2">
        <v>-29848877.32</v>
      </c>
      <c r="D617" s="2">
        <v>0</v>
      </c>
      <c r="E617" s="2">
        <v>10193163.060000001</v>
      </c>
      <c r="F617" s="2">
        <v>-24134776.199999999</v>
      </c>
      <c r="G617" s="2">
        <v>5</v>
      </c>
      <c r="H617" s="2">
        <v>1</v>
      </c>
      <c r="I617" s="2">
        <v>4</v>
      </c>
      <c r="J617" s="2">
        <v>3.6</v>
      </c>
      <c r="K617" s="2" t="s">
        <v>306</v>
      </c>
      <c r="L617" s="2" t="str">
        <f t="shared" si="54"/>
        <v>Loss Making</v>
      </c>
      <c r="M617" s="2" t="str">
        <f t="shared" si="55"/>
        <v>Stable Earnings</v>
      </c>
      <c r="N617" s="2" t="str">
        <f t="shared" si="56"/>
        <v>Moderate</v>
      </c>
      <c r="O617" s="4" t="str">
        <f t="shared" si="57"/>
        <v>Accounting Risk</v>
      </c>
      <c r="P617" s="4" t="str">
        <f t="shared" si="58"/>
        <v>Moderate</v>
      </c>
      <c r="Q617" s="4" t="str">
        <f t="shared" si="59"/>
        <v>Strong Long-Term Growth</v>
      </c>
    </row>
    <row r="618" spans="1:17" x14ac:dyDescent="0.35">
      <c r="A618" s="2" t="s">
        <v>629</v>
      </c>
      <c r="B618" s="2">
        <v>5</v>
      </c>
      <c r="C618" s="2">
        <v>-24099247.940000001</v>
      </c>
      <c r="D618" s="2">
        <v>0</v>
      </c>
      <c r="E618" s="2">
        <v>10318239.359999999</v>
      </c>
      <c r="F618" s="2">
        <v>-24314129.699999999</v>
      </c>
      <c r="G618" s="2">
        <v>5</v>
      </c>
      <c r="H618" s="2">
        <v>1</v>
      </c>
      <c r="I618" s="2">
        <v>4</v>
      </c>
      <c r="J618" s="2">
        <v>3.6</v>
      </c>
      <c r="K618" s="2" t="s">
        <v>306</v>
      </c>
      <c r="L618" s="2" t="str">
        <f t="shared" si="54"/>
        <v>Loss Making</v>
      </c>
      <c r="M618" s="2" t="str">
        <f t="shared" si="55"/>
        <v>Stable Earnings</v>
      </c>
      <c r="N618" s="2" t="str">
        <f t="shared" si="56"/>
        <v>Moderate</v>
      </c>
      <c r="O618" s="4" t="str">
        <f t="shared" si="57"/>
        <v>Accounting Risk</v>
      </c>
      <c r="P618" s="4" t="str">
        <f t="shared" si="58"/>
        <v>Moderate</v>
      </c>
      <c r="Q618" s="4" t="str">
        <f t="shared" si="59"/>
        <v>Strong Long-Term Growth</v>
      </c>
    </row>
    <row r="619" spans="1:17" x14ac:dyDescent="0.35">
      <c r="A619" s="2" t="s">
        <v>630</v>
      </c>
      <c r="B619" s="2">
        <v>5</v>
      </c>
      <c r="C619" s="2">
        <v>-29093914.460000001</v>
      </c>
      <c r="D619" s="2">
        <v>0</v>
      </c>
      <c r="E619" s="2">
        <v>11176590.859999999</v>
      </c>
      <c r="F619" s="2">
        <v>-25430495.600000001</v>
      </c>
      <c r="G619" s="2">
        <v>5</v>
      </c>
      <c r="H619" s="2">
        <v>1</v>
      </c>
      <c r="I619" s="2">
        <v>4</v>
      </c>
      <c r="J619" s="2">
        <v>3.6</v>
      </c>
      <c r="K619" s="2" t="s">
        <v>306</v>
      </c>
      <c r="L619" s="2" t="str">
        <f t="shared" si="54"/>
        <v>Loss Making</v>
      </c>
      <c r="M619" s="2" t="str">
        <f t="shared" si="55"/>
        <v>Stable Earnings</v>
      </c>
      <c r="N619" s="2" t="str">
        <f t="shared" si="56"/>
        <v>Moderate</v>
      </c>
      <c r="O619" s="4" t="str">
        <f t="shared" si="57"/>
        <v>Accounting Risk</v>
      </c>
      <c r="P619" s="4" t="str">
        <f t="shared" si="58"/>
        <v>Moderate</v>
      </c>
      <c r="Q619" s="4" t="str">
        <f t="shared" si="59"/>
        <v>Strong Long-Term Growth</v>
      </c>
    </row>
    <row r="620" spans="1:17" x14ac:dyDescent="0.35">
      <c r="A620" s="2" t="s">
        <v>631</v>
      </c>
      <c r="B620" s="2">
        <v>5</v>
      </c>
      <c r="C620" s="2">
        <v>-22700116.84</v>
      </c>
      <c r="D620" s="2">
        <v>0</v>
      </c>
      <c r="E620" s="2">
        <v>13905346.32</v>
      </c>
      <c r="F620" s="2">
        <v>-25727541</v>
      </c>
      <c r="G620" s="2">
        <v>5</v>
      </c>
      <c r="H620" s="2">
        <v>1</v>
      </c>
      <c r="I620" s="2">
        <v>4</v>
      </c>
      <c r="J620" s="2">
        <v>3.6</v>
      </c>
      <c r="K620" s="2" t="s">
        <v>306</v>
      </c>
      <c r="L620" s="2" t="str">
        <f t="shared" si="54"/>
        <v>Loss Making</v>
      </c>
      <c r="M620" s="2" t="str">
        <f t="shared" si="55"/>
        <v>Stable Earnings</v>
      </c>
      <c r="N620" s="2" t="str">
        <f t="shared" si="56"/>
        <v>Moderate</v>
      </c>
      <c r="O620" s="4" t="str">
        <f t="shared" si="57"/>
        <v>Accounting Risk</v>
      </c>
      <c r="P620" s="4" t="str">
        <f t="shared" si="58"/>
        <v>Moderate</v>
      </c>
      <c r="Q620" s="4" t="str">
        <f t="shared" si="59"/>
        <v>Strong Long-Term Growth</v>
      </c>
    </row>
    <row r="621" spans="1:17" x14ac:dyDescent="0.35">
      <c r="A621" s="2" t="s">
        <v>632</v>
      </c>
      <c r="B621" s="2">
        <v>5</v>
      </c>
      <c r="C621" s="2">
        <v>-31823269.359999999</v>
      </c>
      <c r="D621" s="2">
        <v>0</v>
      </c>
      <c r="E621" s="2">
        <v>10442019.42</v>
      </c>
      <c r="F621" s="2">
        <v>-25774281.199999999</v>
      </c>
      <c r="G621" s="2">
        <v>5</v>
      </c>
      <c r="H621" s="2">
        <v>1</v>
      </c>
      <c r="I621" s="2">
        <v>4</v>
      </c>
      <c r="J621" s="2">
        <v>3.6</v>
      </c>
      <c r="K621" s="2" t="s">
        <v>306</v>
      </c>
      <c r="L621" s="2" t="str">
        <f t="shared" si="54"/>
        <v>Loss Making</v>
      </c>
      <c r="M621" s="2" t="str">
        <f t="shared" si="55"/>
        <v>Stable Earnings</v>
      </c>
      <c r="N621" s="2" t="str">
        <f t="shared" si="56"/>
        <v>Moderate</v>
      </c>
      <c r="O621" s="4" t="str">
        <f t="shared" si="57"/>
        <v>Accounting Risk</v>
      </c>
      <c r="P621" s="4" t="str">
        <f t="shared" si="58"/>
        <v>Moderate</v>
      </c>
      <c r="Q621" s="4" t="str">
        <f t="shared" si="59"/>
        <v>Strong Long-Term Growth</v>
      </c>
    </row>
    <row r="622" spans="1:17" x14ac:dyDescent="0.35">
      <c r="A622" s="2" t="s">
        <v>633</v>
      </c>
      <c r="B622" s="2">
        <v>5</v>
      </c>
      <c r="C622" s="2">
        <v>-34092440.460000001</v>
      </c>
      <c r="D622" s="2">
        <v>0</v>
      </c>
      <c r="E622" s="2">
        <v>14151679.310000001</v>
      </c>
      <c r="F622" s="2">
        <v>-24767836.800000001</v>
      </c>
      <c r="G622" s="2">
        <v>5</v>
      </c>
      <c r="H622" s="2">
        <v>1</v>
      </c>
      <c r="I622" s="2">
        <v>4</v>
      </c>
      <c r="J622" s="2">
        <v>3.6</v>
      </c>
      <c r="K622" s="2" t="s">
        <v>306</v>
      </c>
      <c r="L622" s="2" t="str">
        <f t="shared" si="54"/>
        <v>Loss Making</v>
      </c>
      <c r="M622" s="2" t="str">
        <f t="shared" si="55"/>
        <v>Stable Earnings</v>
      </c>
      <c r="N622" s="2" t="str">
        <f t="shared" si="56"/>
        <v>Moderate</v>
      </c>
      <c r="O622" s="4" t="str">
        <f t="shared" si="57"/>
        <v>Accounting Risk</v>
      </c>
      <c r="P622" s="4" t="str">
        <f t="shared" si="58"/>
        <v>Moderate</v>
      </c>
      <c r="Q622" s="4" t="str">
        <f t="shared" si="59"/>
        <v>Strong Long-Term Growth</v>
      </c>
    </row>
    <row r="623" spans="1:17" x14ac:dyDescent="0.35">
      <c r="A623" s="2" t="s">
        <v>634</v>
      </c>
      <c r="B623" s="2">
        <v>5</v>
      </c>
      <c r="C623" s="2">
        <v>-8428986</v>
      </c>
      <c r="D623" s="2">
        <v>0</v>
      </c>
      <c r="E623" s="2">
        <v>12299660.470000001</v>
      </c>
      <c r="F623" s="2">
        <v>-29274678.699999999</v>
      </c>
      <c r="G623" s="2">
        <v>5</v>
      </c>
      <c r="H623" s="2">
        <v>1</v>
      </c>
      <c r="I623" s="2">
        <v>4</v>
      </c>
      <c r="J623" s="2">
        <v>3.6</v>
      </c>
      <c r="K623" s="2" t="s">
        <v>306</v>
      </c>
      <c r="L623" s="2" t="str">
        <f t="shared" si="54"/>
        <v>Loss Making</v>
      </c>
      <c r="M623" s="2" t="str">
        <f t="shared" si="55"/>
        <v>Stable Earnings</v>
      </c>
      <c r="N623" s="2" t="str">
        <f t="shared" si="56"/>
        <v>Moderate</v>
      </c>
      <c r="O623" s="4" t="str">
        <f t="shared" si="57"/>
        <v>Accounting Risk</v>
      </c>
      <c r="P623" s="4" t="str">
        <f t="shared" si="58"/>
        <v>Moderate</v>
      </c>
      <c r="Q623" s="4" t="str">
        <f t="shared" si="59"/>
        <v>Strong Long-Term Growth</v>
      </c>
    </row>
    <row r="624" spans="1:17" x14ac:dyDescent="0.35">
      <c r="A624" s="2" t="s">
        <v>635</v>
      </c>
      <c r="B624" s="2">
        <v>5</v>
      </c>
      <c r="C624" s="2">
        <v>-28523082.940000001</v>
      </c>
      <c r="D624" s="2">
        <v>0</v>
      </c>
      <c r="E624" s="2">
        <v>10829986.439999999</v>
      </c>
      <c r="F624" s="2">
        <v>-28680503.199999999</v>
      </c>
      <c r="G624" s="2">
        <v>5</v>
      </c>
      <c r="H624" s="2">
        <v>1</v>
      </c>
      <c r="I624" s="2">
        <v>4</v>
      </c>
      <c r="J624" s="2">
        <v>3.6</v>
      </c>
      <c r="K624" s="2" t="s">
        <v>306</v>
      </c>
      <c r="L624" s="2" t="str">
        <f t="shared" si="54"/>
        <v>Loss Making</v>
      </c>
      <c r="M624" s="2" t="str">
        <f t="shared" si="55"/>
        <v>Stable Earnings</v>
      </c>
      <c r="N624" s="2" t="str">
        <f t="shared" si="56"/>
        <v>Moderate</v>
      </c>
      <c r="O624" s="4" t="str">
        <f t="shared" si="57"/>
        <v>Accounting Risk</v>
      </c>
      <c r="P624" s="4" t="str">
        <f t="shared" si="58"/>
        <v>Moderate</v>
      </c>
      <c r="Q624" s="4" t="str">
        <f t="shared" si="59"/>
        <v>Strong Long-Term Growth</v>
      </c>
    </row>
    <row r="625" spans="1:17" x14ac:dyDescent="0.35">
      <c r="A625" s="2" t="s">
        <v>636</v>
      </c>
      <c r="B625" s="2">
        <v>5</v>
      </c>
      <c r="C625" s="2">
        <v>-28233714.899999999</v>
      </c>
      <c r="D625" s="2">
        <v>0</v>
      </c>
      <c r="E625" s="2">
        <v>13095041.470000001</v>
      </c>
      <c r="F625" s="2">
        <v>-27983434.899999999</v>
      </c>
      <c r="G625" s="2">
        <v>5</v>
      </c>
      <c r="H625" s="2">
        <v>1</v>
      </c>
      <c r="I625" s="2">
        <v>4</v>
      </c>
      <c r="J625" s="2">
        <v>3.6</v>
      </c>
      <c r="K625" s="2" t="s">
        <v>306</v>
      </c>
      <c r="L625" s="2" t="str">
        <f t="shared" si="54"/>
        <v>Loss Making</v>
      </c>
      <c r="M625" s="2" t="str">
        <f t="shared" si="55"/>
        <v>Stable Earnings</v>
      </c>
      <c r="N625" s="2" t="str">
        <f t="shared" si="56"/>
        <v>Moderate</v>
      </c>
      <c r="O625" s="4" t="str">
        <f t="shared" si="57"/>
        <v>Accounting Risk</v>
      </c>
      <c r="P625" s="4" t="str">
        <f t="shared" si="58"/>
        <v>Moderate</v>
      </c>
      <c r="Q625" s="4" t="str">
        <f t="shared" si="59"/>
        <v>Strong Long-Term Growth</v>
      </c>
    </row>
    <row r="626" spans="1:17" x14ac:dyDescent="0.35">
      <c r="A626" s="2" t="s">
        <v>637</v>
      </c>
      <c r="B626" s="2">
        <v>5</v>
      </c>
      <c r="C626" s="2">
        <v>-34085114.780000001</v>
      </c>
      <c r="D626" s="2">
        <v>0</v>
      </c>
      <c r="E626" s="2">
        <v>13408756.23</v>
      </c>
      <c r="F626" s="2">
        <v>-30243965.100000001</v>
      </c>
      <c r="G626" s="2">
        <v>5</v>
      </c>
      <c r="H626" s="2">
        <v>1</v>
      </c>
      <c r="I626" s="2">
        <v>4</v>
      </c>
      <c r="J626" s="2">
        <v>3.6</v>
      </c>
      <c r="K626" s="2" t="s">
        <v>306</v>
      </c>
      <c r="L626" s="2" t="str">
        <f t="shared" si="54"/>
        <v>Loss Making</v>
      </c>
      <c r="M626" s="2" t="str">
        <f t="shared" si="55"/>
        <v>Stable Earnings</v>
      </c>
      <c r="N626" s="2" t="str">
        <f t="shared" si="56"/>
        <v>Moderate</v>
      </c>
      <c r="O626" s="4" t="str">
        <f t="shared" si="57"/>
        <v>Accounting Risk</v>
      </c>
      <c r="P626" s="4" t="str">
        <f t="shared" si="58"/>
        <v>Moderate</v>
      </c>
      <c r="Q626" s="4" t="str">
        <f t="shared" si="59"/>
        <v>Strong Long-Term Growth</v>
      </c>
    </row>
    <row r="627" spans="1:17" x14ac:dyDescent="0.35">
      <c r="A627" s="2" t="s">
        <v>638</v>
      </c>
      <c r="B627" s="2">
        <v>5</v>
      </c>
      <c r="C627" s="2">
        <v>-16888253.739999998</v>
      </c>
      <c r="D627" s="2">
        <v>0</v>
      </c>
      <c r="E627" s="2">
        <v>14277235.4</v>
      </c>
      <c r="F627" s="2">
        <v>-31934143.899999999</v>
      </c>
      <c r="G627" s="2">
        <v>5</v>
      </c>
      <c r="H627" s="2">
        <v>1</v>
      </c>
      <c r="I627" s="2">
        <v>4</v>
      </c>
      <c r="J627" s="2">
        <v>3.6</v>
      </c>
      <c r="K627" s="2" t="s">
        <v>306</v>
      </c>
      <c r="L627" s="2" t="str">
        <f t="shared" si="54"/>
        <v>Loss Making</v>
      </c>
      <c r="M627" s="2" t="str">
        <f t="shared" si="55"/>
        <v>Stable Earnings</v>
      </c>
      <c r="N627" s="2" t="str">
        <f t="shared" si="56"/>
        <v>Moderate</v>
      </c>
      <c r="O627" s="4" t="str">
        <f t="shared" si="57"/>
        <v>Accounting Risk</v>
      </c>
      <c r="P627" s="4" t="str">
        <f t="shared" si="58"/>
        <v>Moderate</v>
      </c>
      <c r="Q627" s="4" t="str">
        <f t="shared" si="59"/>
        <v>Strong Long-Term Growth</v>
      </c>
    </row>
    <row r="628" spans="1:17" x14ac:dyDescent="0.35">
      <c r="A628" s="2" t="s">
        <v>639</v>
      </c>
      <c r="B628" s="2">
        <v>5</v>
      </c>
      <c r="C628" s="2">
        <v>-586805248.60000002</v>
      </c>
      <c r="D628" s="2">
        <v>0</v>
      </c>
      <c r="E628" s="2">
        <v>122138167.7</v>
      </c>
      <c r="F628" s="2">
        <v>130152312.7</v>
      </c>
      <c r="G628" s="2">
        <v>4</v>
      </c>
      <c r="H628" s="2">
        <v>4</v>
      </c>
      <c r="I628" s="2">
        <v>2</v>
      </c>
      <c r="J628" s="2">
        <v>3.6</v>
      </c>
      <c r="K628" s="2" t="s">
        <v>306</v>
      </c>
      <c r="L628" s="2" t="str">
        <f t="shared" si="54"/>
        <v>Loss Making</v>
      </c>
      <c r="M628" s="2" t="str">
        <f t="shared" si="55"/>
        <v>Stable Earnings</v>
      </c>
      <c r="N628" s="2" t="str">
        <f t="shared" si="56"/>
        <v>Moderate</v>
      </c>
      <c r="O628" s="4" t="str">
        <f t="shared" si="57"/>
        <v>Accounting Risk</v>
      </c>
      <c r="P628" s="4" t="str">
        <f t="shared" si="58"/>
        <v>Moderate</v>
      </c>
      <c r="Q628" s="4" t="str">
        <f t="shared" si="59"/>
        <v>Moderate Growth</v>
      </c>
    </row>
    <row r="629" spans="1:17" x14ac:dyDescent="0.35">
      <c r="A629" s="2" t="s">
        <v>640</v>
      </c>
      <c r="B629" s="2">
        <v>5</v>
      </c>
      <c r="C629" s="2">
        <v>-33573169.68</v>
      </c>
      <c r="D629" s="2">
        <v>0.2</v>
      </c>
      <c r="E629" s="2">
        <v>146367688.80000001</v>
      </c>
      <c r="F629" s="2">
        <v>146299165.59999999</v>
      </c>
      <c r="G629" s="2">
        <v>4</v>
      </c>
      <c r="H629" s="2">
        <v>4</v>
      </c>
      <c r="I629" s="2">
        <v>2</v>
      </c>
      <c r="J629" s="2">
        <v>3.6</v>
      </c>
      <c r="K629" s="2" t="s">
        <v>306</v>
      </c>
      <c r="L629" s="2" t="str">
        <f t="shared" si="54"/>
        <v>Loss Making</v>
      </c>
      <c r="M629" s="2" t="str">
        <f t="shared" si="55"/>
        <v>Stable Earnings</v>
      </c>
      <c r="N629" s="2" t="str">
        <f t="shared" si="56"/>
        <v>Moderate</v>
      </c>
      <c r="O629" s="4" t="str">
        <f t="shared" si="57"/>
        <v>Accounting Risk</v>
      </c>
      <c r="P629" s="4" t="str">
        <f t="shared" si="58"/>
        <v>Moderate</v>
      </c>
      <c r="Q629" s="4" t="str">
        <f t="shared" si="59"/>
        <v>Moderate Growth</v>
      </c>
    </row>
    <row r="630" spans="1:17" x14ac:dyDescent="0.35">
      <c r="A630" s="2" t="s">
        <v>641</v>
      </c>
      <c r="B630" s="2">
        <v>5</v>
      </c>
      <c r="C630" s="2">
        <v>28439935.719999999</v>
      </c>
      <c r="D630" s="2">
        <v>0.4</v>
      </c>
      <c r="E630" s="2">
        <v>171294384.69999999</v>
      </c>
      <c r="F630" s="2">
        <v>146255547.30000001</v>
      </c>
      <c r="G630" s="2">
        <v>4</v>
      </c>
      <c r="H630" s="2">
        <v>4</v>
      </c>
      <c r="I630" s="2">
        <v>2</v>
      </c>
      <c r="J630" s="2">
        <v>3.6</v>
      </c>
      <c r="K630" s="2" t="s">
        <v>306</v>
      </c>
      <c r="L630" s="2" t="str">
        <f t="shared" si="54"/>
        <v>Profitable</v>
      </c>
      <c r="M630" s="2" t="str">
        <f t="shared" si="55"/>
        <v>Stable Earnings</v>
      </c>
      <c r="N630" s="2" t="str">
        <f t="shared" si="56"/>
        <v>Moderate</v>
      </c>
      <c r="O630" s="4" t="str">
        <f t="shared" si="57"/>
        <v>Accounting Risk</v>
      </c>
      <c r="P630" s="4" t="str">
        <f t="shared" si="58"/>
        <v>Moderate</v>
      </c>
      <c r="Q630" s="4" t="str">
        <f t="shared" si="59"/>
        <v>Moderate Growth</v>
      </c>
    </row>
    <row r="631" spans="1:17" x14ac:dyDescent="0.35">
      <c r="A631" s="2" t="s">
        <v>642</v>
      </c>
      <c r="B631" s="2">
        <v>5</v>
      </c>
      <c r="C631" s="2">
        <v>-513196639.19999999</v>
      </c>
      <c r="D631" s="2">
        <v>0</v>
      </c>
      <c r="E631" s="2">
        <v>112576736.5</v>
      </c>
      <c r="F631" s="2">
        <v>149972833.90000001</v>
      </c>
      <c r="G631" s="2">
        <v>4</v>
      </c>
      <c r="H631" s="2">
        <v>4</v>
      </c>
      <c r="I631" s="2">
        <v>2</v>
      </c>
      <c r="J631" s="2">
        <v>3.6</v>
      </c>
      <c r="K631" s="2" t="s">
        <v>306</v>
      </c>
      <c r="L631" s="2" t="str">
        <f t="shared" si="54"/>
        <v>Loss Making</v>
      </c>
      <c r="M631" s="2" t="str">
        <f t="shared" si="55"/>
        <v>Stable Earnings</v>
      </c>
      <c r="N631" s="2" t="str">
        <f t="shared" si="56"/>
        <v>Moderate</v>
      </c>
      <c r="O631" s="4" t="str">
        <f t="shared" si="57"/>
        <v>Accounting Risk</v>
      </c>
      <c r="P631" s="4" t="str">
        <f t="shared" si="58"/>
        <v>Moderate</v>
      </c>
      <c r="Q631" s="4" t="str">
        <f t="shared" si="59"/>
        <v>Moderate Growth</v>
      </c>
    </row>
    <row r="632" spans="1:17" x14ac:dyDescent="0.35">
      <c r="A632" s="2" t="s">
        <v>643</v>
      </c>
      <c r="B632" s="2">
        <v>5</v>
      </c>
      <c r="C632" s="2">
        <v>-56501432.780000001</v>
      </c>
      <c r="D632" s="2">
        <v>0.4</v>
      </c>
      <c r="E632" s="2">
        <v>154348989.5</v>
      </c>
      <c r="F632" s="2">
        <v>173614931</v>
      </c>
      <c r="G632" s="2">
        <v>4</v>
      </c>
      <c r="H632" s="2">
        <v>4</v>
      </c>
      <c r="I632" s="2">
        <v>2</v>
      </c>
      <c r="J632" s="2">
        <v>3.6</v>
      </c>
      <c r="K632" s="2" t="s">
        <v>306</v>
      </c>
      <c r="L632" s="2" t="str">
        <f t="shared" si="54"/>
        <v>Loss Making</v>
      </c>
      <c r="M632" s="2" t="str">
        <f t="shared" si="55"/>
        <v>Stable Earnings</v>
      </c>
      <c r="N632" s="2" t="str">
        <f t="shared" si="56"/>
        <v>Moderate</v>
      </c>
      <c r="O632" s="4" t="str">
        <f t="shared" si="57"/>
        <v>Accounting Risk</v>
      </c>
      <c r="P632" s="4" t="str">
        <f t="shared" si="58"/>
        <v>Moderate</v>
      </c>
      <c r="Q632" s="4" t="str">
        <f t="shared" si="59"/>
        <v>Moderate Growth</v>
      </c>
    </row>
    <row r="633" spans="1:17" x14ac:dyDescent="0.35">
      <c r="A633" s="2" t="s">
        <v>644</v>
      </c>
      <c r="B633" s="2">
        <v>5</v>
      </c>
      <c r="C633" s="2">
        <v>-141833643.69999999</v>
      </c>
      <c r="D633" s="2">
        <v>0.2</v>
      </c>
      <c r="E633" s="2">
        <v>136746136</v>
      </c>
      <c r="F633" s="2">
        <v>172225253.59999999</v>
      </c>
      <c r="G633" s="2">
        <v>4</v>
      </c>
      <c r="H633" s="2">
        <v>4</v>
      </c>
      <c r="I633" s="2">
        <v>2</v>
      </c>
      <c r="J633" s="2">
        <v>3.6</v>
      </c>
      <c r="K633" s="2" t="s">
        <v>306</v>
      </c>
      <c r="L633" s="2" t="str">
        <f t="shared" si="54"/>
        <v>Loss Making</v>
      </c>
      <c r="M633" s="2" t="str">
        <f t="shared" si="55"/>
        <v>Stable Earnings</v>
      </c>
      <c r="N633" s="2" t="str">
        <f t="shared" si="56"/>
        <v>Moderate</v>
      </c>
      <c r="O633" s="4" t="str">
        <f t="shared" si="57"/>
        <v>Accounting Risk</v>
      </c>
      <c r="P633" s="4" t="str">
        <f t="shared" si="58"/>
        <v>Moderate</v>
      </c>
      <c r="Q633" s="4" t="str">
        <f t="shared" si="59"/>
        <v>Moderate Growth</v>
      </c>
    </row>
    <row r="634" spans="1:17" x14ac:dyDescent="0.35">
      <c r="A634" s="2" t="s">
        <v>645</v>
      </c>
      <c r="B634" s="2">
        <v>5</v>
      </c>
      <c r="C634" s="2">
        <v>-98858123.079999998</v>
      </c>
      <c r="D634" s="2">
        <v>0.2</v>
      </c>
      <c r="E634" s="2">
        <v>150359926.90000001</v>
      </c>
      <c r="F634" s="2">
        <v>155452350.09999999</v>
      </c>
      <c r="G634" s="2">
        <v>4</v>
      </c>
      <c r="H634" s="2">
        <v>4</v>
      </c>
      <c r="I634" s="2">
        <v>2</v>
      </c>
      <c r="J634" s="2">
        <v>3.6</v>
      </c>
      <c r="K634" s="2" t="s">
        <v>306</v>
      </c>
      <c r="L634" s="2" t="str">
        <f t="shared" si="54"/>
        <v>Loss Making</v>
      </c>
      <c r="M634" s="2" t="str">
        <f t="shared" si="55"/>
        <v>Stable Earnings</v>
      </c>
      <c r="N634" s="2" t="str">
        <f t="shared" si="56"/>
        <v>Moderate</v>
      </c>
      <c r="O634" s="4" t="str">
        <f t="shared" si="57"/>
        <v>Accounting Risk</v>
      </c>
      <c r="P634" s="4" t="str">
        <f t="shared" si="58"/>
        <v>Moderate</v>
      </c>
      <c r="Q634" s="4" t="str">
        <f t="shared" si="59"/>
        <v>Moderate Growth</v>
      </c>
    </row>
    <row r="635" spans="1:17" x14ac:dyDescent="0.35">
      <c r="A635" s="2" t="s">
        <v>646</v>
      </c>
      <c r="B635" s="2">
        <v>5</v>
      </c>
      <c r="C635" s="2">
        <v>-137077269.90000001</v>
      </c>
      <c r="D635" s="2">
        <v>0.2</v>
      </c>
      <c r="E635" s="2">
        <v>162222664.69999999</v>
      </c>
      <c r="F635" s="2">
        <v>187948386.30000001</v>
      </c>
      <c r="G635" s="2">
        <v>4</v>
      </c>
      <c r="H635" s="2">
        <v>4</v>
      </c>
      <c r="I635" s="2">
        <v>2</v>
      </c>
      <c r="J635" s="2">
        <v>3.6</v>
      </c>
      <c r="K635" s="2" t="s">
        <v>306</v>
      </c>
      <c r="L635" s="2" t="str">
        <f t="shared" si="54"/>
        <v>Loss Making</v>
      </c>
      <c r="M635" s="2" t="str">
        <f t="shared" si="55"/>
        <v>Stable Earnings</v>
      </c>
      <c r="N635" s="2" t="str">
        <f t="shared" si="56"/>
        <v>Moderate</v>
      </c>
      <c r="O635" s="4" t="str">
        <f t="shared" si="57"/>
        <v>Accounting Risk</v>
      </c>
      <c r="P635" s="4" t="str">
        <f t="shared" si="58"/>
        <v>Moderate</v>
      </c>
      <c r="Q635" s="4" t="str">
        <f t="shared" si="59"/>
        <v>Moderate Growth</v>
      </c>
    </row>
    <row r="636" spans="1:17" x14ac:dyDescent="0.35">
      <c r="A636" s="2" t="s">
        <v>647</v>
      </c>
      <c r="B636" s="2">
        <v>5</v>
      </c>
      <c r="C636" s="2">
        <v>12836449.880000001</v>
      </c>
      <c r="D636" s="2">
        <v>0.4</v>
      </c>
      <c r="E636" s="2">
        <v>114303693.5</v>
      </c>
      <c r="F636" s="2">
        <v>195801983.69999999</v>
      </c>
      <c r="G636" s="2">
        <v>4</v>
      </c>
      <c r="H636" s="2">
        <v>4</v>
      </c>
      <c r="I636" s="2">
        <v>2</v>
      </c>
      <c r="J636" s="2">
        <v>3.6</v>
      </c>
      <c r="K636" s="2" t="s">
        <v>306</v>
      </c>
      <c r="L636" s="2" t="str">
        <f t="shared" si="54"/>
        <v>Profitable</v>
      </c>
      <c r="M636" s="2" t="str">
        <f t="shared" si="55"/>
        <v>Stable Earnings</v>
      </c>
      <c r="N636" s="2" t="str">
        <f t="shared" si="56"/>
        <v>Moderate</v>
      </c>
      <c r="O636" s="4" t="str">
        <f t="shared" si="57"/>
        <v>Accounting Risk</v>
      </c>
      <c r="P636" s="4" t="str">
        <f t="shared" si="58"/>
        <v>Moderate</v>
      </c>
      <c r="Q636" s="4" t="str">
        <f t="shared" si="59"/>
        <v>Moderate Growth</v>
      </c>
    </row>
    <row r="637" spans="1:17" x14ac:dyDescent="0.35">
      <c r="A637" s="2" t="s">
        <v>648</v>
      </c>
      <c r="B637" s="2">
        <v>5</v>
      </c>
      <c r="C637" s="2">
        <v>-205855456</v>
      </c>
      <c r="D637" s="2">
        <v>0.2</v>
      </c>
      <c r="E637" s="2">
        <v>140118824.59999999</v>
      </c>
      <c r="F637" s="2">
        <v>186385034.5</v>
      </c>
      <c r="G637" s="2">
        <v>4</v>
      </c>
      <c r="H637" s="2">
        <v>4</v>
      </c>
      <c r="I637" s="2">
        <v>2</v>
      </c>
      <c r="J637" s="2">
        <v>3.6</v>
      </c>
      <c r="K637" s="2" t="s">
        <v>306</v>
      </c>
      <c r="L637" s="2" t="str">
        <f t="shared" si="54"/>
        <v>Loss Making</v>
      </c>
      <c r="M637" s="2" t="str">
        <f t="shared" si="55"/>
        <v>Stable Earnings</v>
      </c>
      <c r="N637" s="2" t="str">
        <f t="shared" si="56"/>
        <v>Moderate</v>
      </c>
      <c r="O637" s="4" t="str">
        <f t="shared" si="57"/>
        <v>Accounting Risk</v>
      </c>
      <c r="P637" s="4" t="str">
        <f t="shared" si="58"/>
        <v>Moderate</v>
      </c>
      <c r="Q637" s="4" t="str">
        <f t="shared" si="59"/>
        <v>Moderate Growth</v>
      </c>
    </row>
    <row r="638" spans="1:17" x14ac:dyDescent="0.35">
      <c r="A638" s="2" t="s">
        <v>649</v>
      </c>
      <c r="B638" s="2">
        <v>5</v>
      </c>
      <c r="C638" s="2">
        <v>-257247986.09999999</v>
      </c>
      <c r="D638" s="2">
        <v>0</v>
      </c>
      <c r="E638" s="2">
        <v>74653690.810000002</v>
      </c>
      <c r="F638" s="2">
        <v>209845314.69999999</v>
      </c>
      <c r="G638" s="2">
        <v>5</v>
      </c>
      <c r="H638" s="2">
        <v>3</v>
      </c>
      <c r="I638" s="2">
        <v>1</v>
      </c>
      <c r="J638" s="2">
        <v>3.6</v>
      </c>
      <c r="K638" s="2" t="s">
        <v>306</v>
      </c>
      <c r="L638" s="2" t="str">
        <f t="shared" si="54"/>
        <v>Loss Making</v>
      </c>
      <c r="M638" s="2" t="str">
        <f t="shared" si="55"/>
        <v>Stable Earnings</v>
      </c>
      <c r="N638" s="2" t="str">
        <f t="shared" si="56"/>
        <v>Moderate</v>
      </c>
      <c r="O638" s="4" t="str">
        <f t="shared" si="57"/>
        <v>Accounting Risk</v>
      </c>
      <c r="P638" s="4" t="str">
        <f t="shared" si="58"/>
        <v>Moderate</v>
      </c>
      <c r="Q638" s="4" t="str">
        <f t="shared" si="59"/>
        <v>Weak Growth</v>
      </c>
    </row>
    <row r="639" spans="1:17" x14ac:dyDescent="0.35">
      <c r="A639" s="2" t="s">
        <v>650</v>
      </c>
      <c r="B639" s="2">
        <v>5</v>
      </c>
      <c r="C639" s="2">
        <v>-103656750.7</v>
      </c>
      <c r="D639" s="2">
        <v>0.6</v>
      </c>
      <c r="E639" s="2">
        <v>350796814.39999998</v>
      </c>
      <c r="F639" s="2">
        <v>25791735.699999999</v>
      </c>
      <c r="G639" s="2">
        <v>3</v>
      </c>
      <c r="H639" s="2">
        <v>5</v>
      </c>
      <c r="I639" s="2">
        <v>3</v>
      </c>
      <c r="J639" s="2">
        <v>3.6</v>
      </c>
      <c r="K639" s="2" t="s">
        <v>306</v>
      </c>
      <c r="L639" s="2" t="str">
        <f t="shared" si="54"/>
        <v>Loss Making</v>
      </c>
      <c r="M639" s="2" t="str">
        <f t="shared" si="55"/>
        <v>Stable Earnings</v>
      </c>
      <c r="N639" s="2" t="str">
        <f t="shared" si="56"/>
        <v>Low Quality</v>
      </c>
      <c r="O639" s="4" t="str">
        <f t="shared" si="57"/>
        <v>Accounting Risk</v>
      </c>
      <c r="P639" s="4" t="str">
        <f t="shared" si="58"/>
        <v>Low Quality</v>
      </c>
      <c r="Q639" s="4" t="str">
        <f t="shared" si="59"/>
        <v>Moderate Growth</v>
      </c>
    </row>
    <row r="640" spans="1:17" x14ac:dyDescent="0.35">
      <c r="A640" s="2" t="s">
        <v>651</v>
      </c>
      <c r="B640" s="2">
        <v>5</v>
      </c>
      <c r="C640" s="2">
        <v>50818270.240000002</v>
      </c>
      <c r="D640" s="2">
        <v>0.4</v>
      </c>
      <c r="E640" s="2">
        <v>113778080.7</v>
      </c>
      <c r="F640" s="2">
        <v>27595016.100000001</v>
      </c>
      <c r="G640" s="2">
        <v>4</v>
      </c>
      <c r="H640" s="2">
        <v>4</v>
      </c>
      <c r="I640" s="2">
        <v>2</v>
      </c>
      <c r="J640" s="2">
        <v>3.6</v>
      </c>
      <c r="K640" s="2" t="s">
        <v>306</v>
      </c>
      <c r="L640" s="2" t="str">
        <f t="shared" si="54"/>
        <v>Profitable</v>
      </c>
      <c r="M640" s="2" t="str">
        <f t="shared" si="55"/>
        <v>Stable Earnings</v>
      </c>
      <c r="N640" s="2" t="str">
        <f t="shared" si="56"/>
        <v>Moderate</v>
      </c>
      <c r="O640" s="4" t="str">
        <f t="shared" si="57"/>
        <v>Accounting Risk</v>
      </c>
      <c r="P640" s="4" t="str">
        <f t="shared" si="58"/>
        <v>Moderate</v>
      </c>
      <c r="Q640" s="4" t="str">
        <f t="shared" si="59"/>
        <v>Moderate Growth</v>
      </c>
    </row>
    <row r="641" spans="1:17" x14ac:dyDescent="0.35">
      <c r="A641" s="2" t="s">
        <v>652</v>
      </c>
      <c r="B641" s="2">
        <v>5</v>
      </c>
      <c r="C641" s="2">
        <v>-48471147.68</v>
      </c>
      <c r="D641" s="2">
        <v>0.2</v>
      </c>
      <c r="E641" s="2">
        <v>132432308.8</v>
      </c>
      <c r="F641" s="2">
        <v>32015191.399999999</v>
      </c>
      <c r="G641" s="2">
        <v>4</v>
      </c>
      <c r="H641" s="2">
        <v>4</v>
      </c>
      <c r="I641" s="2">
        <v>2</v>
      </c>
      <c r="J641" s="2">
        <v>3.6</v>
      </c>
      <c r="K641" s="2" t="s">
        <v>306</v>
      </c>
      <c r="L641" s="2" t="str">
        <f t="shared" si="54"/>
        <v>Loss Making</v>
      </c>
      <c r="M641" s="2" t="str">
        <f t="shared" si="55"/>
        <v>Stable Earnings</v>
      </c>
      <c r="N641" s="2" t="str">
        <f t="shared" si="56"/>
        <v>Moderate</v>
      </c>
      <c r="O641" s="4" t="str">
        <f t="shared" si="57"/>
        <v>Accounting Risk</v>
      </c>
      <c r="P641" s="4" t="str">
        <f t="shared" si="58"/>
        <v>Moderate</v>
      </c>
      <c r="Q641" s="4" t="str">
        <f t="shared" si="59"/>
        <v>Moderate Growth</v>
      </c>
    </row>
    <row r="642" spans="1:17" x14ac:dyDescent="0.35">
      <c r="A642" s="2" t="s">
        <v>653</v>
      </c>
      <c r="B642" s="2">
        <v>5</v>
      </c>
      <c r="C642" s="2">
        <v>9532834.3800000008</v>
      </c>
      <c r="D642" s="2">
        <v>0.4</v>
      </c>
      <c r="E642" s="2">
        <v>198966355.30000001</v>
      </c>
      <c r="F642" s="2">
        <v>35583148.299999997</v>
      </c>
      <c r="G642" s="2">
        <v>4</v>
      </c>
      <c r="H642" s="2">
        <v>4</v>
      </c>
      <c r="I642" s="2">
        <v>2</v>
      </c>
      <c r="J642" s="2">
        <v>3.6</v>
      </c>
      <c r="K642" s="2" t="s">
        <v>306</v>
      </c>
      <c r="L642" s="2" t="str">
        <f t="shared" ref="L642:L705" si="60">IF(C642&gt;0,"Profitable","Loss Making")</f>
        <v>Profitable</v>
      </c>
      <c r="M642" s="2" t="str">
        <f t="shared" ref="M642:M705" si="61">IF(C642&gt;500000000,"High Volatility","Stable Earnings")</f>
        <v>Stable Earnings</v>
      </c>
      <c r="N642" s="2" t="str">
        <f t="shared" ref="N642:N705" si="62">IF(G642&gt;=7,"High Quality",IF(G642&gt;=4,"Moderate","Low Quality"))</f>
        <v>Moderate</v>
      </c>
      <c r="O642" s="4" t="str">
        <f t="shared" ref="O642:O705" si="63">IF(AND(F642&gt;0,D642&gt;0.6),"Operational Growth","Accounting Risk")</f>
        <v>Accounting Risk</v>
      </c>
      <c r="P642" s="4" t="str">
        <f t="shared" ref="P642:P705" si="64">IF(G642&gt;=7,"High Quality", IF(G642&gt;=4,"Moderate","Low Quality"))</f>
        <v>Moderate</v>
      </c>
      <c r="Q642" s="4" t="str">
        <f t="shared" ref="Q642:Q705" si="65">IF(I642&gt;=4,"Strong Long-Term Growth",IF(I642&gt;=2,"Moderate Growth","Weak Growth"))</f>
        <v>Moderate Growth</v>
      </c>
    </row>
    <row r="643" spans="1:17" x14ac:dyDescent="0.35">
      <c r="A643" s="2" t="s">
        <v>654</v>
      </c>
      <c r="B643" s="2">
        <v>5</v>
      </c>
      <c r="C643" s="2">
        <v>-42861444.140000001</v>
      </c>
      <c r="D643" s="2">
        <v>0.4</v>
      </c>
      <c r="E643" s="2">
        <v>116169187.59999999</v>
      </c>
      <c r="F643" s="2">
        <v>68082599.5</v>
      </c>
      <c r="G643" s="2">
        <v>4</v>
      </c>
      <c r="H643" s="2">
        <v>4</v>
      </c>
      <c r="I643" s="2">
        <v>2</v>
      </c>
      <c r="J643" s="2">
        <v>3.6</v>
      </c>
      <c r="K643" s="2" t="s">
        <v>306</v>
      </c>
      <c r="L643" s="2" t="str">
        <f t="shared" si="60"/>
        <v>Loss Making</v>
      </c>
      <c r="M643" s="2" t="str">
        <f t="shared" si="61"/>
        <v>Stable Earnings</v>
      </c>
      <c r="N643" s="2" t="str">
        <f t="shared" si="62"/>
        <v>Moderate</v>
      </c>
      <c r="O643" s="4" t="str">
        <f t="shared" si="63"/>
        <v>Accounting Risk</v>
      </c>
      <c r="P643" s="4" t="str">
        <f t="shared" si="64"/>
        <v>Moderate</v>
      </c>
      <c r="Q643" s="4" t="str">
        <f t="shared" si="65"/>
        <v>Moderate Growth</v>
      </c>
    </row>
    <row r="644" spans="1:17" x14ac:dyDescent="0.35">
      <c r="A644" s="2" t="s">
        <v>655</v>
      </c>
      <c r="B644" s="2">
        <v>5</v>
      </c>
      <c r="C644" s="2">
        <v>-21725551.66</v>
      </c>
      <c r="D644" s="2">
        <v>0.4</v>
      </c>
      <c r="E644" s="2">
        <v>127885478.59999999</v>
      </c>
      <c r="F644" s="2">
        <v>71276705.700000003</v>
      </c>
      <c r="G644" s="2">
        <v>4</v>
      </c>
      <c r="H644" s="2">
        <v>4</v>
      </c>
      <c r="I644" s="2">
        <v>2</v>
      </c>
      <c r="J644" s="2">
        <v>3.6</v>
      </c>
      <c r="K644" s="2" t="s">
        <v>306</v>
      </c>
      <c r="L644" s="2" t="str">
        <f t="shared" si="60"/>
        <v>Loss Making</v>
      </c>
      <c r="M644" s="2" t="str">
        <f t="shared" si="61"/>
        <v>Stable Earnings</v>
      </c>
      <c r="N644" s="2" t="str">
        <f t="shared" si="62"/>
        <v>Moderate</v>
      </c>
      <c r="O644" s="4" t="str">
        <f t="shared" si="63"/>
        <v>Accounting Risk</v>
      </c>
      <c r="P644" s="4" t="str">
        <f t="shared" si="64"/>
        <v>Moderate</v>
      </c>
      <c r="Q644" s="4" t="str">
        <f t="shared" si="65"/>
        <v>Moderate Growth</v>
      </c>
    </row>
    <row r="645" spans="1:17" x14ac:dyDescent="0.35">
      <c r="A645" s="2" t="s">
        <v>656</v>
      </c>
      <c r="B645" s="2">
        <v>5</v>
      </c>
      <c r="C645" s="2">
        <v>-99595839.420000002</v>
      </c>
      <c r="D645" s="2">
        <v>0.2</v>
      </c>
      <c r="E645" s="2">
        <v>160168289.5</v>
      </c>
      <c r="F645" s="2">
        <v>60025597.600000001</v>
      </c>
      <c r="G645" s="2">
        <v>4</v>
      </c>
      <c r="H645" s="2">
        <v>4</v>
      </c>
      <c r="I645" s="2">
        <v>2</v>
      </c>
      <c r="J645" s="2">
        <v>3.6</v>
      </c>
      <c r="K645" s="2" t="s">
        <v>306</v>
      </c>
      <c r="L645" s="2" t="str">
        <f t="shared" si="60"/>
        <v>Loss Making</v>
      </c>
      <c r="M645" s="2" t="str">
        <f t="shared" si="61"/>
        <v>Stable Earnings</v>
      </c>
      <c r="N645" s="2" t="str">
        <f t="shared" si="62"/>
        <v>Moderate</v>
      </c>
      <c r="O645" s="4" t="str">
        <f t="shared" si="63"/>
        <v>Accounting Risk</v>
      </c>
      <c r="P645" s="4" t="str">
        <f t="shared" si="64"/>
        <v>Moderate</v>
      </c>
      <c r="Q645" s="4" t="str">
        <f t="shared" si="65"/>
        <v>Moderate Growth</v>
      </c>
    </row>
    <row r="646" spans="1:17" x14ac:dyDescent="0.35">
      <c r="A646" s="2" t="s">
        <v>657</v>
      </c>
      <c r="B646" s="2">
        <v>5</v>
      </c>
      <c r="C646" s="2">
        <v>-50810162</v>
      </c>
      <c r="D646" s="2">
        <v>0.4</v>
      </c>
      <c r="E646" s="2">
        <v>134523385</v>
      </c>
      <c r="F646" s="2">
        <v>56573719.100000001</v>
      </c>
      <c r="G646" s="2">
        <v>4</v>
      </c>
      <c r="H646" s="2">
        <v>4</v>
      </c>
      <c r="I646" s="2">
        <v>2</v>
      </c>
      <c r="J646" s="2">
        <v>3.6</v>
      </c>
      <c r="K646" s="2" t="s">
        <v>306</v>
      </c>
      <c r="L646" s="2" t="str">
        <f t="shared" si="60"/>
        <v>Loss Making</v>
      </c>
      <c r="M646" s="2" t="str">
        <f t="shared" si="61"/>
        <v>Stable Earnings</v>
      </c>
      <c r="N646" s="2" t="str">
        <f t="shared" si="62"/>
        <v>Moderate</v>
      </c>
      <c r="O646" s="4" t="str">
        <f t="shared" si="63"/>
        <v>Accounting Risk</v>
      </c>
      <c r="P646" s="4" t="str">
        <f t="shared" si="64"/>
        <v>Moderate</v>
      </c>
      <c r="Q646" s="4" t="str">
        <f t="shared" si="65"/>
        <v>Moderate Growth</v>
      </c>
    </row>
    <row r="647" spans="1:17" x14ac:dyDescent="0.35">
      <c r="A647" s="2" t="s">
        <v>658</v>
      </c>
      <c r="B647" s="2">
        <v>5</v>
      </c>
      <c r="C647" s="2">
        <v>-170123129.19999999</v>
      </c>
      <c r="D647" s="2">
        <v>0.2</v>
      </c>
      <c r="E647" s="2">
        <v>150885938.30000001</v>
      </c>
      <c r="F647" s="2">
        <v>55148469.700000003</v>
      </c>
      <c r="G647" s="2">
        <v>4</v>
      </c>
      <c r="H647" s="2">
        <v>4</v>
      </c>
      <c r="I647" s="2">
        <v>2</v>
      </c>
      <c r="J647" s="2">
        <v>3.6</v>
      </c>
      <c r="K647" s="2" t="s">
        <v>306</v>
      </c>
      <c r="L647" s="2" t="str">
        <f t="shared" si="60"/>
        <v>Loss Making</v>
      </c>
      <c r="M647" s="2" t="str">
        <f t="shared" si="61"/>
        <v>Stable Earnings</v>
      </c>
      <c r="N647" s="2" t="str">
        <f t="shared" si="62"/>
        <v>Moderate</v>
      </c>
      <c r="O647" s="4" t="str">
        <f t="shared" si="63"/>
        <v>Accounting Risk</v>
      </c>
      <c r="P647" s="4" t="str">
        <f t="shared" si="64"/>
        <v>Moderate</v>
      </c>
      <c r="Q647" s="4" t="str">
        <f t="shared" si="65"/>
        <v>Moderate Growth</v>
      </c>
    </row>
    <row r="648" spans="1:17" x14ac:dyDescent="0.35">
      <c r="A648" s="2" t="s">
        <v>659</v>
      </c>
      <c r="B648" s="2">
        <v>5</v>
      </c>
      <c r="C648" s="2">
        <v>6793214.0800000001</v>
      </c>
      <c r="D648" s="2">
        <v>0.4</v>
      </c>
      <c r="E648" s="2">
        <v>168793604.09999999</v>
      </c>
      <c r="F648" s="2">
        <v>43273007.299999997</v>
      </c>
      <c r="G648" s="2">
        <v>4</v>
      </c>
      <c r="H648" s="2">
        <v>4</v>
      </c>
      <c r="I648" s="2">
        <v>2</v>
      </c>
      <c r="J648" s="2">
        <v>3.6</v>
      </c>
      <c r="K648" s="2" t="s">
        <v>306</v>
      </c>
      <c r="L648" s="2" t="str">
        <f t="shared" si="60"/>
        <v>Profitable</v>
      </c>
      <c r="M648" s="2" t="str">
        <f t="shared" si="61"/>
        <v>Stable Earnings</v>
      </c>
      <c r="N648" s="2" t="str">
        <f t="shared" si="62"/>
        <v>Moderate</v>
      </c>
      <c r="O648" s="4" t="str">
        <f t="shared" si="63"/>
        <v>Accounting Risk</v>
      </c>
      <c r="P648" s="4" t="str">
        <f t="shared" si="64"/>
        <v>Moderate</v>
      </c>
      <c r="Q648" s="4" t="str">
        <f t="shared" si="65"/>
        <v>Moderate Growth</v>
      </c>
    </row>
    <row r="649" spans="1:17" x14ac:dyDescent="0.35">
      <c r="A649" s="2" t="s">
        <v>660</v>
      </c>
      <c r="B649" s="2">
        <v>5</v>
      </c>
      <c r="C649" s="2">
        <v>-111907102.40000001</v>
      </c>
      <c r="D649" s="2">
        <v>0</v>
      </c>
      <c r="E649" s="2">
        <v>124737609.5</v>
      </c>
      <c r="F649" s="2">
        <v>41234733</v>
      </c>
      <c r="G649" s="2">
        <v>4</v>
      </c>
      <c r="H649" s="2">
        <v>4</v>
      </c>
      <c r="I649" s="2">
        <v>2</v>
      </c>
      <c r="J649" s="2">
        <v>3.6</v>
      </c>
      <c r="K649" s="2" t="s">
        <v>306</v>
      </c>
      <c r="L649" s="2" t="str">
        <f t="shared" si="60"/>
        <v>Loss Making</v>
      </c>
      <c r="M649" s="2" t="str">
        <f t="shared" si="61"/>
        <v>Stable Earnings</v>
      </c>
      <c r="N649" s="2" t="str">
        <f t="shared" si="62"/>
        <v>Moderate</v>
      </c>
      <c r="O649" s="4" t="str">
        <f t="shared" si="63"/>
        <v>Accounting Risk</v>
      </c>
      <c r="P649" s="4" t="str">
        <f t="shared" si="64"/>
        <v>Moderate</v>
      </c>
      <c r="Q649" s="4" t="str">
        <f t="shared" si="65"/>
        <v>Moderate Growth</v>
      </c>
    </row>
    <row r="650" spans="1:17" x14ac:dyDescent="0.35">
      <c r="A650" s="2" t="s">
        <v>661</v>
      </c>
      <c r="B650" s="2">
        <v>5</v>
      </c>
      <c r="C650" s="2">
        <v>-124095923.8</v>
      </c>
      <c r="D650" s="2">
        <v>0.2</v>
      </c>
      <c r="E650" s="2">
        <v>285945591.69999999</v>
      </c>
      <c r="F650" s="2">
        <v>39759359.5</v>
      </c>
      <c r="G650" s="2">
        <v>4</v>
      </c>
      <c r="H650" s="2">
        <v>4</v>
      </c>
      <c r="I650" s="2">
        <v>2</v>
      </c>
      <c r="J650" s="2">
        <v>3.6</v>
      </c>
      <c r="K650" s="2" t="s">
        <v>306</v>
      </c>
      <c r="L650" s="2" t="str">
        <f t="shared" si="60"/>
        <v>Loss Making</v>
      </c>
      <c r="M650" s="2" t="str">
        <f t="shared" si="61"/>
        <v>Stable Earnings</v>
      </c>
      <c r="N650" s="2" t="str">
        <f t="shared" si="62"/>
        <v>Moderate</v>
      </c>
      <c r="O650" s="4" t="str">
        <f t="shared" si="63"/>
        <v>Accounting Risk</v>
      </c>
      <c r="P650" s="4" t="str">
        <f t="shared" si="64"/>
        <v>Moderate</v>
      </c>
      <c r="Q650" s="4" t="str">
        <f t="shared" si="65"/>
        <v>Moderate Growth</v>
      </c>
    </row>
    <row r="651" spans="1:17" x14ac:dyDescent="0.35">
      <c r="A651" s="2" t="s">
        <v>662</v>
      </c>
      <c r="B651" s="2">
        <v>5</v>
      </c>
      <c r="C651" s="2">
        <v>-326684936.69999999</v>
      </c>
      <c r="D651" s="2">
        <v>0</v>
      </c>
      <c r="E651" s="2">
        <v>135379234.80000001</v>
      </c>
      <c r="F651" s="2">
        <v>38746572.799999997</v>
      </c>
      <c r="G651" s="2">
        <v>4</v>
      </c>
      <c r="H651" s="2">
        <v>4</v>
      </c>
      <c r="I651" s="2">
        <v>2</v>
      </c>
      <c r="J651" s="2">
        <v>3.6</v>
      </c>
      <c r="K651" s="2" t="s">
        <v>306</v>
      </c>
      <c r="L651" s="2" t="str">
        <f t="shared" si="60"/>
        <v>Loss Making</v>
      </c>
      <c r="M651" s="2" t="str">
        <f t="shared" si="61"/>
        <v>Stable Earnings</v>
      </c>
      <c r="N651" s="2" t="str">
        <f t="shared" si="62"/>
        <v>Moderate</v>
      </c>
      <c r="O651" s="4" t="str">
        <f t="shared" si="63"/>
        <v>Accounting Risk</v>
      </c>
      <c r="P651" s="4" t="str">
        <f t="shared" si="64"/>
        <v>Moderate</v>
      </c>
      <c r="Q651" s="4" t="str">
        <f t="shared" si="65"/>
        <v>Moderate Growth</v>
      </c>
    </row>
    <row r="652" spans="1:17" x14ac:dyDescent="0.35">
      <c r="A652" s="2" t="s">
        <v>663</v>
      </c>
      <c r="B652" s="2">
        <v>5</v>
      </c>
      <c r="C652" s="2">
        <v>-112860012.59999999</v>
      </c>
      <c r="D652" s="2">
        <v>0.2</v>
      </c>
      <c r="E652" s="2">
        <v>279594152.89999998</v>
      </c>
      <c r="F652" s="2">
        <v>89680513.200000003</v>
      </c>
      <c r="G652" s="2">
        <v>4</v>
      </c>
      <c r="H652" s="2">
        <v>4</v>
      </c>
      <c r="I652" s="2">
        <v>2</v>
      </c>
      <c r="J652" s="2">
        <v>3.6</v>
      </c>
      <c r="K652" s="2" t="s">
        <v>306</v>
      </c>
      <c r="L652" s="2" t="str">
        <f t="shared" si="60"/>
        <v>Loss Making</v>
      </c>
      <c r="M652" s="2" t="str">
        <f t="shared" si="61"/>
        <v>Stable Earnings</v>
      </c>
      <c r="N652" s="2" t="str">
        <f t="shared" si="62"/>
        <v>Moderate</v>
      </c>
      <c r="O652" s="4" t="str">
        <f t="shared" si="63"/>
        <v>Accounting Risk</v>
      </c>
      <c r="P652" s="4" t="str">
        <f t="shared" si="64"/>
        <v>Moderate</v>
      </c>
      <c r="Q652" s="4" t="str">
        <f t="shared" si="65"/>
        <v>Moderate Growth</v>
      </c>
    </row>
    <row r="653" spans="1:17" x14ac:dyDescent="0.35">
      <c r="A653" s="2" t="s">
        <v>664</v>
      </c>
      <c r="B653" s="2">
        <v>5</v>
      </c>
      <c r="C653" s="2">
        <v>-116687796</v>
      </c>
      <c r="D653" s="2">
        <v>0.2</v>
      </c>
      <c r="E653" s="2">
        <v>271544223</v>
      </c>
      <c r="F653" s="2">
        <v>85854505.299999997</v>
      </c>
      <c r="G653" s="2">
        <v>4</v>
      </c>
      <c r="H653" s="2">
        <v>4</v>
      </c>
      <c r="I653" s="2">
        <v>2</v>
      </c>
      <c r="J653" s="2">
        <v>3.6</v>
      </c>
      <c r="K653" s="2" t="s">
        <v>306</v>
      </c>
      <c r="L653" s="2" t="str">
        <f t="shared" si="60"/>
        <v>Loss Making</v>
      </c>
      <c r="M653" s="2" t="str">
        <f t="shared" si="61"/>
        <v>Stable Earnings</v>
      </c>
      <c r="N653" s="2" t="str">
        <f t="shared" si="62"/>
        <v>Moderate</v>
      </c>
      <c r="O653" s="4" t="str">
        <f t="shared" si="63"/>
        <v>Accounting Risk</v>
      </c>
      <c r="P653" s="4" t="str">
        <f t="shared" si="64"/>
        <v>Moderate</v>
      </c>
      <c r="Q653" s="4" t="str">
        <f t="shared" si="65"/>
        <v>Moderate Growth</v>
      </c>
    </row>
    <row r="654" spans="1:17" x14ac:dyDescent="0.35">
      <c r="A654" s="2" t="s">
        <v>665</v>
      </c>
      <c r="B654" s="2">
        <v>5</v>
      </c>
      <c r="C654" s="2">
        <v>-136638607.59999999</v>
      </c>
      <c r="D654" s="2">
        <v>0.2</v>
      </c>
      <c r="E654" s="2">
        <v>137900579.30000001</v>
      </c>
      <c r="F654" s="2">
        <v>77992996.599999994</v>
      </c>
      <c r="G654" s="2">
        <v>4</v>
      </c>
      <c r="H654" s="2">
        <v>4</v>
      </c>
      <c r="I654" s="2">
        <v>2</v>
      </c>
      <c r="J654" s="2">
        <v>3.6</v>
      </c>
      <c r="K654" s="2" t="s">
        <v>306</v>
      </c>
      <c r="L654" s="2" t="str">
        <f t="shared" si="60"/>
        <v>Loss Making</v>
      </c>
      <c r="M654" s="2" t="str">
        <f t="shared" si="61"/>
        <v>Stable Earnings</v>
      </c>
      <c r="N654" s="2" t="str">
        <f t="shared" si="62"/>
        <v>Moderate</v>
      </c>
      <c r="O654" s="4" t="str">
        <f t="shared" si="63"/>
        <v>Accounting Risk</v>
      </c>
      <c r="P654" s="4" t="str">
        <f t="shared" si="64"/>
        <v>Moderate</v>
      </c>
      <c r="Q654" s="4" t="str">
        <f t="shared" si="65"/>
        <v>Moderate Growth</v>
      </c>
    </row>
    <row r="655" spans="1:17" x14ac:dyDescent="0.35">
      <c r="A655" s="2" t="s">
        <v>666</v>
      </c>
      <c r="B655" s="2">
        <v>5</v>
      </c>
      <c r="C655" s="2">
        <v>-162900376.80000001</v>
      </c>
      <c r="D655" s="2">
        <v>0.2</v>
      </c>
      <c r="E655" s="2">
        <v>160128024.30000001</v>
      </c>
      <c r="F655" s="2">
        <v>127086750.7</v>
      </c>
      <c r="G655" s="2">
        <v>4</v>
      </c>
      <c r="H655" s="2">
        <v>4</v>
      </c>
      <c r="I655" s="2">
        <v>2</v>
      </c>
      <c r="J655" s="2">
        <v>3.6</v>
      </c>
      <c r="K655" s="2" t="s">
        <v>306</v>
      </c>
      <c r="L655" s="2" t="str">
        <f t="shared" si="60"/>
        <v>Loss Making</v>
      </c>
      <c r="M655" s="2" t="str">
        <f t="shared" si="61"/>
        <v>Stable Earnings</v>
      </c>
      <c r="N655" s="2" t="str">
        <f t="shared" si="62"/>
        <v>Moderate</v>
      </c>
      <c r="O655" s="4" t="str">
        <f t="shared" si="63"/>
        <v>Accounting Risk</v>
      </c>
      <c r="P655" s="4" t="str">
        <f t="shared" si="64"/>
        <v>Moderate</v>
      </c>
      <c r="Q655" s="4" t="str">
        <f t="shared" si="65"/>
        <v>Moderate Growth</v>
      </c>
    </row>
    <row r="656" spans="1:17" x14ac:dyDescent="0.35">
      <c r="A656" s="2" t="s">
        <v>667</v>
      </c>
      <c r="B656" s="2">
        <v>5</v>
      </c>
      <c r="C656" s="2">
        <v>-60717385.380000003</v>
      </c>
      <c r="D656" s="2">
        <v>0</v>
      </c>
      <c r="E656" s="2">
        <v>43120320.240000002</v>
      </c>
      <c r="F656" s="2">
        <v>115771634.40000001</v>
      </c>
      <c r="G656" s="2">
        <v>5</v>
      </c>
      <c r="H656" s="2">
        <v>2</v>
      </c>
      <c r="I656" s="2">
        <v>2</v>
      </c>
      <c r="J656" s="2">
        <v>3.5</v>
      </c>
      <c r="K656" s="2" t="s">
        <v>306</v>
      </c>
      <c r="L656" s="2" t="str">
        <f t="shared" si="60"/>
        <v>Loss Making</v>
      </c>
      <c r="M656" s="2" t="str">
        <f t="shared" si="61"/>
        <v>Stable Earnings</v>
      </c>
      <c r="N656" s="2" t="str">
        <f t="shared" si="62"/>
        <v>Moderate</v>
      </c>
      <c r="O656" s="4" t="str">
        <f t="shared" si="63"/>
        <v>Accounting Risk</v>
      </c>
      <c r="P656" s="4" t="str">
        <f t="shared" si="64"/>
        <v>Moderate</v>
      </c>
      <c r="Q656" s="4" t="str">
        <f t="shared" si="65"/>
        <v>Moderate Growth</v>
      </c>
    </row>
    <row r="657" spans="1:17" x14ac:dyDescent="0.35">
      <c r="A657" s="2" t="s">
        <v>668</v>
      </c>
      <c r="B657" s="2">
        <v>5</v>
      </c>
      <c r="C657" s="2">
        <v>-85789667.5</v>
      </c>
      <c r="D657" s="2">
        <v>0</v>
      </c>
      <c r="E657" s="2">
        <v>39532438.380000003</v>
      </c>
      <c r="F657" s="2">
        <v>80615462.099999994</v>
      </c>
      <c r="G657" s="2">
        <v>5</v>
      </c>
      <c r="H657" s="2">
        <v>2</v>
      </c>
      <c r="I657" s="2">
        <v>2</v>
      </c>
      <c r="J657" s="2">
        <v>3.5</v>
      </c>
      <c r="K657" s="2" t="s">
        <v>306</v>
      </c>
      <c r="L657" s="2" t="str">
        <f t="shared" si="60"/>
        <v>Loss Making</v>
      </c>
      <c r="M657" s="2" t="str">
        <f t="shared" si="61"/>
        <v>Stable Earnings</v>
      </c>
      <c r="N657" s="2" t="str">
        <f t="shared" si="62"/>
        <v>Moderate</v>
      </c>
      <c r="O657" s="4" t="str">
        <f t="shared" si="63"/>
        <v>Accounting Risk</v>
      </c>
      <c r="P657" s="4" t="str">
        <f t="shared" si="64"/>
        <v>Moderate</v>
      </c>
      <c r="Q657" s="4" t="str">
        <f t="shared" si="65"/>
        <v>Moderate Growth</v>
      </c>
    </row>
    <row r="658" spans="1:17" x14ac:dyDescent="0.35">
      <c r="A658" s="2" t="s">
        <v>669</v>
      </c>
      <c r="B658" s="2">
        <v>5</v>
      </c>
      <c r="C658" s="2">
        <v>-57252592.140000001</v>
      </c>
      <c r="D658" s="2">
        <v>0</v>
      </c>
      <c r="E658" s="2">
        <v>31028173.41</v>
      </c>
      <c r="F658" s="2">
        <v>75948404</v>
      </c>
      <c r="G658" s="2">
        <v>5</v>
      </c>
      <c r="H658" s="2">
        <v>2</v>
      </c>
      <c r="I658" s="2">
        <v>2</v>
      </c>
      <c r="J658" s="2">
        <v>3.5</v>
      </c>
      <c r="K658" s="2" t="s">
        <v>306</v>
      </c>
      <c r="L658" s="2" t="str">
        <f t="shared" si="60"/>
        <v>Loss Making</v>
      </c>
      <c r="M658" s="2" t="str">
        <f t="shared" si="61"/>
        <v>Stable Earnings</v>
      </c>
      <c r="N658" s="2" t="str">
        <f t="shared" si="62"/>
        <v>Moderate</v>
      </c>
      <c r="O658" s="4" t="str">
        <f t="shared" si="63"/>
        <v>Accounting Risk</v>
      </c>
      <c r="P658" s="4" t="str">
        <f t="shared" si="64"/>
        <v>Moderate</v>
      </c>
      <c r="Q658" s="4" t="str">
        <f t="shared" si="65"/>
        <v>Moderate Growth</v>
      </c>
    </row>
    <row r="659" spans="1:17" x14ac:dyDescent="0.35">
      <c r="A659" s="2" t="s">
        <v>670</v>
      </c>
      <c r="B659" s="2">
        <v>5</v>
      </c>
      <c r="C659" s="2">
        <v>-82420614.680000007</v>
      </c>
      <c r="D659" s="2">
        <v>0</v>
      </c>
      <c r="E659" s="2">
        <v>30094620.07</v>
      </c>
      <c r="F659" s="2">
        <v>77787975.599999994</v>
      </c>
      <c r="G659" s="2">
        <v>5</v>
      </c>
      <c r="H659" s="2">
        <v>2</v>
      </c>
      <c r="I659" s="2">
        <v>2</v>
      </c>
      <c r="J659" s="2">
        <v>3.5</v>
      </c>
      <c r="K659" s="2" t="s">
        <v>306</v>
      </c>
      <c r="L659" s="2" t="str">
        <f t="shared" si="60"/>
        <v>Loss Making</v>
      </c>
      <c r="M659" s="2" t="str">
        <f t="shared" si="61"/>
        <v>Stable Earnings</v>
      </c>
      <c r="N659" s="2" t="str">
        <f t="shared" si="62"/>
        <v>Moderate</v>
      </c>
      <c r="O659" s="4" t="str">
        <f t="shared" si="63"/>
        <v>Accounting Risk</v>
      </c>
      <c r="P659" s="4" t="str">
        <f t="shared" si="64"/>
        <v>Moderate</v>
      </c>
      <c r="Q659" s="4" t="str">
        <f t="shared" si="65"/>
        <v>Moderate Growth</v>
      </c>
    </row>
    <row r="660" spans="1:17" x14ac:dyDescent="0.35">
      <c r="A660" s="2" t="s">
        <v>671</v>
      </c>
      <c r="B660" s="2">
        <v>5</v>
      </c>
      <c r="C660" s="2">
        <v>-98261091.900000006</v>
      </c>
      <c r="D660" s="2">
        <v>0</v>
      </c>
      <c r="E660" s="2">
        <v>41654242.920000002</v>
      </c>
      <c r="F660" s="2">
        <v>74594025.299999997</v>
      </c>
      <c r="G660" s="2">
        <v>5</v>
      </c>
      <c r="H660" s="2">
        <v>2</v>
      </c>
      <c r="I660" s="2">
        <v>2</v>
      </c>
      <c r="J660" s="2">
        <v>3.5</v>
      </c>
      <c r="K660" s="2" t="s">
        <v>306</v>
      </c>
      <c r="L660" s="2" t="str">
        <f t="shared" si="60"/>
        <v>Loss Making</v>
      </c>
      <c r="M660" s="2" t="str">
        <f t="shared" si="61"/>
        <v>Stable Earnings</v>
      </c>
      <c r="N660" s="2" t="str">
        <f t="shared" si="62"/>
        <v>Moderate</v>
      </c>
      <c r="O660" s="4" t="str">
        <f t="shared" si="63"/>
        <v>Accounting Risk</v>
      </c>
      <c r="P660" s="4" t="str">
        <f t="shared" si="64"/>
        <v>Moderate</v>
      </c>
      <c r="Q660" s="4" t="str">
        <f t="shared" si="65"/>
        <v>Moderate Growth</v>
      </c>
    </row>
    <row r="661" spans="1:17" x14ac:dyDescent="0.35">
      <c r="A661" s="2" t="s">
        <v>672</v>
      </c>
      <c r="B661" s="2">
        <v>5</v>
      </c>
      <c r="C661" s="2">
        <v>-114476376.3</v>
      </c>
      <c r="D661" s="2">
        <v>0</v>
      </c>
      <c r="E661" s="2">
        <v>42410029.390000001</v>
      </c>
      <c r="F661" s="2">
        <v>72997904.200000003</v>
      </c>
      <c r="G661" s="2">
        <v>5</v>
      </c>
      <c r="H661" s="2">
        <v>2</v>
      </c>
      <c r="I661" s="2">
        <v>2</v>
      </c>
      <c r="J661" s="2">
        <v>3.5</v>
      </c>
      <c r="K661" s="2" t="s">
        <v>306</v>
      </c>
      <c r="L661" s="2" t="str">
        <f t="shared" si="60"/>
        <v>Loss Making</v>
      </c>
      <c r="M661" s="2" t="str">
        <f t="shared" si="61"/>
        <v>Stable Earnings</v>
      </c>
      <c r="N661" s="2" t="str">
        <f t="shared" si="62"/>
        <v>Moderate</v>
      </c>
      <c r="O661" s="4" t="str">
        <f t="shared" si="63"/>
        <v>Accounting Risk</v>
      </c>
      <c r="P661" s="4" t="str">
        <f t="shared" si="64"/>
        <v>Moderate</v>
      </c>
      <c r="Q661" s="4" t="str">
        <f t="shared" si="65"/>
        <v>Moderate Growth</v>
      </c>
    </row>
    <row r="662" spans="1:17" x14ac:dyDescent="0.35">
      <c r="A662" s="2" t="s">
        <v>673</v>
      </c>
      <c r="B662" s="2">
        <v>5</v>
      </c>
      <c r="C662" s="2">
        <v>-86396962.659999996</v>
      </c>
      <c r="D662" s="2">
        <v>0</v>
      </c>
      <c r="E662" s="2">
        <v>37602957.130000003</v>
      </c>
      <c r="F662" s="2">
        <v>82564887.200000003</v>
      </c>
      <c r="G662" s="2">
        <v>5</v>
      </c>
      <c r="H662" s="2">
        <v>2</v>
      </c>
      <c r="I662" s="2">
        <v>2</v>
      </c>
      <c r="J662" s="2">
        <v>3.5</v>
      </c>
      <c r="K662" s="2" t="s">
        <v>306</v>
      </c>
      <c r="L662" s="2" t="str">
        <f t="shared" si="60"/>
        <v>Loss Making</v>
      </c>
      <c r="M662" s="2" t="str">
        <f t="shared" si="61"/>
        <v>Stable Earnings</v>
      </c>
      <c r="N662" s="2" t="str">
        <f t="shared" si="62"/>
        <v>Moderate</v>
      </c>
      <c r="O662" s="4" t="str">
        <f t="shared" si="63"/>
        <v>Accounting Risk</v>
      </c>
      <c r="P662" s="4" t="str">
        <f t="shared" si="64"/>
        <v>Moderate</v>
      </c>
      <c r="Q662" s="4" t="str">
        <f t="shared" si="65"/>
        <v>Moderate Growth</v>
      </c>
    </row>
    <row r="663" spans="1:17" x14ac:dyDescent="0.35">
      <c r="A663" s="2" t="s">
        <v>674</v>
      </c>
      <c r="B663" s="2">
        <v>5</v>
      </c>
      <c r="C663" s="2">
        <v>-29359394.620000001</v>
      </c>
      <c r="D663" s="2">
        <v>0</v>
      </c>
      <c r="E663" s="2">
        <v>21422031.329999998</v>
      </c>
      <c r="F663" s="2">
        <v>41034107.899999999</v>
      </c>
      <c r="G663" s="2">
        <v>5</v>
      </c>
      <c r="H663" s="2">
        <v>2</v>
      </c>
      <c r="I663" s="2">
        <v>2</v>
      </c>
      <c r="J663" s="2">
        <v>3.5</v>
      </c>
      <c r="K663" s="2" t="s">
        <v>306</v>
      </c>
      <c r="L663" s="2" t="str">
        <f t="shared" si="60"/>
        <v>Loss Making</v>
      </c>
      <c r="M663" s="2" t="str">
        <f t="shared" si="61"/>
        <v>Stable Earnings</v>
      </c>
      <c r="N663" s="2" t="str">
        <f t="shared" si="62"/>
        <v>Moderate</v>
      </c>
      <c r="O663" s="4" t="str">
        <f t="shared" si="63"/>
        <v>Accounting Risk</v>
      </c>
      <c r="P663" s="4" t="str">
        <f t="shared" si="64"/>
        <v>Moderate</v>
      </c>
      <c r="Q663" s="4" t="str">
        <f t="shared" si="65"/>
        <v>Moderate Growth</v>
      </c>
    </row>
    <row r="664" spans="1:17" x14ac:dyDescent="0.35">
      <c r="A664" s="2" t="s">
        <v>675</v>
      </c>
      <c r="B664" s="2">
        <v>5</v>
      </c>
      <c r="C664" s="2">
        <v>-39157840.859999999</v>
      </c>
      <c r="D664" s="2">
        <v>0</v>
      </c>
      <c r="E664" s="2">
        <v>21306204.210000001</v>
      </c>
      <c r="F664" s="2">
        <v>42265569.5</v>
      </c>
      <c r="G664" s="2">
        <v>5</v>
      </c>
      <c r="H664" s="2">
        <v>2</v>
      </c>
      <c r="I664" s="2">
        <v>2</v>
      </c>
      <c r="J664" s="2">
        <v>3.5</v>
      </c>
      <c r="K664" s="2" t="s">
        <v>306</v>
      </c>
      <c r="L664" s="2" t="str">
        <f t="shared" si="60"/>
        <v>Loss Making</v>
      </c>
      <c r="M664" s="2" t="str">
        <f t="shared" si="61"/>
        <v>Stable Earnings</v>
      </c>
      <c r="N664" s="2" t="str">
        <f t="shared" si="62"/>
        <v>Moderate</v>
      </c>
      <c r="O664" s="4" t="str">
        <f t="shared" si="63"/>
        <v>Accounting Risk</v>
      </c>
      <c r="P664" s="4" t="str">
        <f t="shared" si="64"/>
        <v>Moderate</v>
      </c>
      <c r="Q664" s="4" t="str">
        <f t="shared" si="65"/>
        <v>Moderate Growth</v>
      </c>
    </row>
    <row r="665" spans="1:17" x14ac:dyDescent="0.35">
      <c r="A665" s="2" t="s">
        <v>676</v>
      </c>
      <c r="B665" s="2">
        <v>5</v>
      </c>
      <c r="C665" s="2">
        <v>-89247691.540000007</v>
      </c>
      <c r="D665" s="2">
        <v>0</v>
      </c>
      <c r="E665" s="2">
        <v>29217462.25</v>
      </c>
      <c r="F665" s="2">
        <v>41810442.5</v>
      </c>
      <c r="G665" s="2">
        <v>5</v>
      </c>
      <c r="H665" s="2">
        <v>2</v>
      </c>
      <c r="I665" s="2">
        <v>2</v>
      </c>
      <c r="J665" s="2">
        <v>3.5</v>
      </c>
      <c r="K665" s="2" t="s">
        <v>306</v>
      </c>
      <c r="L665" s="2" t="str">
        <f t="shared" si="60"/>
        <v>Loss Making</v>
      </c>
      <c r="M665" s="2" t="str">
        <f t="shared" si="61"/>
        <v>Stable Earnings</v>
      </c>
      <c r="N665" s="2" t="str">
        <f t="shared" si="62"/>
        <v>Moderate</v>
      </c>
      <c r="O665" s="4" t="str">
        <f t="shared" si="63"/>
        <v>Accounting Risk</v>
      </c>
      <c r="P665" s="4" t="str">
        <f t="shared" si="64"/>
        <v>Moderate</v>
      </c>
      <c r="Q665" s="4" t="str">
        <f t="shared" si="65"/>
        <v>Moderate Growth</v>
      </c>
    </row>
    <row r="666" spans="1:17" x14ac:dyDescent="0.35">
      <c r="A666" s="2" t="s">
        <v>677</v>
      </c>
      <c r="B666" s="2">
        <v>5</v>
      </c>
      <c r="C666" s="2">
        <v>-100219055.8</v>
      </c>
      <c r="D666" s="2">
        <v>0</v>
      </c>
      <c r="E666" s="2">
        <v>17265580.52</v>
      </c>
      <c r="F666" s="2">
        <v>43923910.600000001</v>
      </c>
      <c r="G666" s="2">
        <v>5</v>
      </c>
      <c r="H666" s="2">
        <v>2</v>
      </c>
      <c r="I666" s="2">
        <v>2</v>
      </c>
      <c r="J666" s="2">
        <v>3.5</v>
      </c>
      <c r="K666" s="2" t="s">
        <v>306</v>
      </c>
      <c r="L666" s="2" t="str">
        <f t="shared" si="60"/>
        <v>Loss Making</v>
      </c>
      <c r="M666" s="2" t="str">
        <f t="shared" si="61"/>
        <v>Stable Earnings</v>
      </c>
      <c r="N666" s="2" t="str">
        <f t="shared" si="62"/>
        <v>Moderate</v>
      </c>
      <c r="O666" s="4" t="str">
        <f t="shared" si="63"/>
        <v>Accounting Risk</v>
      </c>
      <c r="P666" s="4" t="str">
        <f t="shared" si="64"/>
        <v>Moderate</v>
      </c>
      <c r="Q666" s="4" t="str">
        <f t="shared" si="65"/>
        <v>Moderate Growth</v>
      </c>
    </row>
    <row r="667" spans="1:17" x14ac:dyDescent="0.35">
      <c r="A667" s="2" t="s">
        <v>678</v>
      </c>
      <c r="B667" s="2">
        <v>5</v>
      </c>
      <c r="C667" s="2">
        <v>-56205203.68</v>
      </c>
      <c r="D667" s="2">
        <v>0</v>
      </c>
      <c r="E667" s="2">
        <v>36106627.93</v>
      </c>
      <c r="F667" s="2">
        <v>46047882</v>
      </c>
      <c r="G667" s="2">
        <v>5</v>
      </c>
      <c r="H667" s="2">
        <v>2</v>
      </c>
      <c r="I667" s="2">
        <v>2</v>
      </c>
      <c r="J667" s="2">
        <v>3.5</v>
      </c>
      <c r="K667" s="2" t="s">
        <v>306</v>
      </c>
      <c r="L667" s="2" t="str">
        <f t="shared" si="60"/>
        <v>Loss Making</v>
      </c>
      <c r="M667" s="2" t="str">
        <f t="shared" si="61"/>
        <v>Stable Earnings</v>
      </c>
      <c r="N667" s="2" t="str">
        <f t="shared" si="62"/>
        <v>Moderate</v>
      </c>
      <c r="O667" s="4" t="str">
        <f t="shared" si="63"/>
        <v>Accounting Risk</v>
      </c>
      <c r="P667" s="4" t="str">
        <f t="shared" si="64"/>
        <v>Moderate</v>
      </c>
      <c r="Q667" s="4" t="str">
        <f t="shared" si="65"/>
        <v>Moderate Growth</v>
      </c>
    </row>
    <row r="668" spans="1:17" x14ac:dyDescent="0.35">
      <c r="A668" s="2" t="s">
        <v>679</v>
      </c>
      <c r="B668" s="2">
        <v>5</v>
      </c>
      <c r="C668" s="2">
        <v>-166994425.69999999</v>
      </c>
      <c r="D668" s="2">
        <v>0</v>
      </c>
      <c r="E668" s="2">
        <v>35769678.700000003</v>
      </c>
      <c r="F668" s="2">
        <v>55412996.200000003</v>
      </c>
      <c r="G668" s="2">
        <v>5</v>
      </c>
      <c r="H668" s="2">
        <v>2</v>
      </c>
      <c r="I668" s="2">
        <v>2</v>
      </c>
      <c r="J668" s="2">
        <v>3.5</v>
      </c>
      <c r="K668" s="2" t="s">
        <v>306</v>
      </c>
      <c r="L668" s="2" t="str">
        <f t="shared" si="60"/>
        <v>Loss Making</v>
      </c>
      <c r="M668" s="2" t="str">
        <f t="shared" si="61"/>
        <v>Stable Earnings</v>
      </c>
      <c r="N668" s="2" t="str">
        <f t="shared" si="62"/>
        <v>Moderate</v>
      </c>
      <c r="O668" s="4" t="str">
        <f t="shared" si="63"/>
        <v>Accounting Risk</v>
      </c>
      <c r="P668" s="4" t="str">
        <f t="shared" si="64"/>
        <v>Moderate</v>
      </c>
      <c r="Q668" s="4" t="str">
        <f t="shared" si="65"/>
        <v>Moderate Growth</v>
      </c>
    </row>
    <row r="669" spans="1:17" x14ac:dyDescent="0.35">
      <c r="A669" s="2" t="s">
        <v>680</v>
      </c>
      <c r="B669" s="2">
        <v>5</v>
      </c>
      <c r="C669" s="2">
        <v>-86401005.920000002</v>
      </c>
      <c r="D669" s="2">
        <v>0</v>
      </c>
      <c r="E669" s="2">
        <v>44323401.890000001</v>
      </c>
      <c r="F669" s="2">
        <v>52761185.899999999</v>
      </c>
      <c r="G669" s="2">
        <v>5</v>
      </c>
      <c r="H669" s="2">
        <v>2</v>
      </c>
      <c r="I669" s="2">
        <v>2</v>
      </c>
      <c r="J669" s="2">
        <v>3.5</v>
      </c>
      <c r="K669" s="2" t="s">
        <v>306</v>
      </c>
      <c r="L669" s="2" t="str">
        <f t="shared" si="60"/>
        <v>Loss Making</v>
      </c>
      <c r="M669" s="2" t="str">
        <f t="shared" si="61"/>
        <v>Stable Earnings</v>
      </c>
      <c r="N669" s="2" t="str">
        <f t="shared" si="62"/>
        <v>Moderate</v>
      </c>
      <c r="O669" s="4" t="str">
        <f t="shared" si="63"/>
        <v>Accounting Risk</v>
      </c>
      <c r="P669" s="4" t="str">
        <f t="shared" si="64"/>
        <v>Moderate</v>
      </c>
      <c r="Q669" s="4" t="str">
        <f t="shared" si="65"/>
        <v>Moderate Growth</v>
      </c>
    </row>
    <row r="670" spans="1:17" x14ac:dyDescent="0.35">
      <c r="A670" s="2" t="s">
        <v>681</v>
      </c>
      <c r="B670" s="2">
        <v>5</v>
      </c>
      <c r="C670" s="2">
        <v>-53057934.840000004</v>
      </c>
      <c r="D670" s="2">
        <v>0</v>
      </c>
      <c r="E670" s="2">
        <v>26905728.010000002</v>
      </c>
      <c r="F670" s="2">
        <v>52756242</v>
      </c>
      <c r="G670" s="2">
        <v>5</v>
      </c>
      <c r="H670" s="2">
        <v>2</v>
      </c>
      <c r="I670" s="2">
        <v>2</v>
      </c>
      <c r="J670" s="2">
        <v>3.5</v>
      </c>
      <c r="K670" s="2" t="s">
        <v>306</v>
      </c>
      <c r="L670" s="2" t="str">
        <f t="shared" si="60"/>
        <v>Loss Making</v>
      </c>
      <c r="M670" s="2" t="str">
        <f t="shared" si="61"/>
        <v>Stable Earnings</v>
      </c>
      <c r="N670" s="2" t="str">
        <f t="shared" si="62"/>
        <v>Moderate</v>
      </c>
      <c r="O670" s="4" t="str">
        <f t="shared" si="63"/>
        <v>Accounting Risk</v>
      </c>
      <c r="P670" s="4" t="str">
        <f t="shared" si="64"/>
        <v>Moderate</v>
      </c>
      <c r="Q670" s="4" t="str">
        <f t="shared" si="65"/>
        <v>Moderate Growth</v>
      </c>
    </row>
    <row r="671" spans="1:17" x14ac:dyDescent="0.35">
      <c r="A671" s="2" t="s">
        <v>682</v>
      </c>
      <c r="B671" s="2">
        <v>5</v>
      </c>
      <c r="C671" s="2">
        <v>-50686975.799999997</v>
      </c>
      <c r="D671" s="2">
        <v>0</v>
      </c>
      <c r="E671" s="2">
        <v>24513956.98</v>
      </c>
      <c r="F671" s="2">
        <v>57087843.5</v>
      </c>
      <c r="G671" s="2">
        <v>5</v>
      </c>
      <c r="H671" s="2">
        <v>2</v>
      </c>
      <c r="I671" s="2">
        <v>2</v>
      </c>
      <c r="J671" s="2">
        <v>3.5</v>
      </c>
      <c r="K671" s="2" t="s">
        <v>306</v>
      </c>
      <c r="L671" s="2" t="str">
        <f t="shared" si="60"/>
        <v>Loss Making</v>
      </c>
      <c r="M671" s="2" t="str">
        <f t="shared" si="61"/>
        <v>Stable Earnings</v>
      </c>
      <c r="N671" s="2" t="str">
        <f t="shared" si="62"/>
        <v>Moderate</v>
      </c>
      <c r="O671" s="4" t="str">
        <f t="shared" si="63"/>
        <v>Accounting Risk</v>
      </c>
      <c r="P671" s="4" t="str">
        <f t="shared" si="64"/>
        <v>Moderate</v>
      </c>
      <c r="Q671" s="4" t="str">
        <f t="shared" si="65"/>
        <v>Moderate Growth</v>
      </c>
    </row>
    <row r="672" spans="1:17" x14ac:dyDescent="0.35">
      <c r="A672" s="2" t="s">
        <v>683</v>
      </c>
      <c r="B672" s="2">
        <v>5</v>
      </c>
      <c r="C672" s="2">
        <v>-113114346.2</v>
      </c>
      <c r="D672" s="2">
        <v>0</v>
      </c>
      <c r="E672" s="2">
        <v>38129909.18</v>
      </c>
      <c r="F672" s="2">
        <v>71555901.5</v>
      </c>
      <c r="G672" s="2">
        <v>5</v>
      </c>
      <c r="H672" s="2">
        <v>2</v>
      </c>
      <c r="I672" s="2">
        <v>2</v>
      </c>
      <c r="J672" s="2">
        <v>3.5</v>
      </c>
      <c r="K672" s="2" t="s">
        <v>306</v>
      </c>
      <c r="L672" s="2" t="str">
        <f t="shared" si="60"/>
        <v>Loss Making</v>
      </c>
      <c r="M672" s="2" t="str">
        <f t="shared" si="61"/>
        <v>Stable Earnings</v>
      </c>
      <c r="N672" s="2" t="str">
        <f t="shared" si="62"/>
        <v>Moderate</v>
      </c>
      <c r="O672" s="4" t="str">
        <f t="shared" si="63"/>
        <v>Accounting Risk</v>
      </c>
      <c r="P672" s="4" t="str">
        <f t="shared" si="64"/>
        <v>Moderate</v>
      </c>
      <c r="Q672" s="4" t="str">
        <f t="shared" si="65"/>
        <v>Moderate Growth</v>
      </c>
    </row>
    <row r="673" spans="1:17" x14ac:dyDescent="0.35">
      <c r="A673" s="2" t="s">
        <v>684</v>
      </c>
      <c r="B673" s="2">
        <v>5</v>
      </c>
      <c r="C673" s="2">
        <v>-65204515.039999999</v>
      </c>
      <c r="D673" s="2">
        <v>0</v>
      </c>
      <c r="E673" s="2">
        <v>30465404.02</v>
      </c>
      <c r="F673" s="2">
        <v>65491113.299999997</v>
      </c>
      <c r="G673" s="2">
        <v>5</v>
      </c>
      <c r="H673" s="2">
        <v>2</v>
      </c>
      <c r="I673" s="2">
        <v>2</v>
      </c>
      <c r="J673" s="2">
        <v>3.5</v>
      </c>
      <c r="K673" s="2" t="s">
        <v>306</v>
      </c>
      <c r="L673" s="2" t="str">
        <f t="shared" si="60"/>
        <v>Loss Making</v>
      </c>
      <c r="M673" s="2" t="str">
        <f t="shared" si="61"/>
        <v>Stable Earnings</v>
      </c>
      <c r="N673" s="2" t="str">
        <f t="shared" si="62"/>
        <v>Moderate</v>
      </c>
      <c r="O673" s="4" t="str">
        <f t="shared" si="63"/>
        <v>Accounting Risk</v>
      </c>
      <c r="P673" s="4" t="str">
        <f t="shared" si="64"/>
        <v>Moderate</v>
      </c>
      <c r="Q673" s="4" t="str">
        <f t="shared" si="65"/>
        <v>Moderate Growth</v>
      </c>
    </row>
    <row r="674" spans="1:17" x14ac:dyDescent="0.35">
      <c r="A674" s="2" t="s">
        <v>685</v>
      </c>
      <c r="B674" s="2">
        <v>5</v>
      </c>
      <c r="C674" s="2">
        <v>-57506838.799999997</v>
      </c>
      <c r="D674" s="2">
        <v>0</v>
      </c>
      <c r="E674" s="2">
        <v>29408388.879999999</v>
      </c>
      <c r="F674" s="2">
        <v>37493121</v>
      </c>
      <c r="G674" s="2">
        <v>5</v>
      </c>
      <c r="H674" s="2">
        <v>2</v>
      </c>
      <c r="I674" s="2">
        <v>2</v>
      </c>
      <c r="J674" s="2">
        <v>3.5</v>
      </c>
      <c r="K674" s="2" t="s">
        <v>306</v>
      </c>
      <c r="L674" s="2" t="str">
        <f t="shared" si="60"/>
        <v>Loss Making</v>
      </c>
      <c r="M674" s="2" t="str">
        <f t="shared" si="61"/>
        <v>Stable Earnings</v>
      </c>
      <c r="N674" s="2" t="str">
        <f t="shared" si="62"/>
        <v>Moderate</v>
      </c>
      <c r="O674" s="4" t="str">
        <f t="shared" si="63"/>
        <v>Accounting Risk</v>
      </c>
      <c r="P674" s="4" t="str">
        <f t="shared" si="64"/>
        <v>Moderate</v>
      </c>
      <c r="Q674" s="4" t="str">
        <f t="shared" si="65"/>
        <v>Moderate Growth</v>
      </c>
    </row>
    <row r="675" spans="1:17" x14ac:dyDescent="0.35">
      <c r="A675" s="2" t="s">
        <v>686</v>
      </c>
      <c r="B675" s="2">
        <v>5</v>
      </c>
      <c r="C675" s="2">
        <v>-49625390.740000002</v>
      </c>
      <c r="D675" s="2">
        <v>0</v>
      </c>
      <c r="E675" s="2">
        <v>15688899.34</v>
      </c>
      <c r="F675" s="2">
        <v>32794106.399999999</v>
      </c>
      <c r="G675" s="2">
        <v>5</v>
      </c>
      <c r="H675" s="2">
        <v>2</v>
      </c>
      <c r="I675" s="2">
        <v>2</v>
      </c>
      <c r="J675" s="2">
        <v>3.5</v>
      </c>
      <c r="K675" s="2" t="s">
        <v>306</v>
      </c>
      <c r="L675" s="2" t="str">
        <f t="shared" si="60"/>
        <v>Loss Making</v>
      </c>
      <c r="M675" s="2" t="str">
        <f t="shared" si="61"/>
        <v>Stable Earnings</v>
      </c>
      <c r="N675" s="2" t="str">
        <f t="shared" si="62"/>
        <v>Moderate</v>
      </c>
      <c r="O675" s="4" t="str">
        <f t="shared" si="63"/>
        <v>Accounting Risk</v>
      </c>
      <c r="P675" s="4" t="str">
        <f t="shared" si="64"/>
        <v>Moderate</v>
      </c>
      <c r="Q675" s="4" t="str">
        <f t="shared" si="65"/>
        <v>Moderate Growth</v>
      </c>
    </row>
    <row r="676" spans="1:17" x14ac:dyDescent="0.35">
      <c r="A676" s="2" t="s">
        <v>687</v>
      </c>
      <c r="B676" s="2">
        <v>5</v>
      </c>
      <c r="C676" s="2">
        <v>-81139458.859999999</v>
      </c>
      <c r="D676" s="2">
        <v>0</v>
      </c>
      <c r="E676" s="2">
        <v>33536624.440000001</v>
      </c>
      <c r="F676" s="2">
        <v>31776119.699999999</v>
      </c>
      <c r="G676" s="2">
        <v>5</v>
      </c>
      <c r="H676" s="2">
        <v>2</v>
      </c>
      <c r="I676" s="2">
        <v>2</v>
      </c>
      <c r="J676" s="2">
        <v>3.5</v>
      </c>
      <c r="K676" s="2" t="s">
        <v>306</v>
      </c>
      <c r="L676" s="2" t="str">
        <f t="shared" si="60"/>
        <v>Loss Making</v>
      </c>
      <c r="M676" s="2" t="str">
        <f t="shared" si="61"/>
        <v>Stable Earnings</v>
      </c>
      <c r="N676" s="2" t="str">
        <f t="shared" si="62"/>
        <v>Moderate</v>
      </c>
      <c r="O676" s="4" t="str">
        <f t="shared" si="63"/>
        <v>Accounting Risk</v>
      </c>
      <c r="P676" s="4" t="str">
        <f t="shared" si="64"/>
        <v>Moderate</v>
      </c>
      <c r="Q676" s="4" t="str">
        <f t="shared" si="65"/>
        <v>Moderate Growth</v>
      </c>
    </row>
    <row r="677" spans="1:17" x14ac:dyDescent="0.35">
      <c r="A677" s="2" t="s">
        <v>688</v>
      </c>
      <c r="B677" s="2">
        <v>5</v>
      </c>
      <c r="C677" s="2">
        <v>-20609094.539999999</v>
      </c>
      <c r="D677" s="2">
        <v>0</v>
      </c>
      <c r="E677" s="2">
        <v>25938091.52</v>
      </c>
      <c r="F677" s="2">
        <v>30485821</v>
      </c>
      <c r="G677" s="2">
        <v>5</v>
      </c>
      <c r="H677" s="2">
        <v>2</v>
      </c>
      <c r="I677" s="2">
        <v>2</v>
      </c>
      <c r="J677" s="2">
        <v>3.5</v>
      </c>
      <c r="K677" s="2" t="s">
        <v>306</v>
      </c>
      <c r="L677" s="2" t="str">
        <f t="shared" si="60"/>
        <v>Loss Making</v>
      </c>
      <c r="M677" s="2" t="str">
        <f t="shared" si="61"/>
        <v>Stable Earnings</v>
      </c>
      <c r="N677" s="2" t="str">
        <f t="shared" si="62"/>
        <v>Moderate</v>
      </c>
      <c r="O677" s="4" t="str">
        <f t="shared" si="63"/>
        <v>Accounting Risk</v>
      </c>
      <c r="P677" s="4" t="str">
        <f t="shared" si="64"/>
        <v>Moderate</v>
      </c>
      <c r="Q677" s="4" t="str">
        <f t="shared" si="65"/>
        <v>Moderate Growth</v>
      </c>
    </row>
    <row r="678" spans="1:17" x14ac:dyDescent="0.35">
      <c r="A678" s="2" t="s">
        <v>689</v>
      </c>
      <c r="B678" s="2">
        <v>5</v>
      </c>
      <c r="C678" s="2">
        <v>-51626848.640000001</v>
      </c>
      <c r="D678" s="2">
        <v>0.2</v>
      </c>
      <c r="E678" s="2">
        <v>103523640.8</v>
      </c>
      <c r="F678" s="2">
        <v>7885919.5999999996</v>
      </c>
      <c r="G678" s="2">
        <v>4</v>
      </c>
      <c r="H678" s="2">
        <v>3</v>
      </c>
      <c r="I678" s="2">
        <v>3</v>
      </c>
      <c r="J678" s="2">
        <v>3.5</v>
      </c>
      <c r="K678" s="2" t="s">
        <v>306</v>
      </c>
      <c r="L678" s="2" t="str">
        <f t="shared" si="60"/>
        <v>Loss Making</v>
      </c>
      <c r="M678" s="2" t="str">
        <f t="shared" si="61"/>
        <v>Stable Earnings</v>
      </c>
      <c r="N678" s="2" t="str">
        <f t="shared" si="62"/>
        <v>Moderate</v>
      </c>
      <c r="O678" s="4" t="str">
        <f t="shared" si="63"/>
        <v>Accounting Risk</v>
      </c>
      <c r="P678" s="4" t="str">
        <f t="shared" si="64"/>
        <v>Moderate</v>
      </c>
      <c r="Q678" s="4" t="str">
        <f t="shared" si="65"/>
        <v>Moderate Growth</v>
      </c>
    </row>
    <row r="679" spans="1:17" x14ac:dyDescent="0.35">
      <c r="A679" s="2" t="s">
        <v>690</v>
      </c>
      <c r="B679" s="2">
        <v>5</v>
      </c>
      <c r="C679" s="2">
        <v>-83862450.819999993</v>
      </c>
      <c r="D679" s="2">
        <v>0.2</v>
      </c>
      <c r="E679" s="2">
        <v>52234672.090000004</v>
      </c>
      <c r="F679" s="2">
        <v>10957978.4</v>
      </c>
      <c r="G679" s="2">
        <v>4</v>
      </c>
      <c r="H679" s="2">
        <v>3</v>
      </c>
      <c r="I679" s="2">
        <v>3</v>
      </c>
      <c r="J679" s="2">
        <v>3.5</v>
      </c>
      <c r="K679" s="2" t="s">
        <v>306</v>
      </c>
      <c r="L679" s="2" t="str">
        <f t="shared" si="60"/>
        <v>Loss Making</v>
      </c>
      <c r="M679" s="2" t="str">
        <f t="shared" si="61"/>
        <v>Stable Earnings</v>
      </c>
      <c r="N679" s="2" t="str">
        <f t="shared" si="62"/>
        <v>Moderate</v>
      </c>
      <c r="O679" s="4" t="str">
        <f t="shared" si="63"/>
        <v>Accounting Risk</v>
      </c>
      <c r="P679" s="4" t="str">
        <f t="shared" si="64"/>
        <v>Moderate</v>
      </c>
      <c r="Q679" s="4" t="str">
        <f t="shared" si="65"/>
        <v>Moderate Growth</v>
      </c>
    </row>
    <row r="680" spans="1:17" x14ac:dyDescent="0.35">
      <c r="A680" s="2" t="s">
        <v>691</v>
      </c>
      <c r="B680" s="2">
        <v>5</v>
      </c>
      <c r="C680" s="2">
        <v>-38598946.020000003</v>
      </c>
      <c r="D680" s="2">
        <v>0.2</v>
      </c>
      <c r="E680" s="2">
        <v>55213058.140000001</v>
      </c>
      <c r="F680" s="2">
        <v>14550523.199999999</v>
      </c>
      <c r="G680" s="2">
        <v>4</v>
      </c>
      <c r="H680" s="2">
        <v>3</v>
      </c>
      <c r="I680" s="2">
        <v>3</v>
      </c>
      <c r="J680" s="2">
        <v>3.5</v>
      </c>
      <c r="K680" s="2" t="s">
        <v>306</v>
      </c>
      <c r="L680" s="2" t="str">
        <f t="shared" si="60"/>
        <v>Loss Making</v>
      </c>
      <c r="M680" s="2" t="str">
        <f t="shared" si="61"/>
        <v>Stable Earnings</v>
      </c>
      <c r="N680" s="2" t="str">
        <f t="shared" si="62"/>
        <v>Moderate</v>
      </c>
      <c r="O680" s="4" t="str">
        <f t="shared" si="63"/>
        <v>Accounting Risk</v>
      </c>
      <c r="P680" s="4" t="str">
        <f t="shared" si="64"/>
        <v>Moderate</v>
      </c>
      <c r="Q680" s="4" t="str">
        <f t="shared" si="65"/>
        <v>Moderate Growth</v>
      </c>
    </row>
    <row r="681" spans="1:17" x14ac:dyDescent="0.35">
      <c r="A681" s="2" t="s">
        <v>692</v>
      </c>
      <c r="B681" s="2">
        <v>5</v>
      </c>
      <c r="C681" s="2">
        <v>36196870.840000004</v>
      </c>
      <c r="D681" s="2">
        <v>0.6</v>
      </c>
      <c r="E681" s="2">
        <v>181545081.5</v>
      </c>
      <c r="F681" s="2">
        <v>-36877094.200000003</v>
      </c>
      <c r="G681" s="2">
        <v>3</v>
      </c>
      <c r="H681" s="2">
        <v>4</v>
      </c>
      <c r="I681" s="2">
        <v>4</v>
      </c>
      <c r="J681" s="2">
        <v>3.5</v>
      </c>
      <c r="K681" s="2" t="s">
        <v>306</v>
      </c>
      <c r="L681" s="2" t="str">
        <f t="shared" si="60"/>
        <v>Profitable</v>
      </c>
      <c r="M681" s="2" t="str">
        <f t="shared" si="61"/>
        <v>Stable Earnings</v>
      </c>
      <c r="N681" s="2" t="str">
        <f t="shared" si="62"/>
        <v>Low Quality</v>
      </c>
      <c r="O681" s="4" t="str">
        <f t="shared" si="63"/>
        <v>Accounting Risk</v>
      </c>
      <c r="P681" s="4" t="str">
        <f t="shared" si="64"/>
        <v>Low Quality</v>
      </c>
      <c r="Q681" s="4" t="str">
        <f t="shared" si="65"/>
        <v>Strong Long-Term Growth</v>
      </c>
    </row>
    <row r="682" spans="1:17" x14ac:dyDescent="0.35">
      <c r="A682" s="2" t="s">
        <v>693</v>
      </c>
      <c r="B682" s="2">
        <v>5</v>
      </c>
      <c r="C682" s="2">
        <v>-27139657.359999999</v>
      </c>
      <c r="D682" s="2">
        <v>0.6</v>
      </c>
      <c r="E682" s="2">
        <v>142758846.30000001</v>
      </c>
      <c r="F682" s="2">
        <v>-26079001.699999999</v>
      </c>
      <c r="G682" s="2">
        <v>3</v>
      </c>
      <c r="H682" s="2">
        <v>4</v>
      </c>
      <c r="I682" s="2">
        <v>4</v>
      </c>
      <c r="J682" s="2">
        <v>3.5</v>
      </c>
      <c r="K682" s="2" t="s">
        <v>306</v>
      </c>
      <c r="L682" s="2" t="str">
        <f t="shared" si="60"/>
        <v>Loss Making</v>
      </c>
      <c r="M682" s="2" t="str">
        <f t="shared" si="61"/>
        <v>Stable Earnings</v>
      </c>
      <c r="N682" s="2" t="str">
        <f t="shared" si="62"/>
        <v>Low Quality</v>
      </c>
      <c r="O682" s="4" t="str">
        <f t="shared" si="63"/>
        <v>Accounting Risk</v>
      </c>
      <c r="P682" s="4" t="str">
        <f t="shared" si="64"/>
        <v>Low Quality</v>
      </c>
      <c r="Q682" s="4" t="str">
        <f t="shared" si="65"/>
        <v>Strong Long-Term Growth</v>
      </c>
    </row>
    <row r="683" spans="1:17" x14ac:dyDescent="0.35">
      <c r="A683" s="2" t="s">
        <v>694</v>
      </c>
      <c r="B683" s="2">
        <v>5</v>
      </c>
      <c r="C683" s="2">
        <v>17803932.379999999</v>
      </c>
      <c r="D683" s="2">
        <v>0.8</v>
      </c>
      <c r="E683" s="2">
        <v>155352080.80000001</v>
      </c>
      <c r="F683" s="2">
        <v>-23513329.100000001</v>
      </c>
      <c r="G683" s="2">
        <v>3</v>
      </c>
      <c r="H683" s="2">
        <v>4</v>
      </c>
      <c r="I683" s="2">
        <v>4</v>
      </c>
      <c r="J683" s="2">
        <v>3.5</v>
      </c>
      <c r="K683" s="2" t="s">
        <v>306</v>
      </c>
      <c r="L683" s="2" t="str">
        <f t="shared" si="60"/>
        <v>Profitable</v>
      </c>
      <c r="M683" s="2" t="str">
        <f t="shared" si="61"/>
        <v>Stable Earnings</v>
      </c>
      <c r="N683" s="2" t="str">
        <f t="shared" si="62"/>
        <v>Low Quality</v>
      </c>
      <c r="O683" s="4" t="str">
        <f t="shared" si="63"/>
        <v>Accounting Risk</v>
      </c>
      <c r="P683" s="4" t="str">
        <f t="shared" si="64"/>
        <v>Low Quality</v>
      </c>
      <c r="Q683" s="4" t="str">
        <f t="shared" si="65"/>
        <v>Strong Long-Term Growth</v>
      </c>
    </row>
    <row r="684" spans="1:17" x14ac:dyDescent="0.35">
      <c r="A684" s="2" t="s">
        <v>695</v>
      </c>
      <c r="B684" s="2">
        <v>5</v>
      </c>
      <c r="C684" s="2">
        <v>-61508288</v>
      </c>
      <c r="D684" s="2">
        <v>0.6</v>
      </c>
      <c r="E684" s="2">
        <v>152322249.40000001</v>
      </c>
      <c r="F684" s="2">
        <v>-7163145.5</v>
      </c>
      <c r="G684" s="2">
        <v>3</v>
      </c>
      <c r="H684" s="2">
        <v>4</v>
      </c>
      <c r="I684" s="2">
        <v>4</v>
      </c>
      <c r="J684" s="2">
        <v>3.5</v>
      </c>
      <c r="K684" s="2" t="s">
        <v>306</v>
      </c>
      <c r="L684" s="2" t="str">
        <f t="shared" si="60"/>
        <v>Loss Making</v>
      </c>
      <c r="M684" s="2" t="str">
        <f t="shared" si="61"/>
        <v>Stable Earnings</v>
      </c>
      <c r="N684" s="2" t="str">
        <f t="shared" si="62"/>
        <v>Low Quality</v>
      </c>
      <c r="O684" s="4" t="str">
        <f t="shared" si="63"/>
        <v>Accounting Risk</v>
      </c>
      <c r="P684" s="4" t="str">
        <f t="shared" si="64"/>
        <v>Low Quality</v>
      </c>
      <c r="Q684" s="4" t="str">
        <f t="shared" si="65"/>
        <v>Strong Long-Term Growth</v>
      </c>
    </row>
    <row r="685" spans="1:17" x14ac:dyDescent="0.35">
      <c r="A685" s="2" t="s">
        <v>696</v>
      </c>
      <c r="B685" s="2">
        <v>5</v>
      </c>
      <c r="C685" s="2">
        <v>37411560.780000001</v>
      </c>
      <c r="D685" s="2">
        <v>0.4</v>
      </c>
      <c r="E685" s="2">
        <v>74324861.700000003</v>
      </c>
      <c r="F685" s="2">
        <v>-5112128.0999999996</v>
      </c>
      <c r="G685" s="2">
        <v>4</v>
      </c>
      <c r="H685" s="2">
        <v>3</v>
      </c>
      <c r="I685" s="2">
        <v>3</v>
      </c>
      <c r="J685" s="2">
        <v>3.5</v>
      </c>
      <c r="K685" s="2" t="s">
        <v>306</v>
      </c>
      <c r="L685" s="2" t="str">
        <f t="shared" si="60"/>
        <v>Profitable</v>
      </c>
      <c r="M685" s="2" t="str">
        <f t="shared" si="61"/>
        <v>Stable Earnings</v>
      </c>
      <c r="N685" s="2" t="str">
        <f t="shared" si="62"/>
        <v>Moderate</v>
      </c>
      <c r="O685" s="4" t="str">
        <f t="shared" si="63"/>
        <v>Accounting Risk</v>
      </c>
      <c r="P685" s="4" t="str">
        <f t="shared" si="64"/>
        <v>Moderate</v>
      </c>
      <c r="Q685" s="4" t="str">
        <f t="shared" si="65"/>
        <v>Moderate Growth</v>
      </c>
    </row>
    <row r="686" spans="1:17" x14ac:dyDescent="0.35">
      <c r="A686" s="2" t="s">
        <v>697</v>
      </c>
      <c r="B686" s="2">
        <v>5</v>
      </c>
      <c r="C686" s="2">
        <v>-77965423.140000001</v>
      </c>
      <c r="D686" s="2">
        <v>0.6</v>
      </c>
      <c r="E686" s="2">
        <v>166666007.5</v>
      </c>
      <c r="F686" s="2">
        <v>-5991653.7000000002</v>
      </c>
      <c r="G686" s="2">
        <v>3</v>
      </c>
      <c r="H686" s="2">
        <v>4</v>
      </c>
      <c r="I686" s="2">
        <v>4</v>
      </c>
      <c r="J686" s="2">
        <v>3.5</v>
      </c>
      <c r="K686" s="2" t="s">
        <v>306</v>
      </c>
      <c r="L686" s="2" t="str">
        <f t="shared" si="60"/>
        <v>Loss Making</v>
      </c>
      <c r="M686" s="2" t="str">
        <f t="shared" si="61"/>
        <v>Stable Earnings</v>
      </c>
      <c r="N686" s="2" t="str">
        <f t="shared" si="62"/>
        <v>Low Quality</v>
      </c>
      <c r="O686" s="4" t="str">
        <f t="shared" si="63"/>
        <v>Accounting Risk</v>
      </c>
      <c r="P686" s="4" t="str">
        <f t="shared" si="64"/>
        <v>Low Quality</v>
      </c>
      <c r="Q686" s="4" t="str">
        <f t="shared" si="65"/>
        <v>Strong Long-Term Growth</v>
      </c>
    </row>
    <row r="687" spans="1:17" x14ac:dyDescent="0.35">
      <c r="A687" s="2" t="s">
        <v>698</v>
      </c>
      <c r="B687" s="2">
        <v>5</v>
      </c>
      <c r="C687" s="2">
        <v>-63561414.439999998</v>
      </c>
      <c r="D687" s="2">
        <v>0.2</v>
      </c>
      <c r="E687" s="2">
        <v>80709748.819999993</v>
      </c>
      <c r="F687" s="2">
        <v>-3585378.6</v>
      </c>
      <c r="G687" s="2">
        <v>4</v>
      </c>
      <c r="H687" s="2">
        <v>3</v>
      </c>
      <c r="I687" s="2">
        <v>3</v>
      </c>
      <c r="J687" s="2">
        <v>3.5</v>
      </c>
      <c r="K687" s="2" t="s">
        <v>306</v>
      </c>
      <c r="L687" s="2" t="str">
        <f t="shared" si="60"/>
        <v>Loss Making</v>
      </c>
      <c r="M687" s="2" t="str">
        <f t="shared" si="61"/>
        <v>Stable Earnings</v>
      </c>
      <c r="N687" s="2" t="str">
        <f t="shared" si="62"/>
        <v>Moderate</v>
      </c>
      <c r="O687" s="4" t="str">
        <f t="shared" si="63"/>
        <v>Accounting Risk</v>
      </c>
      <c r="P687" s="4" t="str">
        <f t="shared" si="64"/>
        <v>Moderate</v>
      </c>
      <c r="Q687" s="4" t="str">
        <f t="shared" si="65"/>
        <v>Moderate Growth</v>
      </c>
    </row>
    <row r="688" spans="1:17" x14ac:dyDescent="0.35">
      <c r="A688" s="2" t="s">
        <v>699</v>
      </c>
      <c r="B688" s="2">
        <v>5</v>
      </c>
      <c r="C688" s="2">
        <v>-83106534.980000004</v>
      </c>
      <c r="D688" s="2">
        <v>0</v>
      </c>
      <c r="E688" s="2">
        <v>82439401.659999996</v>
      </c>
      <c r="F688" s="2">
        <v>-3866595.5</v>
      </c>
      <c r="G688" s="2">
        <v>4</v>
      </c>
      <c r="H688" s="2">
        <v>3</v>
      </c>
      <c r="I688" s="2">
        <v>3</v>
      </c>
      <c r="J688" s="2">
        <v>3.5</v>
      </c>
      <c r="K688" s="2" t="s">
        <v>306</v>
      </c>
      <c r="L688" s="2" t="str">
        <f t="shared" si="60"/>
        <v>Loss Making</v>
      </c>
      <c r="M688" s="2" t="str">
        <f t="shared" si="61"/>
        <v>Stable Earnings</v>
      </c>
      <c r="N688" s="2" t="str">
        <f t="shared" si="62"/>
        <v>Moderate</v>
      </c>
      <c r="O688" s="4" t="str">
        <f t="shared" si="63"/>
        <v>Accounting Risk</v>
      </c>
      <c r="P688" s="4" t="str">
        <f t="shared" si="64"/>
        <v>Moderate</v>
      </c>
      <c r="Q688" s="4" t="str">
        <f t="shared" si="65"/>
        <v>Moderate Growth</v>
      </c>
    </row>
    <row r="689" spans="1:17" x14ac:dyDescent="0.35">
      <c r="A689" s="2" t="b">
        <v>1</v>
      </c>
      <c r="B689" s="2">
        <v>5</v>
      </c>
      <c r="C689" s="2">
        <v>-37249208.079999998</v>
      </c>
      <c r="D689" s="2">
        <v>0.2</v>
      </c>
      <c r="E689" s="2">
        <v>68229458.120000005</v>
      </c>
      <c r="F689" s="2">
        <v>5040706.3</v>
      </c>
      <c r="G689" s="2">
        <v>4</v>
      </c>
      <c r="H689" s="2">
        <v>3</v>
      </c>
      <c r="I689" s="2">
        <v>3</v>
      </c>
      <c r="J689" s="2">
        <v>3.5</v>
      </c>
      <c r="K689" s="2" t="s">
        <v>306</v>
      </c>
      <c r="L689" s="2" t="str">
        <f t="shared" si="60"/>
        <v>Loss Making</v>
      </c>
      <c r="M689" s="2" t="str">
        <f t="shared" si="61"/>
        <v>Stable Earnings</v>
      </c>
      <c r="N689" s="2" t="str">
        <f t="shared" si="62"/>
        <v>Moderate</v>
      </c>
      <c r="O689" s="4" t="str">
        <f t="shared" si="63"/>
        <v>Accounting Risk</v>
      </c>
      <c r="P689" s="4" t="str">
        <f t="shared" si="64"/>
        <v>Moderate</v>
      </c>
      <c r="Q689" s="4" t="str">
        <f t="shared" si="65"/>
        <v>Moderate Growth</v>
      </c>
    </row>
    <row r="690" spans="1:17" x14ac:dyDescent="0.35">
      <c r="A690" s="2" t="s">
        <v>700</v>
      </c>
      <c r="B690" s="2">
        <v>5</v>
      </c>
      <c r="C690" s="2">
        <v>-26528114.079999998</v>
      </c>
      <c r="D690" s="2">
        <v>0.2</v>
      </c>
      <c r="E690" s="2">
        <v>82524601.370000005</v>
      </c>
      <c r="F690" s="2">
        <v>4507761.9000000004</v>
      </c>
      <c r="G690" s="2">
        <v>4</v>
      </c>
      <c r="H690" s="2">
        <v>3</v>
      </c>
      <c r="I690" s="2">
        <v>3</v>
      </c>
      <c r="J690" s="2">
        <v>3.5</v>
      </c>
      <c r="K690" s="2" t="s">
        <v>306</v>
      </c>
      <c r="L690" s="2" t="str">
        <f t="shared" si="60"/>
        <v>Loss Making</v>
      </c>
      <c r="M690" s="2" t="str">
        <f t="shared" si="61"/>
        <v>Stable Earnings</v>
      </c>
      <c r="N690" s="2" t="str">
        <f t="shared" si="62"/>
        <v>Moderate</v>
      </c>
      <c r="O690" s="4" t="str">
        <f t="shared" si="63"/>
        <v>Accounting Risk</v>
      </c>
      <c r="P690" s="4" t="str">
        <f t="shared" si="64"/>
        <v>Moderate</v>
      </c>
      <c r="Q690" s="4" t="str">
        <f t="shared" si="65"/>
        <v>Moderate Growth</v>
      </c>
    </row>
    <row r="691" spans="1:17" x14ac:dyDescent="0.35">
      <c r="A691" s="2" t="s">
        <v>701</v>
      </c>
      <c r="B691" s="2">
        <v>5</v>
      </c>
      <c r="C691" s="2">
        <v>27270788</v>
      </c>
      <c r="D691" s="2">
        <v>0.4</v>
      </c>
      <c r="E691" s="2">
        <v>70335217.75</v>
      </c>
      <c r="F691" s="2">
        <v>6078459.5</v>
      </c>
      <c r="G691" s="2">
        <v>4</v>
      </c>
      <c r="H691" s="2">
        <v>3</v>
      </c>
      <c r="I691" s="2">
        <v>3</v>
      </c>
      <c r="J691" s="2">
        <v>3.5</v>
      </c>
      <c r="K691" s="2" t="s">
        <v>306</v>
      </c>
      <c r="L691" s="2" t="str">
        <f t="shared" si="60"/>
        <v>Profitable</v>
      </c>
      <c r="M691" s="2" t="str">
        <f t="shared" si="61"/>
        <v>Stable Earnings</v>
      </c>
      <c r="N691" s="2" t="str">
        <f t="shared" si="62"/>
        <v>Moderate</v>
      </c>
      <c r="O691" s="4" t="str">
        <f t="shared" si="63"/>
        <v>Accounting Risk</v>
      </c>
      <c r="P691" s="4" t="str">
        <f t="shared" si="64"/>
        <v>Moderate</v>
      </c>
      <c r="Q691" s="4" t="str">
        <f t="shared" si="65"/>
        <v>Moderate Growth</v>
      </c>
    </row>
    <row r="692" spans="1:17" x14ac:dyDescent="0.35">
      <c r="A692" s="2" t="s">
        <v>702</v>
      </c>
      <c r="B692" s="2">
        <v>5</v>
      </c>
      <c r="C692" s="2">
        <v>53153834.740000002</v>
      </c>
      <c r="D692" s="2">
        <v>0.6</v>
      </c>
      <c r="E692" s="2">
        <v>113061915.09999999</v>
      </c>
      <c r="F692" s="2">
        <v>-50379061.200000003</v>
      </c>
      <c r="G692" s="2">
        <v>3</v>
      </c>
      <c r="H692" s="2">
        <v>4</v>
      </c>
      <c r="I692" s="2">
        <v>4</v>
      </c>
      <c r="J692" s="2">
        <v>3.5</v>
      </c>
      <c r="K692" s="2" t="s">
        <v>306</v>
      </c>
      <c r="L692" s="2" t="str">
        <f t="shared" si="60"/>
        <v>Profitable</v>
      </c>
      <c r="M692" s="2" t="str">
        <f t="shared" si="61"/>
        <v>Stable Earnings</v>
      </c>
      <c r="N692" s="2" t="str">
        <f t="shared" si="62"/>
        <v>Low Quality</v>
      </c>
      <c r="O692" s="4" t="str">
        <f t="shared" si="63"/>
        <v>Accounting Risk</v>
      </c>
      <c r="P692" s="4" t="str">
        <f t="shared" si="64"/>
        <v>Low Quality</v>
      </c>
      <c r="Q692" s="4" t="str">
        <f t="shared" si="65"/>
        <v>Strong Long-Term Growth</v>
      </c>
    </row>
    <row r="693" spans="1:17" x14ac:dyDescent="0.35">
      <c r="A693" s="2" t="s">
        <v>703</v>
      </c>
      <c r="B693" s="2">
        <v>5</v>
      </c>
      <c r="C693" s="2">
        <v>-90088484.519999996</v>
      </c>
      <c r="D693" s="2">
        <v>0.6</v>
      </c>
      <c r="E693" s="2">
        <v>236060425.80000001</v>
      </c>
      <c r="F693" s="2">
        <v>-51728902.100000001</v>
      </c>
      <c r="G693" s="2">
        <v>3</v>
      </c>
      <c r="H693" s="2">
        <v>4</v>
      </c>
      <c r="I693" s="2">
        <v>4</v>
      </c>
      <c r="J693" s="2">
        <v>3.5</v>
      </c>
      <c r="K693" s="2" t="s">
        <v>306</v>
      </c>
      <c r="L693" s="2" t="str">
        <f t="shared" si="60"/>
        <v>Loss Making</v>
      </c>
      <c r="M693" s="2" t="str">
        <f t="shared" si="61"/>
        <v>Stable Earnings</v>
      </c>
      <c r="N693" s="2" t="str">
        <f t="shared" si="62"/>
        <v>Low Quality</v>
      </c>
      <c r="O693" s="4" t="str">
        <f t="shared" si="63"/>
        <v>Accounting Risk</v>
      </c>
      <c r="P693" s="4" t="str">
        <f t="shared" si="64"/>
        <v>Low Quality</v>
      </c>
      <c r="Q693" s="4" t="str">
        <f t="shared" si="65"/>
        <v>Strong Long-Term Growth</v>
      </c>
    </row>
    <row r="694" spans="1:17" x14ac:dyDescent="0.35">
      <c r="A694" s="2" t="s">
        <v>704</v>
      </c>
      <c r="B694" s="2">
        <v>5</v>
      </c>
      <c r="C694" s="2">
        <v>-12990257.119999999</v>
      </c>
      <c r="D694" s="2">
        <v>0.8</v>
      </c>
      <c r="E694" s="2">
        <v>283176859.30000001</v>
      </c>
      <c r="F694" s="2">
        <v>-63847095.299999997</v>
      </c>
      <c r="G694" s="2">
        <v>3</v>
      </c>
      <c r="H694" s="2">
        <v>4</v>
      </c>
      <c r="I694" s="2">
        <v>4</v>
      </c>
      <c r="J694" s="2">
        <v>3.5</v>
      </c>
      <c r="K694" s="2" t="s">
        <v>306</v>
      </c>
      <c r="L694" s="2" t="str">
        <f t="shared" si="60"/>
        <v>Loss Making</v>
      </c>
      <c r="M694" s="2" t="str">
        <f t="shared" si="61"/>
        <v>Stable Earnings</v>
      </c>
      <c r="N694" s="2" t="str">
        <f t="shared" si="62"/>
        <v>Low Quality</v>
      </c>
      <c r="O694" s="4" t="str">
        <f t="shared" si="63"/>
        <v>Accounting Risk</v>
      </c>
      <c r="P694" s="4" t="str">
        <f t="shared" si="64"/>
        <v>Low Quality</v>
      </c>
      <c r="Q694" s="4" t="str">
        <f t="shared" si="65"/>
        <v>Strong Long-Term Growth</v>
      </c>
    </row>
    <row r="695" spans="1:17" x14ac:dyDescent="0.35">
      <c r="A695" s="2" t="s">
        <v>705</v>
      </c>
      <c r="B695" s="2">
        <v>5</v>
      </c>
      <c r="C695" s="2">
        <v>813486189.29999995</v>
      </c>
      <c r="D695" s="2">
        <v>1</v>
      </c>
      <c r="E695" s="2">
        <v>430021359.69999999</v>
      </c>
      <c r="F695" s="2">
        <v>-95435789.5</v>
      </c>
      <c r="G695" s="2">
        <v>2</v>
      </c>
      <c r="H695" s="2">
        <v>5</v>
      </c>
      <c r="I695" s="2">
        <v>5</v>
      </c>
      <c r="J695" s="2">
        <v>3.5</v>
      </c>
      <c r="K695" s="2" t="s">
        <v>306</v>
      </c>
      <c r="L695" s="2" t="str">
        <f t="shared" si="60"/>
        <v>Profitable</v>
      </c>
      <c r="M695" s="2" t="str">
        <f t="shared" si="61"/>
        <v>High Volatility</v>
      </c>
      <c r="N695" s="2" t="str">
        <f t="shared" si="62"/>
        <v>Low Quality</v>
      </c>
      <c r="O695" s="4" t="str">
        <f t="shared" si="63"/>
        <v>Accounting Risk</v>
      </c>
      <c r="P695" s="4" t="str">
        <f t="shared" si="64"/>
        <v>Low Quality</v>
      </c>
      <c r="Q695" s="4" t="str">
        <f t="shared" si="65"/>
        <v>Strong Long-Term Growth</v>
      </c>
    </row>
    <row r="696" spans="1:17" x14ac:dyDescent="0.35">
      <c r="A696" s="2" t="s">
        <v>706</v>
      </c>
      <c r="B696" s="2">
        <v>5</v>
      </c>
      <c r="C696" s="2">
        <v>1637209723</v>
      </c>
      <c r="D696" s="2">
        <v>0.8</v>
      </c>
      <c r="E696" s="2">
        <v>1080059758</v>
      </c>
      <c r="F696" s="2">
        <v>-84135171</v>
      </c>
      <c r="G696" s="2">
        <v>2</v>
      </c>
      <c r="H696" s="2">
        <v>5</v>
      </c>
      <c r="I696" s="2">
        <v>5</v>
      </c>
      <c r="J696" s="2">
        <v>3.5</v>
      </c>
      <c r="K696" s="2" t="s">
        <v>306</v>
      </c>
      <c r="L696" s="2" t="str">
        <f t="shared" si="60"/>
        <v>Profitable</v>
      </c>
      <c r="M696" s="2" t="str">
        <f t="shared" si="61"/>
        <v>High Volatility</v>
      </c>
      <c r="N696" s="2" t="str">
        <f t="shared" si="62"/>
        <v>Low Quality</v>
      </c>
      <c r="O696" s="4" t="str">
        <f t="shared" si="63"/>
        <v>Accounting Risk</v>
      </c>
      <c r="P696" s="4" t="str">
        <f t="shared" si="64"/>
        <v>Low Quality</v>
      </c>
      <c r="Q696" s="4" t="str">
        <f t="shared" si="65"/>
        <v>Strong Long-Term Growth</v>
      </c>
    </row>
    <row r="697" spans="1:17" x14ac:dyDescent="0.35">
      <c r="A697" s="2" t="s">
        <v>707</v>
      </c>
      <c r="B697" s="2">
        <v>5</v>
      </c>
      <c r="C697" s="2">
        <v>542538153.5</v>
      </c>
      <c r="D697" s="2">
        <v>0.8</v>
      </c>
      <c r="E697" s="2">
        <v>553959293.89999998</v>
      </c>
      <c r="F697" s="2">
        <v>-117445575</v>
      </c>
      <c r="G697" s="2">
        <v>2</v>
      </c>
      <c r="H697" s="2">
        <v>5</v>
      </c>
      <c r="I697" s="2">
        <v>5</v>
      </c>
      <c r="J697" s="2">
        <v>3.5</v>
      </c>
      <c r="K697" s="2" t="s">
        <v>306</v>
      </c>
      <c r="L697" s="2" t="str">
        <f t="shared" si="60"/>
        <v>Profitable</v>
      </c>
      <c r="M697" s="2" t="str">
        <f t="shared" si="61"/>
        <v>High Volatility</v>
      </c>
      <c r="N697" s="2" t="str">
        <f t="shared" si="62"/>
        <v>Low Quality</v>
      </c>
      <c r="O697" s="4" t="str">
        <f t="shared" si="63"/>
        <v>Accounting Risk</v>
      </c>
      <c r="P697" s="4" t="str">
        <f t="shared" si="64"/>
        <v>Low Quality</v>
      </c>
      <c r="Q697" s="4" t="str">
        <f t="shared" si="65"/>
        <v>Strong Long-Term Growth</v>
      </c>
    </row>
    <row r="698" spans="1:17" x14ac:dyDescent="0.35">
      <c r="A698" s="2" t="s">
        <v>708</v>
      </c>
      <c r="B698" s="2">
        <v>5</v>
      </c>
      <c r="C698" s="2">
        <v>2163807201</v>
      </c>
      <c r="D698" s="2">
        <v>1</v>
      </c>
      <c r="E698" s="2">
        <v>645644128.10000002</v>
      </c>
      <c r="F698" s="2">
        <v>-245421314</v>
      </c>
      <c r="G698" s="2">
        <v>2</v>
      </c>
      <c r="H698" s="2">
        <v>5</v>
      </c>
      <c r="I698" s="2">
        <v>5</v>
      </c>
      <c r="J698" s="2">
        <v>3.5</v>
      </c>
      <c r="K698" s="2" t="s">
        <v>306</v>
      </c>
      <c r="L698" s="2" t="str">
        <f t="shared" si="60"/>
        <v>Profitable</v>
      </c>
      <c r="M698" s="2" t="str">
        <f t="shared" si="61"/>
        <v>High Volatility</v>
      </c>
      <c r="N698" s="2" t="str">
        <f t="shared" si="62"/>
        <v>Low Quality</v>
      </c>
      <c r="O698" s="4" t="str">
        <f t="shared" si="63"/>
        <v>Accounting Risk</v>
      </c>
      <c r="P698" s="4" t="str">
        <f t="shared" si="64"/>
        <v>Low Quality</v>
      </c>
      <c r="Q698" s="4" t="str">
        <f t="shared" si="65"/>
        <v>Strong Long-Term Growth</v>
      </c>
    </row>
    <row r="699" spans="1:17" x14ac:dyDescent="0.35">
      <c r="A699" s="2" t="s">
        <v>709</v>
      </c>
      <c r="B699" s="2">
        <v>5</v>
      </c>
      <c r="C699" s="2">
        <v>40276500.159999996</v>
      </c>
      <c r="D699" s="2">
        <v>0.8</v>
      </c>
      <c r="E699" s="2">
        <v>354977038.80000001</v>
      </c>
      <c r="F699" s="2">
        <v>-143263661.19999999</v>
      </c>
      <c r="G699" s="2">
        <v>2</v>
      </c>
      <c r="H699" s="2">
        <v>5</v>
      </c>
      <c r="I699" s="2">
        <v>5</v>
      </c>
      <c r="J699" s="2">
        <v>3.5</v>
      </c>
      <c r="K699" s="2" t="s">
        <v>306</v>
      </c>
      <c r="L699" s="2" t="str">
        <f t="shared" si="60"/>
        <v>Profitable</v>
      </c>
      <c r="M699" s="2" t="str">
        <f t="shared" si="61"/>
        <v>Stable Earnings</v>
      </c>
      <c r="N699" s="2" t="str">
        <f t="shared" si="62"/>
        <v>Low Quality</v>
      </c>
      <c r="O699" s="4" t="str">
        <f t="shared" si="63"/>
        <v>Accounting Risk</v>
      </c>
      <c r="P699" s="4" t="str">
        <f t="shared" si="64"/>
        <v>Low Quality</v>
      </c>
      <c r="Q699" s="4" t="str">
        <f t="shared" si="65"/>
        <v>Strong Long-Term Growth</v>
      </c>
    </row>
    <row r="700" spans="1:17" x14ac:dyDescent="0.35">
      <c r="A700" s="2" t="s">
        <v>710</v>
      </c>
      <c r="B700" s="2">
        <v>5</v>
      </c>
      <c r="C700" s="2">
        <v>150409012.69999999</v>
      </c>
      <c r="D700" s="2">
        <v>0.8</v>
      </c>
      <c r="E700" s="2">
        <v>1149854673</v>
      </c>
      <c r="F700" s="2">
        <v>-610388588.70000005</v>
      </c>
      <c r="G700" s="2">
        <v>2</v>
      </c>
      <c r="H700" s="2">
        <v>5</v>
      </c>
      <c r="I700" s="2">
        <v>5</v>
      </c>
      <c r="J700" s="2">
        <v>3.5</v>
      </c>
      <c r="K700" s="2" t="s">
        <v>306</v>
      </c>
      <c r="L700" s="2" t="str">
        <f t="shared" si="60"/>
        <v>Profitable</v>
      </c>
      <c r="M700" s="2" t="str">
        <f t="shared" si="61"/>
        <v>Stable Earnings</v>
      </c>
      <c r="N700" s="2" t="str">
        <f t="shared" si="62"/>
        <v>Low Quality</v>
      </c>
      <c r="O700" s="4" t="str">
        <f t="shared" si="63"/>
        <v>Accounting Risk</v>
      </c>
      <c r="P700" s="4" t="str">
        <f t="shared" si="64"/>
        <v>Low Quality</v>
      </c>
      <c r="Q700" s="4" t="str">
        <f t="shared" si="65"/>
        <v>Strong Long-Term Growth</v>
      </c>
    </row>
    <row r="701" spans="1:17" x14ac:dyDescent="0.35">
      <c r="A701" s="2" t="s">
        <v>711</v>
      </c>
      <c r="B701" s="2">
        <v>5</v>
      </c>
      <c r="C701" s="2">
        <v>434859752.10000002</v>
      </c>
      <c r="D701" s="2">
        <v>0.8</v>
      </c>
      <c r="E701" s="2">
        <v>603836658.39999998</v>
      </c>
      <c r="F701" s="2">
        <v>-562700895.39999998</v>
      </c>
      <c r="G701" s="2">
        <v>2</v>
      </c>
      <c r="H701" s="2">
        <v>5</v>
      </c>
      <c r="I701" s="2">
        <v>5</v>
      </c>
      <c r="J701" s="2">
        <v>3.5</v>
      </c>
      <c r="K701" s="2" t="s">
        <v>306</v>
      </c>
      <c r="L701" s="2" t="str">
        <f t="shared" si="60"/>
        <v>Profitable</v>
      </c>
      <c r="M701" s="2" t="str">
        <f t="shared" si="61"/>
        <v>Stable Earnings</v>
      </c>
      <c r="N701" s="2" t="str">
        <f t="shared" si="62"/>
        <v>Low Quality</v>
      </c>
      <c r="O701" s="4" t="str">
        <f t="shared" si="63"/>
        <v>Accounting Risk</v>
      </c>
      <c r="P701" s="4" t="str">
        <f t="shared" si="64"/>
        <v>Low Quality</v>
      </c>
      <c r="Q701" s="4" t="str">
        <f t="shared" si="65"/>
        <v>Strong Long-Term Growth</v>
      </c>
    </row>
    <row r="702" spans="1:17" x14ac:dyDescent="0.35">
      <c r="A702" s="2" t="s">
        <v>712</v>
      </c>
      <c r="B702" s="2">
        <v>5</v>
      </c>
      <c r="C702" s="2">
        <v>659118135.79999995</v>
      </c>
      <c r="D702" s="2">
        <v>0.8</v>
      </c>
      <c r="E702" s="2">
        <v>1280471024</v>
      </c>
      <c r="F702" s="2">
        <v>-1042062566</v>
      </c>
      <c r="G702" s="2">
        <v>2</v>
      </c>
      <c r="H702" s="2">
        <v>5</v>
      </c>
      <c r="I702" s="2">
        <v>5</v>
      </c>
      <c r="J702" s="2">
        <v>3.5</v>
      </c>
      <c r="K702" s="2" t="s">
        <v>306</v>
      </c>
      <c r="L702" s="2" t="str">
        <f t="shared" si="60"/>
        <v>Profitable</v>
      </c>
      <c r="M702" s="2" t="str">
        <f t="shared" si="61"/>
        <v>High Volatility</v>
      </c>
      <c r="N702" s="2" t="str">
        <f t="shared" si="62"/>
        <v>Low Quality</v>
      </c>
      <c r="O702" s="4" t="str">
        <f t="shared" si="63"/>
        <v>Accounting Risk</v>
      </c>
      <c r="P702" s="4" t="str">
        <f t="shared" si="64"/>
        <v>Low Quality</v>
      </c>
      <c r="Q702" s="4" t="str">
        <f t="shared" si="65"/>
        <v>Strong Long-Term Growth</v>
      </c>
    </row>
    <row r="703" spans="1:17" x14ac:dyDescent="0.35">
      <c r="A703" s="2" t="s">
        <v>713</v>
      </c>
      <c r="B703" s="2">
        <v>5</v>
      </c>
      <c r="C703" s="2">
        <v>533935466.30000001</v>
      </c>
      <c r="D703" s="2">
        <v>0.8</v>
      </c>
      <c r="E703" s="2">
        <v>1798813325</v>
      </c>
      <c r="F703" s="2">
        <v>-941135448</v>
      </c>
      <c r="G703" s="2">
        <v>2</v>
      </c>
      <c r="H703" s="2">
        <v>5</v>
      </c>
      <c r="I703" s="2">
        <v>5</v>
      </c>
      <c r="J703" s="2">
        <v>3.5</v>
      </c>
      <c r="K703" s="2" t="s">
        <v>306</v>
      </c>
      <c r="L703" s="2" t="str">
        <f t="shared" si="60"/>
        <v>Profitable</v>
      </c>
      <c r="M703" s="2" t="str">
        <f t="shared" si="61"/>
        <v>High Volatility</v>
      </c>
      <c r="N703" s="2" t="str">
        <f t="shared" si="62"/>
        <v>Low Quality</v>
      </c>
      <c r="O703" s="4" t="str">
        <f t="shared" si="63"/>
        <v>Accounting Risk</v>
      </c>
      <c r="P703" s="4" t="str">
        <f t="shared" si="64"/>
        <v>Low Quality</v>
      </c>
      <c r="Q703" s="4" t="str">
        <f t="shared" si="65"/>
        <v>Strong Long-Term Growth</v>
      </c>
    </row>
    <row r="704" spans="1:17" x14ac:dyDescent="0.35">
      <c r="A704" s="2" t="s">
        <v>714</v>
      </c>
      <c r="B704" s="2">
        <v>5</v>
      </c>
      <c r="C704" s="2">
        <v>604347073.5</v>
      </c>
      <c r="D704" s="2">
        <v>1</v>
      </c>
      <c r="E704" s="2">
        <v>461834427.80000001</v>
      </c>
      <c r="F704" s="2">
        <v>-832781874.89999998</v>
      </c>
      <c r="G704" s="2">
        <v>2</v>
      </c>
      <c r="H704" s="2">
        <v>5</v>
      </c>
      <c r="I704" s="2">
        <v>5</v>
      </c>
      <c r="J704" s="2">
        <v>3.5</v>
      </c>
      <c r="K704" s="2" t="s">
        <v>306</v>
      </c>
      <c r="L704" s="2" t="str">
        <f t="shared" si="60"/>
        <v>Profitable</v>
      </c>
      <c r="M704" s="2" t="str">
        <f t="shared" si="61"/>
        <v>High Volatility</v>
      </c>
      <c r="N704" s="2" t="str">
        <f t="shared" si="62"/>
        <v>Low Quality</v>
      </c>
      <c r="O704" s="4" t="str">
        <f t="shared" si="63"/>
        <v>Accounting Risk</v>
      </c>
      <c r="P704" s="4" t="str">
        <f t="shared" si="64"/>
        <v>Low Quality</v>
      </c>
      <c r="Q704" s="4" t="str">
        <f t="shared" si="65"/>
        <v>Strong Long-Term Growth</v>
      </c>
    </row>
    <row r="705" spans="1:17" x14ac:dyDescent="0.35">
      <c r="A705" s="2" t="s">
        <v>715</v>
      </c>
      <c r="B705" s="2">
        <v>5</v>
      </c>
      <c r="C705" s="2">
        <v>2531967644</v>
      </c>
      <c r="D705" s="2">
        <v>1</v>
      </c>
      <c r="E705" s="2">
        <v>616367159.10000002</v>
      </c>
      <c r="F705" s="2">
        <v>-836253305</v>
      </c>
      <c r="G705" s="2">
        <v>2</v>
      </c>
      <c r="H705" s="2">
        <v>5</v>
      </c>
      <c r="I705" s="2">
        <v>5</v>
      </c>
      <c r="J705" s="2">
        <v>3.5</v>
      </c>
      <c r="K705" s="2" t="s">
        <v>306</v>
      </c>
      <c r="L705" s="2" t="str">
        <f t="shared" si="60"/>
        <v>Profitable</v>
      </c>
      <c r="M705" s="2" t="str">
        <f t="shared" si="61"/>
        <v>High Volatility</v>
      </c>
      <c r="N705" s="2" t="str">
        <f t="shared" si="62"/>
        <v>Low Quality</v>
      </c>
      <c r="O705" s="4" t="str">
        <f t="shared" si="63"/>
        <v>Accounting Risk</v>
      </c>
      <c r="P705" s="4" t="str">
        <f t="shared" si="64"/>
        <v>Low Quality</v>
      </c>
      <c r="Q705" s="4" t="str">
        <f t="shared" si="65"/>
        <v>Strong Long-Term Growth</v>
      </c>
    </row>
    <row r="706" spans="1:17" x14ac:dyDescent="0.35">
      <c r="A706" s="2" t="s">
        <v>716</v>
      </c>
      <c r="B706" s="2">
        <v>5</v>
      </c>
      <c r="C706" s="2">
        <v>592096709.29999995</v>
      </c>
      <c r="D706" s="2">
        <v>0.8</v>
      </c>
      <c r="E706" s="2">
        <v>392010660.39999998</v>
      </c>
      <c r="F706" s="2">
        <v>-876907517.39999998</v>
      </c>
      <c r="G706" s="2">
        <v>2</v>
      </c>
      <c r="H706" s="2">
        <v>5</v>
      </c>
      <c r="I706" s="2">
        <v>5</v>
      </c>
      <c r="J706" s="2">
        <v>3.5</v>
      </c>
      <c r="K706" s="2" t="s">
        <v>306</v>
      </c>
      <c r="L706" s="2" t="str">
        <f t="shared" ref="L706:L769" si="66">IF(C706&gt;0,"Profitable","Loss Making")</f>
        <v>Profitable</v>
      </c>
      <c r="M706" s="2" t="str">
        <f t="shared" ref="M706:M769" si="67">IF(C706&gt;500000000,"High Volatility","Stable Earnings")</f>
        <v>High Volatility</v>
      </c>
      <c r="N706" s="2" t="str">
        <f t="shared" ref="N706:N769" si="68">IF(G706&gt;=7,"High Quality",IF(G706&gt;=4,"Moderate","Low Quality"))</f>
        <v>Low Quality</v>
      </c>
      <c r="O706" s="4" t="str">
        <f t="shared" ref="O706:O769" si="69">IF(AND(F706&gt;0,D706&gt;0.6),"Operational Growth","Accounting Risk")</f>
        <v>Accounting Risk</v>
      </c>
      <c r="P706" s="4" t="str">
        <f t="shared" ref="P706:P769" si="70">IF(G706&gt;=7,"High Quality", IF(G706&gt;=4,"Moderate","Low Quality"))</f>
        <v>Low Quality</v>
      </c>
      <c r="Q706" s="4" t="str">
        <f t="shared" ref="Q706:Q769" si="71">IF(I706&gt;=4,"Strong Long-Term Growth",IF(I706&gt;=2,"Moderate Growth","Weak Growth"))</f>
        <v>Strong Long-Term Growth</v>
      </c>
    </row>
    <row r="707" spans="1:17" x14ac:dyDescent="0.35">
      <c r="A707" s="2" t="s">
        <v>717</v>
      </c>
      <c r="B707" s="2">
        <v>5</v>
      </c>
      <c r="C707" s="2">
        <v>598543424.29999995</v>
      </c>
      <c r="D707" s="2">
        <v>0.8</v>
      </c>
      <c r="E707" s="2">
        <v>1262857311</v>
      </c>
      <c r="F707" s="2">
        <v>-759749732.29999995</v>
      </c>
      <c r="G707" s="2">
        <v>2</v>
      </c>
      <c r="H707" s="2">
        <v>5</v>
      </c>
      <c r="I707" s="2">
        <v>5</v>
      </c>
      <c r="J707" s="2">
        <v>3.5</v>
      </c>
      <c r="K707" s="2" t="s">
        <v>306</v>
      </c>
      <c r="L707" s="2" t="str">
        <f t="shared" si="66"/>
        <v>Profitable</v>
      </c>
      <c r="M707" s="2" t="str">
        <f t="shared" si="67"/>
        <v>High Volatility</v>
      </c>
      <c r="N707" s="2" t="str">
        <f t="shared" si="68"/>
        <v>Low Quality</v>
      </c>
      <c r="O707" s="4" t="str">
        <f t="shared" si="69"/>
        <v>Accounting Risk</v>
      </c>
      <c r="P707" s="4" t="str">
        <f t="shared" si="70"/>
        <v>Low Quality</v>
      </c>
      <c r="Q707" s="4" t="str">
        <f t="shared" si="71"/>
        <v>Strong Long-Term Growth</v>
      </c>
    </row>
    <row r="708" spans="1:17" x14ac:dyDescent="0.35">
      <c r="A708" s="2" t="s">
        <v>718</v>
      </c>
      <c r="B708" s="2">
        <v>5</v>
      </c>
      <c r="C708" s="2">
        <v>2018641582</v>
      </c>
      <c r="D708" s="2">
        <v>1</v>
      </c>
      <c r="E708" s="2">
        <v>1537298777</v>
      </c>
      <c r="F708" s="2">
        <v>-355012030</v>
      </c>
      <c r="G708" s="2">
        <v>2</v>
      </c>
      <c r="H708" s="2">
        <v>5</v>
      </c>
      <c r="I708" s="2">
        <v>5</v>
      </c>
      <c r="J708" s="2">
        <v>3.5</v>
      </c>
      <c r="K708" s="2" t="s">
        <v>306</v>
      </c>
      <c r="L708" s="2" t="str">
        <f t="shared" si="66"/>
        <v>Profitable</v>
      </c>
      <c r="M708" s="2" t="str">
        <f t="shared" si="67"/>
        <v>High Volatility</v>
      </c>
      <c r="N708" s="2" t="str">
        <f t="shared" si="68"/>
        <v>Low Quality</v>
      </c>
      <c r="O708" s="4" t="str">
        <f t="shared" si="69"/>
        <v>Accounting Risk</v>
      </c>
      <c r="P708" s="4" t="str">
        <f t="shared" si="70"/>
        <v>Low Quality</v>
      </c>
      <c r="Q708" s="4" t="str">
        <f t="shared" si="71"/>
        <v>Strong Long-Term Growth</v>
      </c>
    </row>
    <row r="709" spans="1:17" x14ac:dyDescent="0.35">
      <c r="A709" s="2" t="s">
        <v>719</v>
      </c>
      <c r="B709" s="2">
        <v>5</v>
      </c>
      <c r="C709" s="2">
        <v>43578210.280000001</v>
      </c>
      <c r="D709" s="2">
        <v>0.8</v>
      </c>
      <c r="E709" s="2">
        <v>354356397</v>
      </c>
      <c r="F709" s="2">
        <v>-367442839.30000001</v>
      </c>
      <c r="G709" s="2">
        <v>2</v>
      </c>
      <c r="H709" s="2">
        <v>5</v>
      </c>
      <c r="I709" s="2">
        <v>5</v>
      </c>
      <c r="J709" s="2">
        <v>3.5</v>
      </c>
      <c r="K709" s="2" t="s">
        <v>306</v>
      </c>
      <c r="L709" s="2" t="str">
        <f t="shared" si="66"/>
        <v>Profitable</v>
      </c>
      <c r="M709" s="2" t="str">
        <f t="shared" si="67"/>
        <v>Stable Earnings</v>
      </c>
      <c r="N709" s="2" t="str">
        <f t="shared" si="68"/>
        <v>Low Quality</v>
      </c>
      <c r="O709" s="4" t="str">
        <f t="shared" si="69"/>
        <v>Accounting Risk</v>
      </c>
      <c r="P709" s="4" t="str">
        <f t="shared" si="70"/>
        <v>Low Quality</v>
      </c>
      <c r="Q709" s="4" t="str">
        <f t="shared" si="71"/>
        <v>Strong Long-Term Growth</v>
      </c>
    </row>
    <row r="710" spans="1:17" x14ac:dyDescent="0.35">
      <c r="A710" s="2" t="s">
        <v>720</v>
      </c>
      <c r="B710" s="2">
        <v>5</v>
      </c>
      <c r="C710" s="2">
        <v>3838228618</v>
      </c>
      <c r="D710" s="2">
        <v>1</v>
      </c>
      <c r="E710" s="2">
        <v>2031639365</v>
      </c>
      <c r="F710" s="2">
        <v>-280508978</v>
      </c>
      <c r="G710" s="2">
        <v>2</v>
      </c>
      <c r="H710" s="2">
        <v>5</v>
      </c>
      <c r="I710" s="2">
        <v>5</v>
      </c>
      <c r="J710" s="2">
        <v>3.5</v>
      </c>
      <c r="K710" s="2" t="s">
        <v>306</v>
      </c>
      <c r="L710" s="2" t="str">
        <f t="shared" si="66"/>
        <v>Profitable</v>
      </c>
      <c r="M710" s="2" t="str">
        <f t="shared" si="67"/>
        <v>High Volatility</v>
      </c>
      <c r="N710" s="2" t="str">
        <f t="shared" si="68"/>
        <v>Low Quality</v>
      </c>
      <c r="O710" s="4" t="str">
        <f t="shared" si="69"/>
        <v>Accounting Risk</v>
      </c>
      <c r="P710" s="4" t="str">
        <f t="shared" si="70"/>
        <v>Low Quality</v>
      </c>
      <c r="Q710" s="4" t="str">
        <f t="shared" si="71"/>
        <v>Strong Long-Term Growth</v>
      </c>
    </row>
    <row r="711" spans="1:17" x14ac:dyDescent="0.35">
      <c r="A711" s="2" t="s">
        <v>721</v>
      </c>
      <c r="B711" s="2">
        <v>5</v>
      </c>
      <c r="C711" s="2">
        <v>357836960.5</v>
      </c>
      <c r="D711" s="2">
        <v>0.8</v>
      </c>
      <c r="E711" s="2">
        <v>1146309127</v>
      </c>
      <c r="F711" s="2">
        <v>-1771133204</v>
      </c>
      <c r="G711" s="2">
        <v>2</v>
      </c>
      <c r="H711" s="2">
        <v>5</v>
      </c>
      <c r="I711" s="2">
        <v>5</v>
      </c>
      <c r="J711" s="2">
        <v>3.5</v>
      </c>
      <c r="K711" s="2" t="s">
        <v>306</v>
      </c>
      <c r="L711" s="2" t="str">
        <f t="shared" si="66"/>
        <v>Profitable</v>
      </c>
      <c r="M711" s="2" t="str">
        <f t="shared" si="67"/>
        <v>Stable Earnings</v>
      </c>
      <c r="N711" s="2" t="str">
        <f t="shared" si="68"/>
        <v>Low Quality</v>
      </c>
      <c r="O711" s="4" t="str">
        <f t="shared" si="69"/>
        <v>Accounting Risk</v>
      </c>
      <c r="P711" s="4" t="str">
        <f t="shared" si="70"/>
        <v>Low Quality</v>
      </c>
      <c r="Q711" s="4" t="str">
        <f t="shared" si="71"/>
        <v>Strong Long-Term Growth</v>
      </c>
    </row>
    <row r="712" spans="1:17" x14ac:dyDescent="0.35">
      <c r="A712" s="2" t="s">
        <v>722</v>
      </c>
      <c r="B712" s="2">
        <v>5</v>
      </c>
      <c r="C712" s="2">
        <v>10187872868</v>
      </c>
      <c r="D712" s="2">
        <v>1</v>
      </c>
      <c r="E712" s="2">
        <v>2828486203</v>
      </c>
      <c r="F712" s="2">
        <v>-2664236958</v>
      </c>
      <c r="G712" s="2">
        <v>2</v>
      </c>
      <c r="H712" s="2">
        <v>5</v>
      </c>
      <c r="I712" s="2">
        <v>5</v>
      </c>
      <c r="J712" s="2">
        <v>3.5</v>
      </c>
      <c r="K712" s="2" t="s">
        <v>306</v>
      </c>
      <c r="L712" s="2" t="str">
        <f t="shared" si="66"/>
        <v>Profitable</v>
      </c>
      <c r="M712" s="2" t="str">
        <f t="shared" si="67"/>
        <v>High Volatility</v>
      </c>
      <c r="N712" s="2" t="str">
        <f t="shared" si="68"/>
        <v>Low Quality</v>
      </c>
      <c r="O712" s="4" t="str">
        <f t="shared" si="69"/>
        <v>Accounting Risk</v>
      </c>
      <c r="P712" s="4" t="str">
        <f t="shared" si="70"/>
        <v>Low Quality</v>
      </c>
      <c r="Q712" s="4" t="str">
        <f t="shared" si="71"/>
        <v>Strong Long-Term Growth</v>
      </c>
    </row>
    <row r="713" spans="1:17" x14ac:dyDescent="0.35">
      <c r="A713" s="2" t="s">
        <v>723</v>
      </c>
      <c r="B713" s="2">
        <v>5</v>
      </c>
      <c r="C713" s="2">
        <v>1957077727</v>
      </c>
      <c r="D713" s="2">
        <v>0.8</v>
      </c>
      <c r="E713" s="2">
        <v>1537247066</v>
      </c>
      <c r="F713" s="2">
        <v>-2701931714</v>
      </c>
      <c r="G713" s="2">
        <v>2</v>
      </c>
      <c r="H713" s="2">
        <v>5</v>
      </c>
      <c r="I713" s="2">
        <v>5</v>
      </c>
      <c r="J713" s="2">
        <v>3.5</v>
      </c>
      <c r="K713" s="2" t="s">
        <v>306</v>
      </c>
      <c r="L713" s="2" t="str">
        <f t="shared" si="66"/>
        <v>Profitable</v>
      </c>
      <c r="M713" s="2" t="str">
        <f t="shared" si="67"/>
        <v>High Volatility</v>
      </c>
      <c r="N713" s="2" t="str">
        <f t="shared" si="68"/>
        <v>Low Quality</v>
      </c>
      <c r="O713" s="4" t="str">
        <f t="shared" si="69"/>
        <v>Accounting Risk</v>
      </c>
      <c r="P713" s="4" t="str">
        <f t="shared" si="70"/>
        <v>Low Quality</v>
      </c>
      <c r="Q713" s="4" t="str">
        <f t="shared" si="71"/>
        <v>Strong Long-Term Growth</v>
      </c>
    </row>
    <row r="714" spans="1:17" x14ac:dyDescent="0.35">
      <c r="A714" s="2" t="s">
        <v>724</v>
      </c>
      <c r="B714" s="2">
        <v>5</v>
      </c>
      <c r="C714" s="2">
        <v>2829250940</v>
      </c>
      <c r="D714" s="2">
        <v>0.8</v>
      </c>
      <c r="E714" s="2">
        <v>3757845083</v>
      </c>
      <c r="F714" s="2">
        <v>-2387933606</v>
      </c>
      <c r="G714" s="2">
        <v>2</v>
      </c>
      <c r="H714" s="2">
        <v>5</v>
      </c>
      <c r="I714" s="2">
        <v>5</v>
      </c>
      <c r="J714" s="2">
        <v>3.5</v>
      </c>
      <c r="K714" s="2" t="s">
        <v>306</v>
      </c>
      <c r="L714" s="2" t="str">
        <f t="shared" si="66"/>
        <v>Profitable</v>
      </c>
      <c r="M714" s="2" t="str">
        <f t="shared" si="67"/>
        <v>High Volatility</v>
      </c>
      <c r="N714" s="2" t="str">
        <f t="shared" si="68"/>
        <v>Low Quality</v>
      </c>
      <c r="O714" s="4" t="str">
        <f t="shared" si="69"/>
        <v>Accounting Risk</v>
      </c>
      <c r="P714" s="4" t="str">
        <f t="shared" si="70"/>
        <v>Low Quality</v>
      </c>
      <c r="Q714" s="4" t="str">
        <f t="shared" si="71"/>
        <v>Strong Long-Term Growth</v>
      </c>
    </row>
    <row r="715" spans="1:17" x14ac:dyDescent="0.35">
      <c r="A715" s="2" t="s">
        <v>725</v>
      </c>
      <c r="B715" s="2">
        <v>5</v>
      </c>
      <c r="C715" s="2">
        <v>1090754806</v>
      </c>
      <c r="D715" s="2">
        <v>0.8</v>
      </c>
      <c r="E715" s="2">
        <v>992036680.39999998</v>
      </c>
      <c r="F715" s="2">
        <v>-2520045299</v>
      </c>
      <c r="G715" s="2">
        <v>2</v>
      </c>
      <c r="H715" s="2">
        <v>5</v>
      </c>
      <c r="I715" s="2">
        <v>5</v>
      </c>
      <c r="J715" s="2">
        <v>3.5</v>
      </c>
      <c r="K715" s="2" t="s">
        <v>306</v>
      </c>
      <c r="L715" s="2" t="str">
        <f t="shared" si="66"/>
        <v>Profitable</v>
      </c>
      <c r="M715" s="2" t="str">
        <f t="shared" si="67"/>
        <v>High Volatility</v>
      </c>
      <c r="N715" s="2" t="str">
        <f t="shared" si="68"/>
        <v>Low Quality</v>
      </c>
      <c r="O715" s="4" t="str">
        <f t="shared" si="69"/>
        <v>Accounting Risk</v>
      </c>
      <c r="P715" s="4" t="str">
        <f t="shared" si="70"/>
        <v>Low Quality</v>
      </c>
      <c r="Q715" s="4" t="str">
        <f t="shared" si="71"/>
        <v>Strong Long-Term Growth</v>
      </c>
    </row>
    <row r="716" spans="1:17" x14ac:dyDescent="0.35">
      <c r="A716" s="2" t="s">
        <v>726</v>
      </c>
      <c r="B716" s="2">
        <v>5</v>
      </c>
      <c r="C716" s="2">
        <v>4330280142</v>
      </c>
      <c r="D716" s="2">
        <v>1</v>
      </c>
      <c r="E716" s="2">
        <v>668692053.39999998</v>
      </c>
      <c r="F716" s="2">
        <v>-1180246459</v>
      </c>
      <c r="G716" s="2">
        <v>2</v>
      </c>
      <c r="H716" s="2">
        <v>5</v>
      </c>
      <c r="I716" s="2">
        <v>5</v>
      </c>
      <c r="J716" s="2">
        <v>3.5</v>
      </c>
      <c r="K716" s="2" t="s">
        <v>306</v>
      </c>
      <c r="L716" s="2" t="str">
        <f t="shared" si="66"/>
        <v>Profitable</v>
      </c>
      <c r="M716" s="2" t="str">
        <f t="shared" si="67"/>
        <v>High Volatility</v>
      </c>
      <c r="N716" s="2" t="str">
        <f t="shared" si="68"/>
        <v>Low Quality</v>
      </c>
      <c r="O716" s="4" t="str">
        <f t="shared" si="69"/>
        <v>Accounting Risk</v>
      </c>
      <c r="P716" s="4" t="str">
        <f t="shared" si="70"/>
        <v>Low Quality</v>
      </c>
      <c r="Q716" s="4" t="str">
        <f t="shared" si="71"/>
        <v>Strong Long-Term Growth</v>
      </c>
    </row>
    <row r="717" spans="1:17" x14ac:dyDescent="0.35">
      <c r="A717" s="2" t="s">
        <v>727</v>
      </c>
      <c r="B717" s="2">
        <v>5</v>
      </c>
      <c r="C717" s="2">
        <v>-162622152.90000001</v>
      </c>
      <c r="D717" s="2">
        <v>0.8</v>
      </c>
      <c r="E717" s="2">
        <v>523617436.5</v>
      </c>
      <c r="F717" s="2">
        <v>-1129014037</v>
      </c>
      <c r="G717" s="2">
        <v>2</v>
      </c>
      <c r="H717" s="2">
        <v>5</v>
      </c>
      <c r="I717" s="2">
        <v>5</v>
      </c>
      <c r="J717" s="2">
        <v>3.5</v>
      </c>
      <c r="K717" s="2" t="s">
        <v>306</v>
      </c>
      <c r="L717" s="2" t="str">
        <f t="shared" si="66"/>
        <v>Loss Making</v>
      </c>
      <c r="M717" s="2" t="str">
        <f t="shared" si="67"/>
        <v>Stable Earnings</v>
      </c>
      <c r="N717" s="2" t="str">
        <f t="shared" si="68"/>
        <v>Low Quality</v>
      </c>
      <c r="O717" s="4" t="str">
        <f t="shared" si="69"/>
        <v>Accounting Risk</v>
      </c>
      <c r="P717" s="4" t="str">
        <f t="shared" si="70"/>
        <v>Low Quality</v>
      </c>
      <c r="Q717" s="4" t="str">
        <f t="shared" si="71"/>
        <v>Strong Long-Term Growth</v>
      </c>
    </row>
    <row r="718" spans="1:17" x14ac:dyDescent="0.35">
      <c r="A718" s="2" t="s">
        <v>728</v>
      </c>
      <c r="B718" s="2">
        <v>5</v>
      </c>
      <c r="C718" s="2">
        <v>1011645959</v>
      </c>
      <c r="D718" s="2">
        <v>1</v>
      </c>
      <c r="E718" s="2">
        <v>870904175</v>
      </c>
      <c r="F718" s="2">
        <v>-1308829027</v>
      </c>
      <c r="G718" s="2">
        <v>2</v>
      </c>
      <c r="H718" s="2">
        <v>5</v>
      </c>
      <c r="I718" s="2">
        <v>5</v>
      </c>
      <c r="J718" s="2">
        <v>3.5</v>
      </c>
      <c r="K718" s="2" t="s">
        <v>306</v>
      </c>
      <c r="L718" s="2" t="str">
        <f t="shared" si="66"/>
        <v>Profitable</v>
      </c>
      <c r="M718" s="2" t="str">
        <f t="shared" si="67"/>
        <v>High Volatility</v>
      </c>
      <c r="N718" s="2" t="str">
        <f t="shared" si="68"/>
        <v>Low Quality</v>
      </c>
      <c r="O718" s="4" t="str">
        <f t="shared" si="69"/>
        <v>Accounting Risk</v>
      </c>
      <c r="P718" s="4" t="str">
        <f t="shared" si="70"/>
        <v>Low Quality</v>
      </c>
      <c r="Q718" s="4" t="str">
        <f t="shared" si="71"/>
        <v>Strong Long-Term Growth</v>
      </c>
    </row>
    <row r="719" spans="1:17" x14ac:dyDescent="0.35">
      <c r="A719" s="2" t="s">
        <v>729</v>
      </c>
      <c r="B719" s="2">
        <v>5</v>
      </c>
      <c r="C719" s="2">
        <v>910776309.79999995</v>
      </c>
      <c r="D719" s="2">
        <v>0.8</v>
      </c>
      <c r="E719" s="2">
        <v>739282437.20000005</v>
      </c>
      <c r="F719" s="2">
        <v>-1297963854</v>
      </c>
      <c r="G719" s="2">
        <v>2</v>
      </c>
      <c r="H719" s="2">
        <v>5</v>
      </c>
      <c r="I719" s="2">
        <v>5</v>
      </c>
      <c r="J719" s="2">
        <v>3.5</v>
      </c>
      <c r="K719" s="2" t="s">
        <v>306</v>
      </c>
      <c r="L719" s="2" t="str">
        <f t="shared" si="66"/>
        <v>Profitable</v>
      </c>
      <c r="M719" s="2" t="str">
        <f t="shared" si="67"/>
        <v>High Volatility</v>
      </c>
      <c r="N719" s="2" t="str">
        <f t="shared" si="68"/>
        <v>Low Quality</v>
      </c>
      <c r="O719" s="4" t="str">
        <f t="shared" si="69"/>
        <v>Accounting Risk</v>
      </c>
      <c r="P719" s="4" t="str">
        <f t="shared" si="70"/>
        <v>Low Quality</v>
      </c>
      <c r="Q719" s="4" t="str">
        <f t="shared" si="71"/>
        <v>Strong Long-Term Growth</v>
      </c>
    </row>
    <row r="720" spans="1:17" x14ac:dyDescent="0.35">
      <c r="A720" s="2" t="s">
        <v>730</v>
      </c>
      <c r="B720" s="2">
        <v>5</v>
      </c>
      <c r="C720" s="2">
        <v>1630269287</v>
      </c>
      <c r="D720" s="2">
        <v>0.8</v>
      </c>
      <c r="E720" s="2">
        <v>1840347009</v>
      </c>
      <c r="F720" s="2">
        <v>-4739898925</v>
      </c>
      <c r="G720" s="2">
        <v>2</v>
      </c>
      <c r="H720" s="2">
        <v>5</v>
      </c>
      <c r="I720" s="2">
        <v>5</v>
      </c>
      <c r="J720" s="2">
        <v>3.5</v>
      </c>
      <c r="K720" s="2" t="s">
        <v>306</v>
      </c>
      <c r="L720" s="2" t="str">
        <f t="shared" si="66"/>
        <v>Profitable</v>
      </c>
      <c r="M720" s="2" t="str">
        <f t="shared" si="67"/>
        <v>High Volatility</v>
      </c>
      <c r="N720" s="2" t="str">
        <f t="shared" si="68"/>
        <v>Low Quality</v>
      </c>
      <c r="O720" s="4" t="str">
        <f t="shared" si="69"/>
        <v>Accounting Risk</v>
      </c>
      <c r="P720" s="4" t="str">
        <f t="shared" si="70"/>
        <v>Low Quality</v>
      </c>
      <c r="Q720" s="4" t="str">
        <f t="shared" si="71"/>
        <v>Strong Long-Term Growth</v>
      </c>
    </row>
    <row r="721" spans="1:17" x14ac:dyDescent="0.35">
      <c r="A721" s="2" t="s">
        <v>731</v>
      </c>
      <c r="B721" s="2">
        <v>5</v>
      </c>
      <c r="C721" s="2">
        <v>1651078339</v>
      </c>
      <c r="D721" s="2">
        <v>0.8</v>
      </c>
      <c r="E721" s="2">
        <v>3034781540</v>
      </c>
      <c r="F721" s="2">
        <v>-6834675534</v>
      </c>
      <c r="G721" s="2">
        <v>2</v>
      </c>
      <c r="H721" s="2">
        <v>5</v>
      </c>
      <c r="I721" s="2">
        <v>5</v>
      </c>
      <c r="J721" s="2">
        <v>3.5</v>
      </c>
      <c r="K721" s="2" t="s">
        <v>306</v>
      </c>
      <c r="L721" s="2" t="str">
        <f t="shared" si="66"/>
        <v>Profitable</v>
      </c>
      <c r="M721" s="2" t="str">
        <f t="shared" si="67"/>
        <v>High Volatility</v>
      </c>
      <c r="N721" s="2" t="str">
        <f t="shared" si="68"/>
        <v>Low Quality</v>
      </c>
      <c r="O721" s="4" t="str">
        <f t="shared" si="69"/>
        <v>Accounting Risk</v>
      </c>
      <c r="P721" s="4" t="str">
        <f t="shared" si="70"/>
        <v>Low Quality</v>
      </c>
      <c r="Q721" s="4" t="str">
        <f t="shared" si="71"/>
        <v>Strong Long-Term Growth</v>
      </c>
    </row>
    <row r="722" spans="1:17" x14ac:dyDescent="0.35">
      <c r="A722" s="2" t="s">
        <v>732</v>
      </c>
      <c r="B722" s="2">
        <v>5</v>
      </c>
      <c r="C722" s="2">
        <v>18758755264</v>
      </c>
      <c r="D722" s="2">
        <v>1</v>
      </c>
      <c r="E722" s="2">
        <v>4287209601</v>
      </c>
      <c r="F722" s="2">
        <v>-7831883588</v>
      </c>
      <c r="G722" s="2">
        <v>2</v>
      </c>
      <c r="H722" s="2">
        <v>5</v>
      </c>
      <c r="I722" s="2">
        <v>5</v>
      </c>
      <c r="J722" s="2">
        <v>3.5</v>
      </c>
      <c r="K722" s="2" t="s">
        <v>306</v>
      </c>
      <c r="L722" s="2" t="str">
        <f t="shared" si="66"/>
        <v>Profitable</v>
      </c>
      <c r="M722" s="2" t="str">
        <f t="shared" si="67"/>
        <v>High Volatility</v>
      </c>
      <c r="N722" s="2" t="str">
        <f t="shared" si="68"/>
        <v>Low Quality</v>
      </c>
      <c r="O722" s="4" t="str">
        <f t="shared" si="69"/>
        <v>Accounting Risk</v>
      </c>
      <c r="P722" s="4" t="str">
        <f t="shared" si="70"/>
        <v>Low Quality</v>
      </c>
      <c r="Q722" s="4" t="str">
        <f t="shared" si="71"/>
        <v>Strong Long-Term Growth</v>
      </c>
    </row>
    <row r="723" spans="1:17" x14ac:dyDescent="0.35">
      <c r="A723" s="2" t="s">
        <v>733</v>
      </c>
      <c r="B723" s="2">
        <v>5</v>
      </c>
      <c r="C723" s="2">
        <v>16455904597</v>
      </c>
      <c r="D723" s="2">
        <v>1</v>
      </c>
      <c r="E723" s="2">
        <v>11615854315</v>
      </c>
      <c r="F723" s="2">
        <v>-13388295559</v>
      </c>
      <c r="G723" s="2">
        <v>2</v>
      </c>
      <c r="H723" s="2">
        <v>5</v>
      </c>
      <c r="I723" s="2">
        <v>5</v>
      </c>
      <c r="J723" s="2">
        <v>3.5</v>
      </c>
      <c r="K723" s="2" t="s">
        <v>306</v>
      </c>
      <c r="L723" s="2" t="str">
        <f t="shared" si="66"/>
        <v>Profitable</v>
      </c>
      <c r="M723" s="2" t="str">
        <f t="shared" si="67"/>
        <v>High Volatility</v>
      </c>
      <c r="N723" s="2" t="str">
        <f t="shared" si="68"/>
        <v>Low Quality</v>
      </c>
      <c r="O723" s="4" t="str">
        <f t="shared" si="69"/>
        <v>Accounting Risk</v>
      </c>
      <c r="P723" s="4" t="str">
        <f t="shared" si="70"/>
        <v>Low Quality</v>
      </c>
      <c r="Q723" s="4" t="str">
        <f t="shared" si="71"/>
        <v>Strong Long-Term Growth</v>
      </c>
    </row>
    <row r="724" spans="1:17" x14ac:dyDescent="0.35">
      <c r="A724" s="2" t="s">
        <v>734</v>
      </c>
      <c r="B724" s="2">
        <v>5</v>
      </c>
      <c r="C724" s="2">
        <v>8954158948</v>
      </c>
      <c r="D724" s="2">
        <v>1</v>
      </c>
      <c r="E724" s="2">
        <v>5670552490</v>
      </c>
      <c r="F724" s="2">
        <v>-9712917231</v>
      </c>
      <c r="G724" s="2">
        <v>2</v>
      </c>
      <c r="H724" s="2">
        <v>5</v>
      </c>
      <c r="I724" s="2">
        <v>5</v>
      </c>
      <c r="J724" s="2">
        <v>3.5</v>
      </c>
      <c r="K724" s="2" t="s">
        <v>306</v>
      </c>
      <c r="L724" s="2" t="str">
        <f t="shared" si="66"/>
        <v>Profitable</v>
      </c>
      <c r="M724" s="2" t="str">
        <f t="shared" si="67"/>
        <v>High Volatility</v>
      </c>
      <c r="N724" s="2" t="str">
        <f t="shared" si="68"/>
        <v>Low Quality</v>
      </c>
      <c r="O724" s="4" t="str">
        <f t="shared" si="69"/>
        <v>Accounting Risk</v>
      </c>
      <c r="P724" s="4" t="str">
        <f t="shared" si="70"/>
        <v>Low Quality</v>
      </c>
      <c r="Q724" s="4" t="str">
        <f t="shared" si="71"/>
        <v>Strong Long-Term Growth</v>
      </c>
    </row>
    <row r="725" spans="1:17" x14ac:dyDescent="0.35">
      <c r="A725" s="2" t="s">
        <v>735</v>
      </c>
      <c r="B725" s="2">
        <v>5</v>
      </c>
      <c r="C725" s="2">
        <v>38498702.32</v>
      </c>
      <c r="D725" s="2">
        <v>0.6</v>
      </c>
      <c r="E725" s="2">
        <v>77474487.810000002</v>
      </c>
      <c r="F725" s="2">
        <v>-147637514.80000001</v>
      </c>
      <c r="G725" s="2">
        <v>3</v>
      </c>
      <c r="H725" s="2">
        <v>3</v>
      </c>
      <c r="I725" s="2">
        <v>5</v>
      </c>
      <c r="J725" s="2">
        <v>3.4</v>
      </c>
      <c r="K725" s="2" t="s">
        <v>306</v>
      </c>
      <c r="L725" s="2" t="str">
        <f t="shared" si="66"/>
        <v>Profitable</v>
      </c>
      <c r="M725" s="2" t="str">
        <f t="shared" si="67"/>
        <v>Stable Earnings</v>
      </c>
      <c r="N725" s="2" t="str">
        <f t="shared" si="68"/>
        <v>Low Quality</v>
      </c>
      <c r="O725" s="4" t="str">
        <f t="shared" si="69"/>
        <v>Accounting Risk</v>
      </c>
      <c r="P725" s="4" t="str">
        <f t="shared" si="70"/>
        <v>Low Quality</v>
      </c>
      <c r="Q725" s="4" t="str">
        <f t="shared" si="71"/>
        <v>Strong Long-Term Growth</v>
      </c>
    </row>
    <row r="726" spans="1:17" x14ac:dyDescent="0.35">
      <c r="A726" s="2" t="s">
        <v>736</v>
      </c>
      <c r="B726" s="2">
        <v>5</v>
      </c>
      <c r="C726" s="2">
        <v>-14262742.359999999</v>
      </c>
      <c r="D726" s="2">
        <v>0.6</v>
      </c>
      <c r="E726" s="2">
        <v>63911088.270000003</v>
      </c>
      <c r="F726" s="2">
        <v>-143962952.30000001</v>
      </c>
      <c r="G726" s="2">
        <v>3</v>
      </c>
      <c r="H726" s="2">
        <v>3</v>
      </c>
      <c r="I726" s="2">
        <v>5</v>
      </c>
      <c r="J726" s="2">
        <v>3.4</v>
      </c>
      <c r="K726" s="2" t="s">
        <v>306</v>
      </c>
      <c r="L726" s="2" t="str">
        <f t="shared" si="66"/>
        <v>Loss Making</v>
      </c>
      <c r="M726" s="2" t="str">
        <f t="shared" si="67"/>
        <v>Stable Earnings</v>
      </c>
      <c r="N726" s="2" t="str">
        <f t="shared" si="68"/>
        <v>Low Quality</v>
      </c>
      <c r="O726" s="4" t="str">
        <f t="shared" si="69"/>
        <v>Accounting Risk</v>
      </c>
      <c r="P726" s="4" t="str">
        <f t="shared" si="70"/>
        <v>Low Quality</v>
      </c>
      <c r="Q726" s="4" t="str">
        <f t="shared" si="71"/>
        <v>Strong Long-Term Growth</v>
      </c>
    </row>
    <row r="727" spans="1:17" x14ac:dyDescent="0.35">
      <c r="A727" s="2" t="s">
        <v>737</v>
      </c>
      <c r="B727" s="2">
        <v>5</v>
      </c>
      <c r="C727" s="2">
        <v>78724182.519999996</v>
      </c>
      <c r="D727" s="2">
        <v>0.8</v>
      </c>
      <c r="E727" s="2">
        <v>102606654.59999999</v>
      </c>
      <c r="F727" s="2">
        <v>-145800110.30000001</v>
      </c>
      <c r="G727" s="2">
        <v>3</v>
      </c>
      <c r="H727" s="2">
        <v>3</v>
      </c>
      <c r="I727" s="2">
        <v>5</v>
      </c>
      <c r="J727" s="2">
        <v>3.4</v>
      </c>
      <c r="K727" s="2" t="s">
        <v>306</v>
      </c>
      <c r="L727" s="2" t="str">
        <f t="shared" si="66"/>
        <v>Profitable</v>
      </c>
      <c r="M727" s="2" t="str">
        <f t="shared" si="67"/>
        <v>Stable Earnings</v>
      </c>
      <c r="N727" s="2" t="str">
        <f t="shared" si="68"/>
        <v>Low Quality</v>
      </c>
      <c r="O727" s="4" t="str">
        <f t="shared" si="69"/>
        <v>Accounting Risk</v>
      </c>
      <c r="P727" s="4" t="str">
        <f t="shared" si="70"/>
        <v>Low Quality</v>
      </c>
      <c r="Q727" s="4" t="str">
        <f t="shared" si="71"/>
        <v>Strong Long-Term Growth</v>
      </c>
    </row>
    <row r="728" spans="1:17" x14ac:dyDescent="0.35">
      <c r="A728" s="2" t="s">
        <v>738</v>
      </c>
      <c r="B728" s="2">
        <v>5</v>
      </c>
      <c r="C728" s="2">
        <v>-10020606.84</v>
      </c>
      <c r="D728" s="2">
        <v>0.6</v>
      </c>
      <c r="E728" s="2">
        <v>75612054.290000007</v>
      </c>
      <c r="F728" s="2">
        <v>-153135487.90000001</v>
      </c>
      <c r="G728" s="2">
        <v>3</v>
      </c>
      <c r="H728" s="2">
        <v>3</v>
      </c>
      <c r="I728" s="2">
        <v>5</v>
      </c>
      <c r="J728" s="2">
        <v>3.4</v>
      </c>
      <c r="K728" s="2" t="s">
        <v>306</v>
      </c>
      <c r="L728" s="2" t="str">
        <f t="shared" si="66"/>
        <v>Loss Making</v>
      </c>
      <c r="M728" s="2" t="str">
        <f t="shared" si="67"/>
        <v>Stable Earnings</v>
      </c>
      <c r="N728" s="2" t="str">
        <f t="shared" si="68"/>
        <v>Low Quality</v>
      </c>
      <c r="O728" s="4" t="str">
        <f t="shared" si="69"/>
        <v>Accounting Risk</v>
      </c>
      <c r="P728" s="4" t="str">
        <f t="shared" si="70"/>
        <v>Low Quality</v>
      </c>
      <c r="Q728" s="4" t="str">
        <f t="shared" si="71"/>
        <v>Strong Long-Term Growth</v>
      </c>
    </row>
    <row r="729" spans="1:17" x14ac:dyDescent="0.35">
      <c r="A729" s="2" t="s">
        <v>739</v>
      </c>
      <c r="B729" s="2">
        <v>5</v>
      </c>
      <c r="C729" s="2">
        <v>-28599071.440000001</v>
      </c>
      <c r="D729" s="2">
        <v>0.4</v>
      </c>
      <c r="E729" s="2">
        <v>81953498.180000007</v>
      </c>
      <c r="F729" s="2">
        <v>-157102269.09999999</v>
      </c>
      <c r="G729" s="2">
        <v>3</v>
      </c>
      <c r="H729" s="2">
        <v>3</v>
      </c>
      <c r="I729" s="2">
        <v>5</v>
      </c>
      <c r="J729" s="2">
        <v>3.4</v>
      </c>
      <c r="K729" s="2" t="s">
        <v>306</v>
      </c>
      <c r="L729" s="2" t="str">
        <f t="shared" si="66"/>
        <v>Loss Making</v>
      </c>
      <c r="M729" s="2" t="str">
        <f t="shared" si="67"/>
        <v>Stable Earnings</v>
      </c>
      <c r="N729" s="2" t="str">
        <f t="shared" si="68"/>
        <v>Low Quality</v>
      </c>
      <c r="O729" s="4" t="str">
        <f t="shared" si="69"/>
        <v>Accounting Risk</v>
      </c>
      <c r="P729" s="4" t="str">
        <f t="shared" si="70"/>
        <v>Low Quality</v>
      </c>
      <c r="Q729" s="4" t="str">
        <f t="shared" si="71"/>
        <v>Strong Long-Term Growth</v>
      </c>
    </row>
    <row r="730" spans="1:17" x14ac:dyDescent="0.35">
      <c r="A730" s="2" t="s">
        <v>740</v>
      </c>
      <c r="B730" s="2">
        <v>5</v>
      </c>
      <c r="C730" s="2">
        <v>-51297293.920000002</v>
      </c>
      <c r="D730" s="2">
        <v>0.4</v>
      </c>
      <c r="E730" s="2">
        <v>101573033.2</v>
      </c>
      <c r="F730" s="2">
        <v>-136837011.59999999</v>
      </c>
      <c r="G730" s="2">
        <v>3</v>
      </c>
      <c r="H730" s="2">
        <v>3</v>
      </c>
      <c r="I730" s="2">
        <v>5</v>
      </c>
      <c r="J730" s="2">
        <v>3.4</v>
      </c>
      <c r="K730" s="2" t="s">
        <v>306</v>
      </c>
      <c r="L730" s="2" t="str">
        <f t="shared" si="66"/>
        <v>Loss Making</v>
      </c>
      <c r="M730" s="2" t="str">
        <f t="shared" si="67"/>
        <v>Stable Earnings</v>
      </c>
      <c r="N730" s="2" t="str">
        <f t="shared" si="68"/>
        <v>Low Quality</v>
      </c>
      <c r="O730" s="4" t="str">
        <f t="shared" si="69"/>
        <v>Accounting Risk</v>
      </c>
      <c r="P730" s="4" t="str">
        <f t="shared" si="70"/>
        <v>Low Quality</v>
      </c>
      <c r="Q730" s="4" t="str">
        <f t="shared" si="71"/>
        <v>Strong Long-Term Growth</v>
      </c>
    </row>
    <row r="731" spans="1:17" x14ac:dyDescent="0.35">
      <c r="A731" s="2" t="s">
        <v>741</v>
      </c>
      <c r="B731" s="2">
        <v>5</v>
      </c>
      <c r="C731" s="2">
        <v>5873279.7800000003</v>
      </c>
      <c r="D731" s="2">
        <v>0.6</v>
      </c>
      <c r="E731" s="2">
        <v>49079087.350000001</v>
      </c>
      <c r="F731" s="2">
        <v>-133071912.8</v>
      </c>
      <c r="G731" s="2">
        <v>3</v>
      </c>
      <c r="H731" s="2">
        <v>3</v>
      </c>
      <c r="I731" s="2">
        <v>5</v>
      </c>
      <c r="J731" s="2">
        <v>3.4</v>
      </c>
      <c r="K731" s="2" t="s">
        <v>306</v>
      </c>
      <c r="L731" s="2" t="str">
        <f t="shared" si="66"/>
        <v>Profitable</v>
      </c>
      <c r="M731" s="2" t="str">
        <f t="shared" si="67"/>
        <v>Stable Earnings</v>
      </c>
      <c r="N731" s="2" t="str">
        <f t="shared" si="68"/>
        <v>Low Quality</v>
      </c>
      <c r="O731" s="4" t="str">
        <f t="shared" si="69"/>
        <v>Accounting Risk</v>
      </c>
      <c r="P731" s="4" t="str">
        <f t="shared" si="70"/>
        <v>Low Quality</v>
      </c>
      <c r="Q731" s="4" t="str">
        <f t="shared" si="71"/>
        <v>Strong Long-Term Growth</v>
      </c>
    </row>
    <row r="732" spans="1:17" x14ac:dyDescent="0.35">
      <c r="A732" s="2" t="s">
        <v>742</v>
      </c>
      <c r="B732" s="2">
        <v>5</v>
      </c>
      <c r="C732" s="2">
        <v>124816953.7</v>
      </c>
      <c r="D732" s="2">
        <v>0.8</v>
      </c>
      <c r="E732" s="2">
        <v>83412114.709999993</v>
      </c>
      <c r="F732" s="2">
        <v>-133092925.40000001</v>
      </c>
      <c r="G732" s="2">
        <v>3</v>
      </c>
      <c r="H732" s="2">
        <v>3</v>
      </c>
      <c r="I732" s="2">
        <v>5</v>
      </c>
      <c r="J732" s="2">
        <v>3.4</v>
      </c>
      <c r="K732" s="2" t="s">
        <v>306</v>
      </c>
      <c r="L732" s="2" t="str">
        <f t="shared" si="66"/>
        <v>Profitable</v>
      </c>
      <c r="M732" s="2" t="str">
        <f t="shared" si="67"/>
        <v>Stable Earnings</v>
      </c>
      <c r="N732" s="2" t="str">
        <f t="shared" si="68"/>
        <v>Low Quality</v>
      </c>
      <c r="O732" s="4" t="str">
        <f t="shared" si="69"/>
        <v>Accounting Risk</v>
      </c>
      <c r="P732" s="4" t="str">
        <f t="shared" si="70"/>
        <v>Low Quality</v>
      </c>
      <c r="Q732" s="4" t="str">
        <f t="shared" si="71"/>
        <v>Strong Long-Term Growth</v>
      </c>
    </row>
    <row r="733" spans="1:17" x14ac:dyDescent="0.35">
      <c r="A733" s="2" t="s">
        <v>743</v>
      </c>
      <c r="B733" s="2">
        <v>5</v>
      </c>
      <c r="C733" s="2">
        <v>46920482.659999996</v>
      </c>
      <c r="D733" s="2">
        <v>0.6</v>
      </c>
      <c r="E733" s="2">
        <v>61793704.600000001</v>
      </c>
      <c r="F733" s="2">
        <v>-133676779.3</v>
      </c>
      <c r="G733" s="2">
        <v>3</v>
      </c>
      <c r="H733" s="2">
        <v>3</v>
      </c>
      <c r="I733" s="2">
        <v>5</v>
      </c>
      <c r="J733" s="2">
        <v>3.4</v>
      </c>
      <c r="K733" s="2" t="s">
        <v>306</v>
      </c>
      <c r="L733" s="2" t="str">
        <f t="shared" si="66"/>
        <v>Profitable</v>
      </c>
      <c r="M733" s="2" t="str">
        <f t="shared" si="67"/>
        <v>Stable Earnings</v>
      </c>
      <c r="N733" s="2" t="str">
        <f t="shared" si="68"/>
        <v>Low Quality</v>
      </c>
      <c r="O733" s="4" t="str">
        <f t="shared" si="69"/>
        <v>Accounting Risk</v>
      </c>
      <c r="P733" s="4" t="str">
        <f t="shared" si="70"/>
        <v>Low Quality</v>
      </c>
      <c r="Q733" s="4" t="str">
        <f t="shared" si="71"/>
        <v>Strong Long-Term Growth</v>
      </c>
    </row>
    <row r="734" spans="1:17" x14ac:dyDescent="0.35">
      <c r="A734" s="2" t="s">
        <v>744</v>
      </c>
      <c r="B734" s="2">
        <v>5</v>
      </c>
      <c r="C734" s="2">
        <v>62340481.140000001</v>
      </c>
      <c r="D734" s="2">
        <v>0.8</v>
      </c>
      <c r="E734" s="2">
        <v>63571796.310000002</v>
      </c>
      <c r="F734" s="2">
        <v>-130305906</v>
      </c>
      <c r="G734" s="2">
        <v>3</v>
      </c>
      <c r="H734" s="2">
        <v>3</v>
      </c>
      <c r="I734" s="2">
        <v>5</v>
      </c>
      <c r="J734" s="2">
        <v>3.4</v>
      </c>
      <c r="K734" s="2" t="s">
        <v>306</v>
      </c>
      <c r="L734" s="2" t="str">
        <f t="shared" si="66"/>
        <v>Profitable</v>
      </c>
      <c r="M734" s="2" t="str">
        <f t="shared" si="67"/>
        <v>Stable Earnings</v>
      </c>
      <c r="N734" s="2" t="str">
        <f t="shared" si="68"/>
        <v>Low Quality</v>
      </c>
      <c r="O734" s="4" t="str">
        <f t="shared" si="69"/>
        <v>Accounting Risk</v>
      </c>
      <c r="P734" s="4" t="str">
        <f t="shared" si="70"/>
        <v>Low Quality</v>
      </c>
      <c r="Q734" s="4" t="str">
        <f t="shared" si="71"/>
        <v>Strong Long-Term Growth</v>
      </c>
    </row>
    <row r="735" spans="1:17" x14ac:dyDescent="0.35">
      <c r="A735" s="2" t="s">
        <v>745</v>
      </c>
      <c r="B735" s="2">
        <v>5</v>
      </c>
      <c r="C735" s="2">
        <v>36623151.020000003</v>
      </c>
      <c r="D735" s="2">
        <v>0.6</v>
      </c>
      <c r="E735" s="2">
        <v>82318954.959999993</v>
      </c>
      <c r="F735" s="2">
        <v>-128361941.2</v>
      </c>
      <c r="G735" s="2">
        <v>3</v>
      </c>
      <c r="H735" s="2">
        <v>3</v>
      </c>
      <c r="I735" s="2">
        <v>5</v>
      </c>
      <c r="J735" s="2">
        <v>3.4</v>
      </c>
      <c r="K735" s="2" t="s">
        <v>306</v>
      </c>
      <c r="L735" s="2" t="str">
        <f t="shared" si="66"/>
        <v>Profitable</v>
      </c>
      <c r="M735" s="2" t="str">
        <f t="shared" si="67"/>
        <v>Stable Earnings</v>
      </c>
      <c r="N735" s="2" t="str">
        <f t="shared" si="68"/>
        <v>Low Quality</v>
      </c>
      <c r="O735" s="4" t="str">
        <f t="shared" si="69"/>
        <v>Accounting Risk</v>
      </c>
      <c r="P735" s="4" t="str">
        <f t="shared" si="70"/>
        <v>Low Quality</v>
      </c>
      <c r="Q735" s="4" t="str">
        <f t="shared" si="71"/>
        <v>Strong Long-Term Growth</v>
      </c>
    </row>
    <row r="736" spans="1:17" x14ac:dyDescent="0.35">
      <c r="A736" s="2" t="s">
        <v>746</v>
      </c>
      <c r="B736" s="2">
        <v>5</v>
      </c>
      <c r="C736" s="2">
        <v>-7076080.2199999997</v>
      </c>
      <c r="D736" s="2">
        <v>0.6</v>
      </c>
      <c r="E736" s="2">
        <v>72968122.829999998</v>
      </c>
      <c r="F736" s="2">
        <v>-126661999.90000001</v>
      </c>
      <c r="G736" s="2">
        <v>3</v>
      </c>
      <c r="H736" s="2">
        <v>3</v>
      </c>
      <c r="I736" s="2">
        <v>5</v>
      </c>
      <c r="J736" s="2">
        <v>3.4</v>
      </c>
      <c r="K736" s="2" t="s">
        <v>306</v>
      </c>
      <c r="L736" s="2" t="str">
        <f t="shared" si="66"/>
        <v>Loss Making</v>
      </c>
      <c r="M736" s="2" t="str">
        <f t="shared" si="67"/>
        <v>Stable Earnings</v>
      </c>
      <c r="N736" s="2" t="str">
        <f t="shared" si="68"/>
        <v>Low Quality</v>
      </c>
      <c r="O736" s="4" t="str">
        <f t="shared" si="69"/>
        <v>Accounting Risk</v>
      </c>
      <c r="P736" s="4" t="str">
        <f t="shared" si="70"/>
        <v>Low Quality</v>
      </c>
      <c r="Q736" s="4" t="str">
        <f t="shared" si="71"/>
        <v>Strong Long-Term Growth</v>
      </c>
    </row>
    <row r="737" spans="1:17" x14ac:dyDescent="0.35">
      <c r="A737" s="2" t="s">
        <v>747</v>
      </c>
      <c r="B737" s="2">
        <v>5</v>
      </c>
      <c r="C737" s="2">
        <v>-8317559.6799999997</v>
      </c>
      <c r="D737" s="2">
        <v>0.6</v>
      </c>
      <c r="E737" s="2">
        <v>100768586.8</v>
      </c>
      <c r="F737" s="2">
        <v>-234064460.69999999</v>
      </c>
      <c r="G737" s="2">
        <v>3</v>
      </c>
      <c r="H737" s="2">
        <v>3</v>
      </c>
      <c r="I737" s="2">
        <v>5</v>
      </c>
      <c r="J737" s="2">
        <v>3.4</v>
      </c>
      <c r="K737" s="2" t="s">
        <v>306</v>
      </c>
      <c r="L737" s="2" t="str">
        <f t="shared" si="66"/>
        <v>Loss Making</v>
      </c>
      <c r="M737" s="2" t="str">
        <f t="shared" si="67"/>
        <v>Stable Earnings</v>
      </c>
      <c r="N737" s="2" t="str">
        <f t="shared" si="68"/>
        <v>Low Quality</v>
      </c>
      <c r="O737" s="4" t="str">
        <f t="shared" si="69"/>
        <v>Accounting Risk</v>
      </c>
      <c r="P737" s="4" t="str">
        <f t="shared" si="70"/>
        <v>Low Quality</v>
      </c>
      <c r="Q737" s="4" t="str">
        <f t="shared" si="71"/>
        <v>Strong Long-Term Growth</v>
      </c>
    </row>
    <row r="738" spans="1:17" x14ac:dyDescent="0.35">
      <c r="A738" s="2" t="s">
        <v>748</v>
      </c>
      <c r="B738" s="2">
        <v>5</v>
      </c>
      <c r="C738" s="2">
        <v>-13013942.68</v>
      </c>
      <c r="D738" s="2">
        <v>0.6</v>
      </c>
      <c r="E738" s="2">
        <v>91033125.870000005</v>
      </c>
      <c r="F738" s="2">
        <v>-219832778.90000001</v>
      </c>
      <c r="G738" s="2">
        <v>3</v>
      </c>
      <c r="H738" s="2">
        <v>3</v>
      </c>
      <c r="I738" s="2">
        <v>5</v>
      </c>
      <c r="J738" s="2">
        <v>3.4</v>
      </c>
      <c r="K738" s="2" t="s">
        <v>306</v>
      </c>
      <c r="L738" s="2" t="str">
        <f t="shared" si="66"/>
        <v>Loss Making</v>
      </c>
      <c r="M738" s="2" t="str">
        <f t="shared" si="67"/>
        <v>Stable Earnings</v>
      </c>
      <c r="N738" s="2" t="str">
        <f t="shared" si="68"/>
        <v>Low Quality</v>
      </c>
      <c r="O738" s="4" t="str">
        <f t="shared" si="69"/>
        <v>Accounting Risk</v>
      </c>
      <c r="P738" s="4" t="str">
        <f t="shared" si="70"/>
        <v>Low Quality</v>
      </c>
      <c r="Q738" s="4" t="str">
        <f t="shared" si="71"/>
        <v>Strong Long-Term Growth</v>
      </c>
    </row>
    <row r="739" spans="1:17" x14ac:dyDescent="0.35">
      <c r="A739" s="2" t="s">
        <v>749</v>
      </c>
      <c r="B739" s="2">
        <v>5</v>
      </c>
      <c r="C739" s="2">
        <v>32248208.16</v>
      </c>
      <c r="D739" s="2">
        <v>0.6</v>
      </c>
      <c r="E739" s="2">
        <v>98899795.359999999</v>
      </c>
      <c r="F739" s="2">
        <v>-180540084.19999999</v>
      </c>
      <c r="G739" s="2">
        <v>3</v>
      </c>
      <c r="H739" s="2">
        <v>3</v>
      </c>
      <c r="I739" s="2">
        <v>5</v>
      </c>
      <c r="J739" s="2">
        <v>3.4</v>
      </c>
      <c r="K739" s="2" t="s">
        <v>306</v>
      </c>
      <c r="L739" s="2" t="str">
        <f t="shared" si="66"/>
        <v>Profitable</v>
      </c>
      <c r="M739" s="2" t="str">
        <f t="shared" si="67"/>
        <v>Stable Earnings</v>
      </c>
      <c r="N739" s="2" t="str">
        <f t="shared" si="68"/>
        <v>Low Quality</v>
      </c>
      <c r="O739" s="4" t="str">
        <f t="shared" si="69"/>
        <v>Accounting Risk</v>
      </c>
      <c r="P739" s="4" t="str">
        <f t="shared" si="70"/>
        <v>Low Quality</v>
      </c>
      <c r="Q739" s="4" t="str">
        <f t="shared" si="71"/>
        <v>Strong Long-Term Growth</v>
      </c>
    </row>
    <row r="740" spans="1:17" x14ac:dyDescent="0.35">
      <c r="A740" s="2" t="s">
        <v>750</v>
      </c>
      <c r="B740" s="2">
        <v>5</v>
      </c>
      <c r="C740" s="2">
        <v>-18524364.039999999</v>
      </c>
      <c r="D740" s="2">
        <v>0.6</v>
      </c>
      <c r="E740" s="2">
        <v>72796489.879999995</v>
      </c>
      <c r="F740" s="2">
        <v>-181331823.59999999</v>
      </c>
      <c r="G740" s="2">
        <v>3</v>
      </c>
      <c r="H740" s="2">
        <v>3</v>
      </c>
      <c r="I740" s="2">
        <v>5</v>
      </c>
      <c r="J740" s="2">
        <v>3.4</v>
      </c>
      <c r="K740" s="2" t="s">
        <v>306</v>
      </c>
      <c r="L740" s="2" t="str">
        <f t="shared" si="66"/>
        <v>Loss Making</v>
      </c>
      <c r="M740" s="2" t="str">
        <f t="shared" si="67"/>
        <v>Stable Earnings</v>
      </c>
      <c r="N740" s="2" t="str">
        <f t="shared" si="68"/>
        <v>Low Quality</v>
      </c>
      <c r="O740" s="4" t="str">
        <f t="shared" si="69"/>
        <v>Accounting Risk</v>
      </c>
      <c r="P740" s="4" t="str">
        <f t="shared" si="70"/>
        <v>Low Quality</v>
      </c>
      <c r="Q740" s="4" t="str">
        <f t="shared" si="71"/>
        <v>Strong Long-Term Growth</v>
      </c>
    </row>
    <row r="741" spans="1:17" x14ac:dyDescent="0.35">
      <c r="A741" s="2" t="s">
        <v>751</v>
      </c>
      <c r="B741" s="2">
        <v>5</v>
      </c>
      <c r="C741" s="2">
        <v>-44643527.240000002</v>
      </c>
      <c r="D741" s="2">
        <v>0.6</v>
      </c>
      <c r="E741" s="2">
        <v>104951664.2</v>
      </c>
      <c r="F741" s="2">
        <v>-166779887.30000001</v>
      </c>
      <c r="G741" s="2">
        <v>3</v>
      </c>
      <c r="H741" s="2">
        <v>3</v>
      </c>
      <c r="I741" s="2">
        <v>5</v>
      </c>
      <c r="J741" s="2">
        <v>3.4</v>
      </c>
      <c r="K741" s="2" t="s">
        <v>306</v>
      </c>
      <c r="L741" s="2" t="str">
        <f t="shared" si="66"/>
        <v>Loss Making</v>
      </c>
      <c r="M741" s="2" t="str">
        <f t="shared" si="67"/>
        <v>Stable Earnings</v>
      </c>
      <c r="N741" s="2" t="str">
        <f t="shared" si="68"/>
        <v>Low Quality</v>
      </c>
      <c r="O741" s="4" t="str">
        <f t="shared" si="69"/>
        <v>Accounting Risk</v>
      </c>
      <c r="P741" s="4" t="str">
        <f t="shared" si="70"/>
        <v>Low Quality</v>
      </c>
      <c r="Q741" s="4" t="str">
        <f t="shared" si="71"/>
        <v>Strong Long-Term Growth</v>
      </c>
    </row>
    <row r="742" spans="1:17" x14ac:dyDescent="0.35">
      <c r="A742" s="2" t="s">
        <v>752</v>
      </c>
      <c r="B742" s="2">
        <v>5</v>
      </c>
      <c r="C742" s="2">
        <v>66284644.119999997</v>
      </c>
      <c r="D742" s="2">
        <v>0.6</v>
      </c>
      <c r="E742" s="2">
        <v>92594756.280000001</v>
      </c>
      <c r="F742" s="2">
        <v>-114937293.90000001</v>
      </c>
      <c r="G742" s="2">
        <v>3</v>
      </c>
      <c r="H742" s="2">
        <v>3</v>
      </c>
      <c r="I742" s="2">
        <v>5</v>
      </c>
      <c r="J742" s="2">
        <v>3.4</v>
      </c>
      <c r="K742" s="2" t="s">
        <v>306</v>
      </c>
      <c r="L742" s="2" t="str">
        <f t="shared" si="66"/>
        <v>Profitable</v>
      </c>
      <c r="M742" s="2" t="str">
        <f t="shared" si="67"/>
        <v>Stable Earnings</v>
      </c>
      <c r="N742" s="2" t="str">
        <f t="shared" si="68"/>
        <v>Low Quality</v>
      </c>
      <c r="O742" s="4" t="str">
        <f t="shared" si="69"/>
        <v>Accounting Risk</v>
      </c>
      <c r="P742" s="4" t="str">
        <f t="shared" si="70"/>
        <v>Low Quality</v>
      </c>
      <c r="Q742" s="4" t="str">
        <f t="shared" si="71"/>
        <v>Strong Long-Term Growth</v>
      </c>
    </row>
    <row r="743" spans="1:17" x14ac:dyDescent="0.35">
      <c r="A743" s="2" t="s">
        <v>753</v>
      </c>
      <c r="B743" s="2">
        <v>5</v>
      </c>
      <c r="C743" s="2">
        <v>76671014.420000002</v>
      </c>
      <c r="D743" s="2">
        <v>0.8</v>
      </c>
      <c r="E743" s="2">
        <v>88493126.739999995</v>
      </c>
      <c r="F743" s="2">
        <v>-122043721.59999999</v>
      </c>
      <c r="G743" s="2">
        <v>3</v>
      </c>
      <c r="H743" s="2">
        <v>3</v>
      </c>
      <c r="I743" s="2">
        <v>5</v>
      </c>
      <c r="J743" s="2">
        <v>3.4</v>
      </c>
      <c r="K743" s="2" t="s">
        <v>306</v>
      </c>
      <c r="L743" s="2" t="str">
        <f t="shared" si="66"/>
        <v>Profitable</v>
      </c>
      <c r="M743" s="2" t="str">
        <f t="shared" si="67"/>
        <v>Stable Earnings</v>
      </c>
      <c r="N743" s="2" t="str">
        <f t="shared" si="68"/>
        <v>Low Quality</v>
      </c>
      <c r="O743" s="4" t="str">
        <f t="shared" si="69"/>
        <v>Accounting Risk</v>
      </c>
      <c r="P743" s="4" t="str">
        <f t="shared" si="70"/>
        <v>Low Quality</v>
      </c>
      <c r="Q743" s="4" t="str">
        <f t="shared" si="71"/>
        <v>Strong Long-Term Growth</v>
      </c>
    </row>
    <row r="744" spans="1:17" x14ac:dyDescent="0.35">
      <c r="A744" s="2" t="s">
        <v>754</v>
      </c>
      <c r="B744" s="2">
        <v>5</v>
      </c>
      <c r="C744" s="2">
        <v>108909325.2</v>
      </c>
      <c r="D744" s="2">
        <v>0.8</v>
      </c>
      <c r="E744" s="2">
        <v>89732639.849999994</v>
      </c>
      <c r="F744" s="2">
        <v>-115993744.90000001</v>
      </c>
      <c r="G744" s="2">
        <v>3</v>
      </c>
      <c r="H744" s="2">
        <v>3</v>
      </c>
      <c r="I744" s="2">
        <v>5</v>
      </c>
      <c r="J744" s="2">
        <v>3.4</v>
      </c>
      <c r="K744" s="2" t="s">
        <v>306</v>
      </c>
      <c r="L744" s="2" t="str">
        <f t="shared" si="66"/>
        <v>Profitable</v>
      </c>
      <c r="M744" s="2" t="str">
        <f t="shared" si="67"/>
        <v>Stable Earnings</v>
      </c>
      <c r="N744" s="2" t="str">
        <f t="shared" si="68"/>
        <v>Low Quality</v>
      </c>
      <c r="O744" s="4" t="str">
        <f t="shared" si="69"/>
        <v>Accounting Risk</v>
      </c>
      <c r="P744" s="4" t="str">
        <f t="shared" si="70"/>
        <v>Low Quality</v>
      </c>
      <c r="Q744" s="4" t="str">
        <f t="shared" si="71"/>
        <v>Strong Long-Term Growth</v>
      </c>
    </row>
    <row r="745" spans="1:17" x14ac:dyDescent="0.35">
      <c r="A745" s="2" t="s">
        <v>755</v>
      </c>
      <c r="B745" s="2">
        <v>5</v>
      </c>
      <c r="C745" s="2">
        <v>65955684.600000001</v>
      </c>
      <c r="D745" s="2">
        <v>0.8</v>
      </c>
      <c r="E745" s="2">
        <v>66113727.43</v>
      </c>
      <c r="F745" s="2">
        <v>-112111592.5</v>
      </c>
      <c r="G745" s="2">
        <v>3</v>
      </c>
      <c r="H745" s="2">
        <v>3</v>
      </c>
      <c r="I745" s="2">
        <v>5</v>
      </c>
      <c r="J745" s="2">
        <v>3.4</v>
      </c>
      <c r="K745" s="2" t="s">
        <v>306</v>
      </c>
      <c r="L745" s="2" t="str">
        <f t="shared" si="66"/>
        <v>Profitable</v>
      </c>
      <c r="M745" s="2" t="str">
        <f t="shared" si="67"/>
        <v>Stable Earnings</v>
      </c>
      <c r="N745" s="2" t="str">
        <f t="shared" si="68"/>
        <v>Low Quality</v>
      </c>
      <c r="O745" s="4" t="str">
        <f t="shared" si="69"/>
        <v>Accounting Risk</v>
      </c>
      <c r="P745" s="4" t="str">
        <f t="shared" si="70"/>
        <v>Low Quality</v>
      </c>
      <c r="Q745" s="4" t="str">
        <f t="shared" si="71"/>
        <v>Strong Long-Term Growth</v>
      </c>
    </row>
    <row r="746" spans="1:17" x14ac:dyDescent="0.35">
      <c r="A746" s="2" t="s">
        <v>756</v>
      </c>
      <c r="B746" s="2">
        <v>5</v>
      </c>
      <c r="C746" s="2">
        <v>759322.7</v>
      </c>
      <c r="D746" s="2">
        <v>0.6</v>
      </c>
      <c r="E746" s="2">
        <v>62494921.32</v>
      </c>
      <c r="F746" s="2">
        <v>-108078775</v>
      </c>
      <c r="G746" s="2">
        <v>3</v>
      </c>
      <c r="H746" s="2">
        <v>3</v>
      </c>
      <c r="I746" s="2">
        <v>5</v>
      </c>
      <c r="J746" s="2">
        <v>3.4</v>
      </c>
      <c r="K746" s="2" t="s">
        <v>306</v>
      </c>
      <c r="L746" s="2" t="str">
        <f t="shared" si="66"/>
        <v>Profitable</v>
      </c>
      <c r="M746" s="2" t="str">
        <f t="shared" si="67"/>
        <v>Stable Earnings</v>
      </c>
      <c r="N746" s="2" t="str">
        <f t="shared" si="68"/>
        <v>Low Quality</v>
      </c>
      <c r="O746" s="4" t="str">
        <f t="shared" si="69"/>
        <v>Accounting Risk</v>
      </c>
      <c r="P746" s="4" t="str">
        <f t="shared" si="70"/>
        <v>Low Quality</v>
      </c>
      <c r="Q746" s="4" t="str">
        <f t="shared" si="71"/>
        <v>Strong Long-Term Growth</v>
      </c>
    </row>
    <row r="747" spans="1:17" x14ac:dyDescent="0.35">
      <c r="A747" s="2" t="s">
        <v>757</v>
      </c>
      <c r="B747" s="2">
        <v>5</v>
      </c>
      <c r="C747" s="2">
        <v>57345919.200000003</v>
      </c>
      <c r="D747" s="2">
        <v>0.8</v>
      </c>
      <c r="E747" s="2">
        <v>49996948.299999997</v>
      </c>
      <c r="F747" s="2">
        <v>-101073202.2</v>
      </c>
      <c r="G747" s="2">
        <v>3</v>
      </c>
      <c r="H747" s="2">
        <v>3</v>
      </c>
      <c r="I747" s="2">
        <v>5</v>
      </c>
      <c r="J747" s="2">
        <v>3.4</v>
      </c>
      <c r="K747" s="2" t="s">
        <v>306</v>
      </c>
      <c r="L747" s="2" t="str">
        <f t="shared" si="66"/>
        <v>Profitable</v>
      </c>
      <c r="M747" s="2" t="str">
        <f t="shared" si="67"/>
        <v>Stable Earnings</v>
      </c>
      <c r="N747" s="2" t="str">
        <f t="shared" si="68"/>
        <v>Low Quality</v>
      </c>
      <c r="O747" s="4" t="str">
        <f t="shared" si="69"/>
        <v>Accounting Risk</v>
      </c>
      <c r="P747" s="4" t="str">
        <f t="shared" si="70"/>
        <v>Low Quality</v>
      </c>
      <c r="Q747" s="4" t="str">
        <f t="shared" si="71"/>
        <v>Strong Long-Term Growth</v>
      </c>
    </row>
    <row r="748" spans="1:17" x14ac:dyDescent="0.35">
      <c r="A748" s="2" t="s">
        <v>758</v>
      </c>
      <c r="B748" s="2">
        <v>5</v>
      </c>
      <c r="C748" s="2">
        <v>33471408.68</v>
      </c>
      <c r="D748" s="2">
        <v>0.6</v>
      </c>
      <c r="E748" s="2">
        <v>86912562.859999999</v>
      </c>
      <c r="F748" s="2">
        <v>-97258910.200000003</v>
      </c>
      <c r="G748" s="2">
        <v>3</v>
      </c>
      <c r="H748" s="2">
        <v>3</v>
      </c>
      <c r="I748" s="2">
        <v>5</v>
      </c>
      <c r="J748" s="2">
        <v>3.4</v>
      </c>
      <c r="K748" s="2" t="s">
        <v>306</v>
      </c>
      <c r="L748" s="2" t="str">
        <f t="shared" si="66"/>
        <v>Profitable</v>
      </c>
      <c r="M748" s="2" t="str">
        <f t="shared" si="67"/>
        <v>Stable Earnings</v>
      </c>
      <c r="N748" s="2" t="str">
        <f t="shared" si="68"/>
        <v>Low Quality</v>
      </c>
      <c r="O748" s="4" t="str">
        <f t="shared" si="69"/>
        <v>Accounting Risk</v>
      </c>
      <c r="P748" s="4" t="str">
        <f t="shared" si="70"/>
        <v>Low Quality</v>
      </c>
      <c r="Q748" s="4" t="str">
        <f t="shared" si="71"/>
        <v>Strong Long-Term Growth</v>
      </c>
    </row>
    <row r="749" spans="1:17" x14ac:dyDescent="0.35">
      <c r="A749" s="2" t="s">
        <v>759</v>
      </c>
      <c r="B749" s="2">
        <v>5</v>
      </c>
      <c r="C749" s="2">
        <v>34740704.359999999</v>
      </c>
      <c r="D749" s="2">
        <v>0.8</v>
      </c>
      <c r="E749" s="2">
        <v>67244806.269999996</v>
      </c>
      <c r="F749" s="2">
        <v>-94399519.5</v>
      </c>
      <c r="G749" s="2">
        <v>3</v>
      </c>
      <c r="H749" s="2">
        <v>3</v>
      </c>
      <c r="I749" s="2">
        <v>5</v>
      </c>
      <c r="J749" s="2">
        <v>3.4</v>
      </c>
      <c r="K749" s="2" t="s">
        <v>306</v>
      </c>
      <c r="L749" s="2" t="str">
        <f t="shared" si="66"/>
        <v>Profitable</v>
      </c>
      <c r="M749" s="2" t="str">
        <f t="shared" si="67"/>
        <v>Stable Earnings</v>
      </c>
      <c r="N749" s="2" t="str">
        <f t="shared" si="68"/>
        <v>Low Quality</v>
      </c>
      <c r="O749" s="4" t="str">
        <f t="shared" si="69"/>
        <v>Accounting Risk</v>
      </c>
      <c r="P749" s="4" t="str">
        <f t="shared" si="70"/>
        <v>Low Quality</v>
      </c>
      <c r="Q749" s="4" t="str">
        <f t="shared" si="71"/>
        <v>Strong Long-Term Growth</v>
      </c>
    </row>
    <row r="750" spans="1:17" x14ac:dyDescent="0.35">
      <c r="A750" s="2" t="s">
        <v>760</v>
      </c>
      <c r="B750" s="2">
        <v>5</v>
      </c>
      <c r="C750" s="2">
        <v>71582931.939999998</v>
      </c>
      <c r="D750" s="2">
        <v>0.6</v>
      </c>
      <c r="E750" s="2">
        <v>90217439.5</v>
      </c>
      <c r="F750" s="2">
        <v>-82665175.299999997</v>
      </c>
      <c r="G750" s="2">
        <v>3</v>
      </c>
      <c r="H750" s="2">
        <v>3</v>
      </c>
      <c r="I750" s="2">
        <v>5</v>
      </c>
      <c r="J750" s="2">
        <v>3.4</v>
      </c>
      <c r="K750" s="2" t="s">
        <v>306</v>
      </c>
      <c r="L750" s="2" t="str">
        <f t="shared" si="66"/>
        <v>Profitable</v>
      </c>
      <c r="M750" s="2" t="str">
        <f t="shared" si="67"/>
        <v>Stable Earnings</v>
      </c>
      <c r="N750" s="2" t="str">
        <f t="shared" si="68"/>
        <v>Low Quality</v>
      </c>
      <c r="O750" s="4" t="str">
        <f t="shared" si="69"/>
        <v>Accounting Risk</v>
      </c>
      <c r="P750" s="4" t="str">
        <f t="shared" si="70"/>
        <v>Low Quality</v>
      </c>
      <c r="Q750" s="4" t="str">
        <f t="shared" si="71"/>
        <v>Strong Long-Term Growth</v>
      </c>
    </row>
    <row r="751" spans="1:17" x14ac:dyDescent="0.35">
      <c r="A751" s="2" t="s">
        <v>761</v>
      </c>
      <c r="B751" s="2">
        <v>5</v>
      </c>
      <c r="C751" s="2">
        <v>38598691.060000002</v>
      </c>
      <c r="D751" s="2">
        <v>0.8</v>
      </c>
      <c r="E751" s="2">
        <v>57974221.299999997</v>
      </c>
      <c r="F751" s="2">
        <v>-78710746.599999994</v>
      </c>
      <c r="G751" s="2">
        <v>3</v>
      </c>
      <c r="H751" s="2">
        <v>3</v>
      </c>
      <c r="I751" s="2">
        <v>5</v>
      </c>
      <c r="J751" s="2">
        <v>3.4</v>
      </c>
      <c r="K751" s="2" t="s">
        <v>306</v>
      </c>
      <c r="L751" s="2" t="str">
        <f t="shared" si="66"/>
        <v>Profitable</v>
      </c>
      <c r="M751" s="2" t="str">
        <f t="shared" si="67"/>
        <v>Stable Earnings</v>
      </c>
      <c r="N751" s="2" t="str">
        <f t="shared" si="68"/>
        <v>Low Quality</v>
      </c>
      <c r="O751" s="4" t="str">
        <f t="shared" si="69"/>
        <v>Accounting Risk</v>
      </c>
      <c r="P751" s="4" t="str">
        <f t="shared" si="70"/>
        <v>Low Quality</v>
      </c>
      <c r="Q751" s="4" t="str">
        <f t="shared" si="71"/>
        <v>Strong Long-Term Growth</v>
      </c>
    </row>
    <row r="752" spans="1:17" x14ac:dyDescent="0.35">
      <c r="A752" s="2" t="s">
        <v>762</v>
      </c>
      <c r="B752" s="2">
        <v>5</v>
      </c>
      <c r="C752" s="2">
        <v>33993824.560000002</v>
      </c>
      <c r="D752" s="2">
        <v>0.6</v>
      </c>
      <c r="E752" s="2">
        <v>68384304.379999995</v>
      </c>
      <c r="F752" s="2">
        <v>-78885335.5</v>
      </c>
      <c r="G752" s="2">
        <v>3</v>
      </c>
      <c r="H752" s="2">
        <v>3</v>
      </c>
      <c r="I752" s="2">
        <v>5</v>
      </c>
      <c r="J752" s="2">
        <v>3.4</v>
      </c>
      <c r="K752" s="2" t="s">
        <v>306</v>
      </c>
      <c r="L752" s="2" t="str">
        <f t="shared" si="66"/>
        <v>Profitable</v>
      </c>
      <c r="M752" s="2" t="str">
        <f t="shared" si="67"/>
        <v>Stable Earnings</v>
      </c>
      <c r="N752" s="2" t="str">
        <f t="shared" si="68"/>
        <v>Low Quality</v>
      </c>
      <c r="O752" s="4" t="str">
        <f t="shared" si="69"/>
        <v>Accounting Risk</v>
      </c>
      <c r="P752" s="4" t="str">
        <f t="shared" si="70"/>
        <v>Low Quality</v>
      </c>
      <c r="Q752" s="4" t="str">
        <f t="shared" si="71"/>
        <v>Strong Long-Term Growth</v>
      </c>
    </row>
    <row r="753" spans="1:17" x14ac:dyDescent="0.35">
      <c r="A753" s="2" t="s">
        <v>763</v>
      </c>
      <c r="B753" s="2">
        <v>5</v>
      </c>
      <c r="C753" s="2">
        <v>6089048.6600000001</v>
      </c>
      <c r="D753" s="2">
        <v>0.6</v>
      </c>
      <c r="E753" s="2">
        <v>91727368.519999996</v>
      </c>
      <c r="F753" s="2">
        <v>-80098583.400000006</v>
      </c>
      <c r="G753" s="2">
        <v>3</v>
      </c>
      <c r="H753" s="2">
        <v>3</v>
      </c>
      <c r="I753" s="2">
        <v>5</v>
      </c>
      <c r="J753" s="2">
        <v>3.4</v>
      </c>
      <c r="K753" s="2" t="s">
        <v>306</v>
      </c>
      <c r="L753" s="2" t="str">
        <f t="shared" si="66"/>
        <v>Profitable</v>
      </c>
      <c r="M753" s="2" t="str">
        <f t="shared" si="67"/>
        <v>Stable Earnings</v>
      </c>
      <c r="N753" s="2" t="str">
        <f t="shared" si="68"/>
        <v>Low Quality</v>
      </c>
      <c r="O753" s="4" t="str">
        <f t="shared" si="69"/>
        <v>Accounting Risk</v>
      </c>
      <c r="P753" s="4" t="str">
        <f t="shared" si="70"/>
        <v>Low Quality</v>
      </c>
      <c r="Q753" s="4" t="str">
        <f t="shared" si="71"/>
        <v>Strong Long-Term Growth</v>
      </c>
    </row>
    <row r="754" spans="1:17" x14ac:dyDescent="0.35">
      <c r="A754" s="2" t="s">
        <v>764</v>
      </c>
      <c r="B754" s="2">
        <v>5</v>
      </c>
      <c r="C754" s="2">
        <v>-74996363.599999994</v>
      </c>
      <c r="D754" s="2">
        <v>0</v>
      </c>
      <c r="E754" s="2">
        <v>31511543.010000002</v>
      </c>
      <c r="F754" s="2">
        <v>-74628137.299999997</v>
      </c>
      <c r="G754" s="2">
        <v>4</v>
      </c>
      <c r="H754" s="2">
        <v>2</v>
      </c>
      <c r="I754" s="2">
        <v>4</v>
      </c>
      <c r="J754" s="2">
        <v>3.4</v>
      </c>
      <c r="K754" s="2" t="s">
        <v>306</v>
      </c>
      <c r="L754" s="2" t="str">
        <f t="shared" si="66"/>
        <v>Loss Making</v>
      </c>
      <c r="M754" s="2" t="str">
        <f t="shared" si="67"/>
        <v>Stable Earnings</v>
      </c>
      <c r="N754" s="2" t="str">
        <f t="shared" si="68"/>
        <v>Moderate</v>
      </c>
      <c r="O754" s="4" t="str">
        <f t="shared" si="69"/>
        <v>Accounting Risk</v>
      </c>
      <c r="P754" s="4" t="str">
        <f t="shared" si="70"/>
        <v>Moderate</v>
      </c>
      <c r="Q754" s="4" t="str">
        <f t="shared" si="71"/>
        <v>Strong Long-Term Growth</v>
      </c>
    </row>
    <row r="755" spans="1:17" x14ac:dyDescent="0.35">
      <c r="A755" s="2" t="s">
        <v>765</v>
      </c>
      <c r="B755" s="2">
        <v>5</v>
      </c>
      <c r="C755" s="2">
        <v>-8061479.8799999999</v>
      </c>
      <c r="D755" s="2">
        <v>0.4</v>
      </c>
      <c r="E755" s="2">
        <v>44220864</v>
      </c>
      <c r="F755" s="2">
        <v>-73541605.400000006</v>
      </c>
      <c r="G755" s="2">
        <v>4</v>
      </c>
      <c r="H755" s="2">
        <v>2</v>
      </c>
      <c r="I755" s="2">
        <v>4</v>
      </c>
      <c r="J755" s="2">
        <v>3.4</v>
      </c>
      <c r="K755" s="2" t="s">
        <v>306</v>
      </c>
      <c r="L755" s="2" t="str">
        <f t="shared" si="66"/>
        <v>Loss Making</v>
      </c>
      <c r="M755" s="2" t="str">
        <f t="shared" si="67"/>
        <v>Stable Earnings</v>
      </c>
      <c r="N755" s="2" t="str">
        <f t="shared" si="68"/>
        <v>Moderate</v>
      </c>
      <c r="O755" s="4" t="str">
        <f t="shared" si="69"/>
        <v>Accounting Risk</v>
      </c>
      <c r="P755" s="4" t="str">
        <f t="shared" si="70"/>
        <v>Moderate</v>
      </c>
      <c r="Q755" s="4" t="str">
        <f t="shared" si="71"/>
        <v>Strong Long-Term Growth</v>
      </c>
    </row>
    <row r="756" spans="1:17" x14ac:dyDescent="0.35">
      <c r="A756" s="2" t="s">
        <v>766</v>
      </c>
      <c r="B756" s="2">
        <v>5</v>
      </c>
      <c r="C756" s="2">
        <v>4216562.5599999996</v>
      </c>
      <c r="D756" s="2">
        <v>0.4</v>
      </c>
      <c r="E756" s="2">
        <v>36540770.229999997</v>
      </c>
      <c r="F756" s="2">
        <v>-65676996</v>
      </c>
      <c r="G756" s="2">
        <v>4</v>
      </c>
      <c r="H756" s="2">
        <v>2</v>
      </c>
      <c r="I756" s="2">
        <v>4</v>
      </c>
      <c r="J756" s="2">
        <v>3.4</v>
      </c>
      <c r="K756" s="2" t="s">
        <v>306</v>
      </c>
      <c r="L756" s="2" t="str">
        <f t="shared" si="66"/>
        <v>Profitable</v>
      </c>
      <c r="M756" s="2" t="str">
        <f t="shared" si="67"/>
        <v>Stable Earnings</v>
      </c>
      <c r="N756" s="2" t="str">
        <f t="shared" si="68"/>
        <v>Moderate</v>
      </c>
      <c r="O756" s="4" t="str">
        <f t="shared" si="69"/>
        <v>Accounting Risk</v>
      </c>
      <c r="P756" s="4" t="str">
        <f t="shared" si="70"/>
        <v>Moderate</v>
      </c>
      <c r="Q756" s="4" t="str">
        <f t="shared" si="71"/>
        <v>Strong Long-Term Growth</v>
      </c>
    </row>
    <row r="757" spans="1:17" x14ac:dyDescent="0.35">
      <c r="A757" s="2" t="s">
        <v>767</v>
      </c>
      <c r="B757" s="2">
        <v>5</v>
      </c>
      <c r="C757" s="2">
        <v>7314972.7599999998</v>
      </c>
      <c r="D757" s="2">
        <v>0.4</v>
      </c>
      <c r="E757" s="2">
        <v>30687691.649999999</v>
      </c>
      <c r="F757" s="2">
        <v>-66449532.100000001</v>
      </c>
      <c r="G757" s="2">
        <v>4</v>
      </c>
      <c r="H757" s="2">
        <v>2</v>
      </c>
      <c r="I757" s="2">
        <v>4</v>
      </c>
      <c r="J757" s="2">
        <v>3.4</v>
      </c>
      <c r="K757" s="2" t="s">
        <v>306</v>
      </c>
      <c r="L757" s="2" t="str">
        <f t="shared" si="66"/>
        <v>Profitable</v>
      </c>
      <c r="M757" s="2" t="str">
        <f t="shared" si="67"/>
        <v>Stable Earnings</v>
      </c>
      <c r="N757" s="2" t="str">
        <f t="shared" si="68"/>
        <v>Moderate</v>
      </c>
      <c r="O757" s="4" t="str">
        <f t="shared" si="69"/>
        <v>Accounting Risk</v>
      </c>
      <c r="P757" s="4" t="str">
        <f t="shared" si="70"/>
        <v>Moderate</v>
      </c>
      <c r="Q757" s="4" t="str">
        <f t="shared" si="71"/>
        <v>Strong Long-Term Growth</v>
      </c>
    </row>
    <row r="758" spans="1:17" x14ac:dyDescent="0.35">
      <c r="A758" s="2" t="s">
        <v>768</v>
      </c>
      <c r="B758" s="2">
        <v>5</v>
      </c>
      <c r="C758" s="2">
        <v>-63049881.32</v>
      </c>
      <c r="D758" s="2">
        <v>0</v>
      </c>
      <c r="E758" s="2">
        <v>37404939.710000001</v>
      </c>
      <c r="F758" s="2">
        <v>-61946543.399999999</v>
      </c>
      <c r="G758" s="2">
        <v>4</v>
      </c>
      <c r="H758" s="2">
        <v>2</v>
      </c>
      <c r="I758" s="2">
        <v>4</v>
      </c>
      <c r="J758" s="2">
        <v>3.4</v>
      </c>
      <c r="K758" s="2" t="s">
        <v>306</v>
      </c>
      <c r="L758" s="2" t="str">
        <f t="shared" si="66"/>
        <v>Loss Making</v>
      </c>
      <c r="M758" s="2" t="str">
        <f t="shared" si="67"/>
        <v>Stable Earnings</v>
      </c>
      <c r="N758" s="2" t="str">
        <f t="shared" si="68"/>
        <v>Moderate</v>
      </c>
      <c r="O758" s="4" t="str">
        <f t="shared" si="69"/>
        <v>Accounting Risk</v>
      </c>
      <c r="P758" s="4" t="str">
        <f t="shared" si="70"/>
        <v>Moderate</v>
      </c>
      <c r="Q758" s="4" t="str">
        <f t="shared" si="71"/>
        <v>Strong Long-Term Growth</v>
      </c>
    </row>
    <row r="759" spans="1:17" x14ac:dyDescent="0.35">
      <c r="A759" s="2" t="s">
        <v>769</v>
      </c>
      <c r="B759" s="2">
        <v>5</v>
      </c>
      <c r="C759" s="2">
        <v>-32267914.219999999</v>
      </c>
      <c r="D759" s="2">
        <v>0.2</v>
      </c>
      <c r="E759" s="2">
        <v>30960192.300000001</v>
      </c>
      <c r="F759" s="2">
        <v>-62576071.899999999</v>
      </c>
      <c r="G759" s="2">
        <v>4</v>
      </c>
      <c r="H759" s="2">
        <v>2</v>
      </c>
      <c r="I759" s="2">
        <v>4</v>
      </c>
      <c r="J759" s="2">
        <v>3.4</v>
      </c>
      <c r="K759" s="2" t="s">
        <v>306</v>
      </c>
      <c r="L759" s="2" t="str">
        <f t="shared" si="66"/>
        <v>Loss Making</v>
      </c>
      <c r="M759" s="2" t="str">
        <f t="shared" si="67"/>
        <v>Stable Earnings</v>
      </c>
      <c r="N759" s="2" t="str">
        <f t="shared" si="68"/>
        <v>Moderate</v>
      </c>
      <c r="O759" s="4" t="str">
        <f t="shared" si="69"/>
        <v>Accounting Risk</v>
      </c>
      <c r="P759" s="4" t="str">
        <f t="shared" si="70"/>
        <v>Moderate</v>
      </c>
      <c r="Q759" s="4" t="str">
        <f t="shared" si="71"/>
        <v>Strong Long-Term Growth</v>
      </c>
    </row>
    <row r="760" spans="1:17" x14ac:dyDescent="0.35">
      <c r="A760" s="2" t="s">
        <v>770</v>
      </c>
      <c r="B760" s="2">
        <v>5</v>
      </c>
      <c r="C760" s="2">
        <v>-17283231.140000001</v>
      </c>
      <c r="D760" s="2">
        <v>0.2</v>
      </c>
      <c r="E760" s="2">
        <v>29919621.309999999</v>
      </c>
      <c r="F760" s="2">
        <v>-63234598.299999997</v>
      </c>
      <c r="G760" s="2">
        <v>4</v>
      </c>
      <c r="H760" s="2">
        <v>2</v>
      </c>
      <c r="I760" s="2">
        <v>4</v>
      </c>
      <c r="J760" s="2">
        <v>3.4</v>
      </c>
      <c r="K760" s="2" t="s">
        <v>306</v>
      </c>
      <c r="L760" s="2" t="str">
        <f t="shared" si="66"/>
        <v>Loss Making</v>
      </c>
      <c r="M760" s="2" t="str">
        <f t="shared" si="67"/>
        <v>Stable Earnings</v>
      </c>
      <c r="N760" s="2" t="str">
        <f t="shared" si="68"/>
        <v>Moderate</v>
      </c>
      <c r="O760" s="4" t="str">
        <f t="shared" si="69"/>
        <v>Accounting Risk</v>
      </c>
      <c r="P760" s="4" t="str">
        <f t="shared" si="70"/>
        <v>Moderate</v>
      </c>
      <c r="Q760" s="4" t="str">
        <f t="shared" si="71"/>
        <v>Strong Long-Term Growth</v>
      </c>
    </row>
    <row r="761" spans="1:17" x14ac:dyDescent="0.35">
      <c r="A761" s="2" t="s">
        <v>771</v>
      </c>
      <c r="B761" s="2">
        <v>5</v>
      </c>
      <c r="C761" s="2">
        <v>-79701715.799999997</v>
      </c>
      <c r="D761" s="2">
        <v>0</v>
      </c>
      <c r="E761" s="2">
        <v>22564954.239999998</v>
      </c>
      <c r="F761" s="2">
        <v>-52471775.899999999</v>
      </c>
      <c r="G761" s="2">
        <v>4</v>
      </c>
      <c r="H761" s="2">
        <v>2</v>
      </c>
      <c r="I761" s="2">
        <v>4</v>
      </c>
      <c r="J761" s="2">
        <v>3.4</v>
      </c>
      <c r="K761" s="2" t="s">
        <v>306</v>
      </c>
      <c r="L761" s="2" t="str">
        <f t="shared" si="66"/>
        <v>Loss Making</v>
      </c>
      <c r="M761" s="2" t="str">
        <f t="shared" si="67"/>
        <v>Stable Earnings</v>
      </c>
      <c r="N761" s="2" t="str">
        <f t="shared" si="68"/>
        <v>Moderate</v>
      </c>
      <c r="O761" s="4" t="str">
        <f t="shared" si="69"/>
        <v>Accounting Risk</v>
      </c>
      <c r="P761" s="4" t="str">
        <f t="shared" si="70"/>
        <v>Moderate</v>
      </c>
      <c r="Q761" s="4" t="str">
        <f t="shared" si="71"/>
        <v>Strong Long-Term Growth</v>
      </c>
    </row>
    <row r="762" spans="1:17" x14ac:dyDescent="0.35">
      <c r="A762" s="2" t="s">
        <v>772</v>
      </c>
      <c r="B762" s="2">
        <v>5</v>
      </c>
      <c r="C762" s="2">
        <v>-55431088.399999999</v>
      </c>
      <c r="D762" s="2">
        <v>0</v>
      </c>
      <c r="E762" s="2">
        <v>23792423.57</v>
      </c>
      <c r="F762" s="2">
        <v>-58947181.799999997</v>
      </c>
      <c r="G762" s="2">
        <v>4</v>
      </c>
      <c r="H762" s="2">
        <v>2</v>
      </c>
      <c r="I762" s="2">
        <v>4</v>
      </c>
      <c r="J762" s="2">
        <v>3.4</v>
      </c>
      <c r="K762" s="2" t="s">
        <v>306</v>
      </c>
      <c r="L762" s="2" t="str">
        <f t="shared" si="66"/>
        <v>Loss Making</v>
      </c>
      <c r="M762" s="2" t="str">
        <f t="shared" si="67"/>
        <v>Stable Earnings</v>
      </c>
      <c r="N762" s="2" t="str">
        <f t="shared" si="68"/>
        <v>Moderate</v>
      </c>
      <c r="O762" s="4" t="str">
        <f t="shared" si="69"/>
        <v>Accounting Risk</v>
      </c>
      <c r="P762" s="4" t="str">
        <f t="shared" si="70"/>
        <v>Moderate</v>
      </c>
      <c r="Q762" s="4" t="str">
        <f t="shared" si="71"/>
        <v>Strong Long-Term Growth</v>
      </c>
    </row>
    <row r="763" spans="1:17" x14ac:dyDescent="0.35">
      <c r="A763" s="2" t="s">
        <v>773</v>
      </c>
      <c r="B763" s="2">
        <v>5</v>
      </c>
      <c r="C763" s="2">
        <v>-46377553.579999998</v>
      </c>
      <c r="D763" s="2">
        <v>0</v>
      </c>
      <c r="E763" s="2">
        <v>26321505.699999999</v>
      </c>
      <c r="F763" s="2">
        <v>-60257547.5</v>
      </c>
      <c r="G763" s="2">
        <v>4</v>
      </c>
      <c r="H763" s="2">
        <v>2</v>
      </c>
      <c r="I763" s="2">
        <v>4</v>
      </c>
      <c r="J763" s="2">
        <v>3.4</v>
      </c>
      <c r="K763" s="2" t="s">
        <v>306</v>
      </c>
      <c r="L763" s="2" t="str">
        <f t="shared" si="66"/>
        <v>Loss Making</v>
      </c>
      <c r="M763" s="2" t="str">
        <f t="shared" si="67"/>
        <v>Stable Earnings</v>
      </c>
      <c r="N763" s="2" t="str">
        <f t="shared" si="68"/>
        <v>Moderate</v>
      </c>
      <c r="O763" s="4" t="str">
        <f t="shared" si="69"/>
        <v>Accounting Risk</v>
      </c>
      <c r="P763" s="4" t="str">
        <f t="shared" si="70"/>
        <v>Moderate</v>
      </c>
      <c r="Q763" s="4" t="str">
        <f t="shared" si="71"/>
        <v>Strong Long-Term Growth</v>
      </c>
    </row>
    <row r="764" spans="1:17" x14ac:dyDescent="0.35">
      <c r="A764" s="2" t="s">
        <v>774</v>
      </c>
      <c r="B764" s="2">
        <v>5</v>
      </c>
      <c r="C764" s="2">
        <v>-20714300.02</v>
      </c>
      <c r="D764" s="2">
        <v>0.4</v>
      </c>
      <c r="E764" s="2">
        <v>38895309.770000003</v>
      </c>
      <c r="F764" s="2">
        <v>-50398363.399999999</v>
      </c>
      <c r="G764" s="2">
        <v>4</v>
      </c>
      <c r="H764" s="2">
        <v>2</v>
      </c>
      <c r="I764" s="2">
        <v>4</v>
      </c>
      <c r="J764" s="2">
        <v>3.4</v>
      </c>
      <c r="K764" s="2" t="s">
        <v>306</v>
      </c>
      <c r="L764" s="2" t="str">
        <f t="shared" si="66"/>
        <v>Loss Making</v>
      </c>
      <c r="M764" s="2" t="str">
        <f t="shared" si="67"/>
        <v>Stable Earnings</v>
      </c>
      <c r="N764" s="2" t="str">
        <f t="shared" si="68"/>
        <v>Moderate</v>
      </c>
      <c r="O764" s="4" t="str">
        <f t="shared" si="69"/>
        <v>Accounting Risk</v>
      </c>
      <c r="P764" s="4" t="str">
        <f t="shared" si="70"/>
        <v>Moderate</v>
      </c>
      <c r="Q764" s="4" t="str">
        <f t="shared" si="71"/>
        <v>Strong Long-Term Growth</v>
      </c>
    </row>
    <row r="765" spans="1:17" x14ac:dyDescent="0.35">
      <c r="A765" s="2" t="s">
        <v>775</v>
      </c>
      <c r="B765" s="2">
        <v>5</v>
      </c>
      <c r="C765" s="2">
        <v>2086146.7</v>
      </c>
      <c r="D765" s="2">
        <v>0.4</v>
      </c>
      <c r="E765" s="2">
        <v>25073796.93</v>
      </c>
      <c r="F765" s="2">
        <v>-49343810.700000003</v>
      </c>
      <c r="G765" s="2">
        <v>4</v>
      </c>
      <c r="H765" s="2">
        <v>2</v>
      </c>
      <c r="I765" s="2">
        <v>4</v>
      </c>
      <c r="J765" s="2">
        <v>3.4</v>
      </c>
      <c r="K765" s="2" t="s">
        <v>306</v>
      </c>
      <c r="L765" s="2" t="str">
        <f t="shared" si="66"/>
        <v>Profitable</v>
      </c>
      <c r="M765" s="2" t="str">
        <f t="shared" si="67"/>
        <v>Stable Earnings</v>
      </c>
      <c r="N765" s="2" t="str">
        <f t="shared" si="68"/>
        <v>Moderate</v>
      </c>
      <c r="O765" s="4" t="str">
        <f t="shared" si="69"/>
        <v>Accounting Risk</v>
      </c>
      <c r="P765" s="4" t="str">
        <f t="shared" si="70"/>
        <v>Moderate</v>
      </c>
      <c r="Q765" s="4" t="str">
        <f t="shared" si="71"/>
        <v>Strong Long-Term Growth</v>
      </c>
    </row>
    <row r="766" spans="1:17" x14ac:dyDescent="0.35">
      <c r="A766" s="2" t="s">
        <v>776</v>
      </c>
      <c r="B766" s="2">
        <v>5</v>
      </c>
      <c r="C766" s="2">
        <v>-81862267.280000001</v>
      </c>
      <c r="D766" s="2">
        <v>0</v>
      </c>
      <c r="E766" s="2">
        <v>36715411.030000001</v>
      </c>
      <c r="F766" s="2">
        <v>-49264408.200000003</v>
      </c>
      <c r="G766" s="2">
        <v>4</v>
      </c>
      <c r="H766" s="2">
        <v>2</v>
      </c>
      <c r="I766" s="2">
        <v>4</v>
      </c>
      <c r="J766" s="2">
        <v>3.4</v>
      </c>
      <c r="K766" s="2" t="s">
        <v>306</v>
      </c>
      <c r="L766" s="2" t="str">
        <f t="shared" si="66"/>
        <v>Loss Making</v>
      </c>
      <c r="M766" s="2" t="str">
        <f t="shared" si="67"/>
        <v>Stable Earnings</v>
      </c>
      <c r="N766" s="2" t="str">
        <f t="shared" si="68"/>
        <v>Moderate</v>
      </c>
      <c r="O766" s="4" t="str">
        <f t="shared" si="69"/>
        <v>Accounting Risk</v>
      </c>
      <c r="P766" s="4" t="str">
        <f t="shared" si="70"/>
        <v>Moderate</v>
      </c>
      <c r="Q766" s="4" t="str">
        <f t="shared" si="71"/>
        <v>Strong Long-Term Growth</v>
      </c>
    </row>
    <row r="767" spans="1:17" x14ac:dyDescent="0.35">
      <c r="A767" s="2" t="s">
        <v>777</v>
      </c>
      <c r="B767" s="2">
        <v>5</v>
      </c>
      <c r="C767" s="2">
        <v>-21113876.420000002</v>
      </c>
      <c r="D767" s="2">
        <v>0.2</v>
      </c>
      <c r="E767" s="2">
        <v>24373161.039999999</v>
      </c>
      <c r="F767" s="2">
        <v>-44566377.100000001</v>
      </c>
      <c r="G767" s="2">
        <v>4</v>
      </c>
      <c r="H767" s="2">
        <v>2</v>
      </c>
      <c r="I767" s="2">
        <v>4</v>
      </c>
      <c r="J767" s="2">
        <v>3.4</v>
      </c>
      <c r="K767" s="2" t="s">
        <v>306</v>
      </c>
      <c r="L767" s="2" t="str">
        <f t="shared" si="66"/>
        <v>Loss Making</v>
      </c>
      <c r="M767" s="2" t="str">
        <f t="shared" si="67"/>
        <v>Stable Earnings</v>
      </c>
      <c r="N767" s="2" t="str">
        <f t="shared" si="68"/>
        <v>Moderate</v>
      </c>
      <c r="O767" s="4" t="str">
        <f t="shared" si="69"/>
        <v>Accounting Risk</v>
      </c>
      <c r="P767" s="4" t="str">
        <f t="shared" si="70"/>
        <v>Moderate</v>
      </c>
      <c r="Q767" s="4" t="str">
        <f t="shared" si="71"/>
        <v>Strong Long-Term Growth</v>
      </c>
    </row>
    <row r="768" spans="1:17" x14ac:dyDescent="0.35">
      <c r="A768" s="2" t="s">
        <v>778</v>
      </c>
      <c r="B768" s="2">
        <v>5</v>
      </c>
      <c r="C768" s="2">
        <v>10928912.039999999</v>
      </c>
      <c r="D768" s="2">
        <v>0.4</v>
      </c>
      <c r="E768" s="2">
        <v>34567062.600000001</v>
      </c>
      <c r="F768" s="2">
        <v>-48411575.600000001</v>
      </c>
      <c r="G768" s="2">
        <v>4</v>
      </c>
      <c r="H768" s="2">
        <v>2</v>
      </c>
      <c r="I768" s="2">
        <v>4</v>
      </c>
      <c r="J768" s="2">
        <v>3.4</v>
      </c>
      <c r="K768" s="2" t="s">
        <v>306</v>
      </c>
      <c r="L768" s="2" t="str">
        <f t="shared" si="66"/>
        <v>Profitable</v>
      </c>
      <c r="M768" s="2" t="str">
        <f t="shared" si="67"/>
        <v>Stable Earnings</v>
      </c>
      <c r="N768" s="2" t="str">
        <f t="shared" si="68"/>
        <v>Moderate</v>
      </c>
      <c r="O768" s="4" t="str">
        <f t="shared" si="69"/>
        <v>Accounting Risk</v>
      </c>
      <c r="P768" s="4" t="str">
        <f t="shared" si="70"/>
        <v>Moderate</v>
      </c>
      <c r="Q768" s="4" t="str">
        <f t="shared" si="71"/>
        <v>Strong Long-Term Growth</v>
      </c>
    </row>
    <row r="769" spans="1:17" x14ac:dyDescent="0.35">
      <c r="A769" s="2" t="s">
        <v>779</v>
      </c>
      <c r="B769" s="2">
        <v>5</v>
      </c>
      <c r="C769" s="2">
        <v>-9798799.5999999996</v>
      </c>
      <c r="D769" s="2">
        <v>0.4</v>
      </c>
      <c r="E769" s="2">
        <v>21914130.260000002</v>
      </c>
      <c r="F769" s="2">
        <v>-46904297.299999997</v>
      </c>
      <c r="G769" s="2">
        <v>4</v>
      </c>
      <c r="H769" s="2">
        <v>2</v>
      </c>
      <c r="I769" s="2">
        <v>4</v>
      </c>
      <c r="J769" s="2">
        <v>3.4</v>
      </c>
      <c r="K769" s="2" t="s">
        <v>306</v>
      </c>
      <c r="L769" s="2" t="str">
        <f t="shared" si="66"/>
        <v>Loss Making</v>
      </c>
      <c r="M769" s="2" t="str">
        <f t="shared" si="67"/>
        <v>Stable Earnings</v>
      </c>
      <c r="N769" s="2" t="str">
        <f t="shared" si="68"/>
        <v>Moderate</v>
      </c>
      <c r="O769" s="4" t="str">
        <f t="shared" si="69"/>
        <v>Accounting Risk</v>
      </c>
      <c r="P769" s="4" t="str">
        <f t="shared" si="70"/>
        <v>Moderate</v>
      </c>
      <c r="Q769" s="4" t="str">
        <f t="shared" si="71"/>
        <v>Strong Long-Term Growth</v>
      </c>
    </row>
    <row r="770" spans="1:17" x14ac:dyDescent="0.35">
      <c r="A770" s="2" t="s">
        <v>780</v>
      </c>
      <c r="B770" s="2">
        <v>5</v>
      </c>
      <c r="C770" s="2">
        <v>-26276272.739999998</v>
      </c>
      <c r="D770" s="2">
        <v>0</v>
      </c>
      <c r="E770" s="2">
        <v>20727400.18</v>
      </c>
      <c r="F770" s="2">
        <v>-41033131.200000003</v>
      </c>
      <c r="G770" s="2">
        <v>4</v>
      </c>
      <c r="H770" s="2">
        <v>2</v>
      </c>
      <c r="I770" s="2">
        <v>4</v>
      </c>
      <c r="J770" s="2">
        <v>3.4</v>
      </c>
      <c r="K770" s="2" t="s">
        <v>306</v>
      </c>
      <c r="L770" s="2" t="str">
        <f t="shared" ref="L770:L833" si="72">IF(C770&gt;0,"Profitable","Loss Making")</f>
        <v>Loss Making</v>
      </c>
      <c r="M770" s="2" t="str">
        <f t="shared" ref="M770:M833" si="73">IF(C770&gt;500000000,"High Volatility","Stable Earnings")</f>
        <v>Stable Earnings</v>
      </c>
      <c r="N770" s="2" t="str">
        <f t="shared" ref="N770:N833" si="74">IF(G770&gt;=7,"High Quality",IF(G770&gt;=4,"Moderate","Low Quality"))</f>
        <v>Moderate</v>
      </c>
      <c r="O770" s="4" t="str">
        <f t="shared" ref="O770:O833" si="75">IF(AND(F770&gt;0,D770&gt;0.6),"Operational Growth","Accounting Risk")</f>
        <v>Accounting Risk</v>
      </c>
      <c r="P770" s="4" t="str">
        <f t="shared" ref="P770:P833" si="76">IF(G770&gt;=7,"High Quality", IF(G770&gt;=4,"Moderate","Low Quality"))</f>
        <v>Moderate</v>
      </c>
      <c r="Q770" s="4" t="str">
        <f t="shared" ref="Q770:Q833" si="77">IF(I770&gt;=4,"Strong Long-Term Growth",IF(I770&gt;=2,"Moderate Growth","Weak Growth"))</f>
        <v>Strong Long-Term Growth</v>
      </c>
    </row>
    <row r="771" spans="1:17" x14ac:dyDescent="0.35">
      <c r="A771" s="2" t="s">
        <v>781</v>
      </c>
      <c r="B771" s="2">
        <v>5</v>
      </c>
      <c r="C771" s="2">
        <v>-39951081.240000002</v>
      </c>
      <c r="D771" s="2">
        <v>0</v>
      </c>
      <c r="E771" s="2">
        <v>17337753.280000001</v>
      </c>
      <c r="F771" s="2">
        <v>-40883685</v>
      </c>
      <c r="G771" s="2">
        <v>4</v>
      </c>
      <c r="H771" s="2">
        <v>2</v>
      </c>
      <c r="I771" s="2">
        <v>4</v>
      </c>
      <c r="J771" s="2">
        <v>3.4</v>
      </c>
      <c r="K771" s="2" t="s">
        <v>306</v>
      </c>
      <c r="L771" s="2" t="str">
        <f t="shared" si="72"/>
        <v>Loss Making</v>
      </c>
      <c r="M771" s="2" t="str">
        <f t="shared" si="73"/>
        <v>Stable Earnings</v>
      </c>
      <c r="N771" s="2" t="str">
        <f t="shared" si="74"/>
        <v>Moderate</v>
      </c>
      <c r="O771" s="4" t="str">
        <f t="shared" si="75"/>
        <v>Accounting Risk</v>
      </c>
      <c r="P771" s="4" t="str">
        <f t="shared" si="76"/>
        <v>Moderate</v>
      </c>
      <c r="Q771" s="4" t="str">
        <f t="shared" si="77"/>
        <v>Strong Long-Term Growth</v>
      </c>
    </row>
    <row r="772" spans="1:17" x14ac:dyDescent="0.35">
      <c r="A772" s="2" t="s">
        <v>782</v>
      </c>
      <c r="B772" s="2">
        <v>5</v>
      </c>
      <c r="C772" s="2">
        <v>-1290462.52</v>
      </c>
      <c r="D772" s="2">
        <v>0.4</v>
      </c>
      <c r="E772" s="2">
        <v>18925354.370000001</v>
      </c>
      <c r="F772" s="2">
        <v>-38951327.100000001</v>
      </c>
      <c r="G772" s="2">
        <v>4</v>
      </c>
      <c r="H772" s="2">
        <v>2</v>
      </c>
      <c r="I772" s="2">
        <v>4</v>
      </c>
      <c r="J772" s="2">
        <v>3.4</v>
      </c>
      <c r="K772" s="2" t="s">
        <v>306</v>
      </c>
      <c r="L772" s="2" t="str">
        <f t="shared" si="72"/>
        <v>Loss Making</v>
      </c>
      <c r="M772" s="2" t="str">
        <f t="shared" si="73"/>
        <v>Stable Earnings</v>
      </c>
      <c r="N772" s="2" t="str">
        <f t="shared" si="74"/>
        <v>Moderate</v>
      </c>
      <c r="O772" s="4" t="str">
        <f t="shared" si="75"/>
        <v>Accounting Risk</v>
      </c>
      <c r="P772" s="4" t="str">
        <f t="shared" si="76"/>
        <v>Moderate</v>
      </c>
      <c r="Q772" s="4" t="str">
        <f t="shared" si="77"/>
        <v>Strong Long-Term Growth</v>
      </c>
    </row>
    <row r="773" spans="1:17" x14ac:dyDescent="0.35">
      <c r="A773" s="2" t="s">
        <v>783</v>
      </c>
      <c r="B773" s="2">
        <v>5</v>
      </c>
      <c r="C773" s="2">
        <v>-58456385.560000002</v>
      </c>
      <c r="D773" s="2">
        <v>0.2</v>
      </c>
      <c r="E773" s="2">
        <v>38279499.600000001</v>
      </c>
      <c r="F773" s="2">
        <v>-38194830.799999997</v>
      </c>
      <c r="G773" s="2">
        <v>4</v>
      </c>
      <c r="H773" s="2">
        <v>2</v>
      </c>
      <c r="I773" s="2">
        <v>4</v>
      </c>
      <c r="J773" s="2">
        <v>3.4</v>
      </c>
      <c r="K773" s="2" t="s">
        <v>306</v>
      </c>
      <c r="L773" s="2" t="str">
        <f t="shared" si="72"/>
        <v>Loss Making</v>
      </c>
      <c r="M773" s="2" t="str">
        <f t="shared" si="73"/>
        <v>Stable Earnings</v>
      </c>
      <c r="N773" s="2" t="str">
        <f t="shared" si="74"/>
        <v>Moderate</v>
      </c>
      <c r="O773" s="4" t="str">
        <f t="shared" si="75"/>
        <v>Accounting Risk</v>
      </c>
      <c r="P773" s="4" t="str">
        <f t="shared" si="76"/>
        <v>Moderate</v>
      </c>
      <c r="Q773" s="4" t="str">
        <f t="shared" si="77"/>
        <v>Strong Long-Term Growth</v>
      </c>
    </row>
    <row r="774" spans="1:17" x14ac:dyDescent="0.35">
      <c r="A774" s="2" t="s">
        <v>784</v>
      </c>
      <c r="B774" s="2">
        <v>5</v>
      </c>
      <c r="C774" s="2">
        <v>-22138844.600000001</v>
      </c>
      <c r="D774" s="2">
        <v>0.2</v>
      </c>
      <c r="E774" s="2">
        <v>28967603.02</v>
      </c>
      <c r="F774" s="2">
        <v>-44179032.200000003</v>
      </c>
      <c r="G774" s="2">
        <v>4</v>
      </c>
      <c r="H774" s="2">
        <v>2</v>
      </c>
      <c r="I774" s="2">
        <v>4</v>
      </c>
      <c r="J774" s="2">
        <v>3.4</v>
      </c>
      <c r="K774" s="2" t="s">
        <v>306</v>
      </c>
      <c r="L774" s="2" t="str">
        <f t="shared" si="72"/>
        <v>Loss Making</v>
      </c>
      <c r="M774" s="2" t="str">
        <f t="shared" si="73"/>
        <v>Stable Earnings</v>
      </c>
      <c r="N774" s="2" t="str">
        <f t="shared" si="74"/>
        <v>Moderate</v>
      </c>
      <c r="O774" s="4" t="str">
        <f t="shared" si="75"/>
        <v>Accounting Risk</v>
      </c>
      <c r="P774" s="4" t="str">
        <f t="shared" si="76"/>
        <v>Moderate</v>
      </c>
      <c r="Q774" s="4" t="str">
        <f t="shared" si="77"/>
        <v>Strong Long-Term Growth</v>
      </c>
    </row>
    <row r="775" spans="1:17" x14ac:dyDescent="0.35">
      <c r="A775" s="2" t="s">
        <v>785</v>
      </c>
      <c r="B775" s="2">
        <v>5</v>
      </c>
      <c r="C775" s="2">
        <v>-15185731.880000001</v>
      </c>
      <c r="D775" s="2">
        <v>0.2</v>
      </c>
      <c r="E775" s="2">
        <v>39349734.350000001</v>
      </c>
      <c r="F775" s="2">
        <v>-43613335.700000003</v>
      </c>
      <c r="G775" s="2">
        <v>4</v>
      </c>
      <c r="H775" s="2">
        <v>2</v>
      </c>
      <c r="I775" s="2">
        <v>4</v>
      </c>
      <c r="J775" s="2">
        <v>3.4</v>
      </c>
      <c r="K775" s="2" t="s">
        <v>306</v>
      </c>
      <c r="L775" s="2" t="str">
        <f t="shared" si="72"/>
        <v>Loss Making</v>
      </c>
      <c r="M775" s="2" t="str">
        <f t="shared" si="73"/>
        <v>Stable Earnings</v>
      </c>
      <c r="N775" s="2" t="str">
        <f t="shared" si="74"/>
        <v>Moderate</v>
      </c>
      <c r="O775" s="4" t="str">
        <f t="shared" si="75"/>
        <v>Accounting Risk</v>
      </c>
      <c r="P775" s="4" t="str">
        <f t="shared" si="76"/>
        <v>Moderate</v>
      </c>
      <c r="Q775" s="4" t="str">
        <f t="shared" si="77"/>
        <v>Strong Long-Term Growth</v>
      </c>
    </row>
    <row r="776" spans="1:17" x14ac:dyDescent="0.35">
      <c r="A776" s="2" t="s">
        <v>786</v>
      </c>
      <c r="B776" s="2">
        <v>5</v>
      </c>
      <c r="C776" s="2">
        <v>-20851726.379999999</v>
      </c>
      <c r="D776" s="2">
        <v>0</v>
      </c>
      <c r="E776" s="2">
        <v>5260358.932</v>
      </c>
      <c r="F776" s="2">
        <v>6174151.7000000002</v>
      </c>
      <c r="G776" s="2">
        <v>5</v>
      </c>
      <c r="H776" s="2">
        <v>1</v>
      </c>
      <c r="I776" s="2">
        <v>3</v>
      </c>
      <c r="J776" s="2">
        <v>3.4</v>
      </c>
      <c r="K776" s="2" t="s">
        <v>306</v>
      </c>
      <c r="L776" s="2" t="str">
        <f t="shared" si="72"/>
        <v>Loss Making</v>
      </c>
      <c r="M776" s="2" t="str">
        <f t="shared" si="73"/>
        <v>Stable Earnings</v>
      </c>
      <c r="N776" s="2" t="str">
        <f t="shared" si="74"/>
        <v>Moderate</v>
      </c>
      <c r="O776" s="4" t="str">
        <f t="shared" si="75"/>
        <v>Accounting Risk</v>
      </c>
      <c r="P776" s="4" t="str">
        <f t="shared" si="76"/>
        <v>Moderate</v>
      </c>
      <c r="Q776" s="4" t="str">
        <f t="shared" si="77"/>
        <v>Moderate Growth</v>
      </c>
    </row>
    <row r="777" spans="1:17" x14ac:dyDescent="0.35">
      <c r="A777" s="2" t="s">
        <v>787</v>
      </c>
      <c r="B777" s="2">
        <v>5</v>
      </c>
      <c r="C777" s="2">
        <v>-18575996.399999999</v>
      </c>
      <c r="D777" s="2">
        <v>0</v>
      </c>
      <c r="E777" s="2">
        <v>2528107.8790000002</v>
      </c>
      <c r="F777" s="2">
        <v>5798349.9000000004</v>
      </c>
      <c r="G777" s="2">
        <v>5</v>
      </c>
      <c r="H777" s="2">
        <v>1</v>
      </c>
      <c r="I777" s="2">
        <v>3</v>
      </c>
      <c r="J777" s="2">
        <v>3.4</v>
      </c>
      <c r="K777" s="2" t="s">
        <v>306</v>
      </c>
      <c r="L777" s="2" t="str">
        <f t="shared" si="72"/>
        <v>Loss Making</v>
      </c>
      <c r="M777" s="2" t="str">
        <f t="shared" si="73"/>
        <v>Stable Earnings</v>
      </c>
      <c r="N777" s="2" t="str">
        <f t="shared" si="74"/>
        <v>Moderate</v>
      </c>
      <c r="O777" s="4" t="str">
        <f t="shared" si="75"/>
        <v>Accounting Risk</v>
      </c>
      <c r="P777" s="4" t="str">
        <f t="shared" si="76"/>
        <v>Moderate</v>
      </c>
      <c r="Q777" s="4" t="str">
        <f t="shared" si="77"/>
        <v>Moderate Growth</v>
      </c>
    </row>
    <row r="778" spans="1:17" x14ac:dyDescent="0.35">
      <c r="A778" s="2" t="s">
        <v>788</v>
      </c>
      <c r="B778" s="2">
        <v>5</v>
      </c>
      <c r="C778" s="2">
        <v>-3516012.38</v>
      </c>
      <c r="D778" s="2">
        <v>0</v>
      </c>
      <c r="E778" s="2">
        <v>2234569.7009999999</v>
      </c>
      <c r="F778" s="2">
        <v>5436094.0999999996</v>
      </c>
      <c r="G778" s="2">
        <v>5</v>
      </c>
      <c r="H778" s="2">
        <v>1</v>
      </c>
      <c r="I778" s="2">
        <v>3</v>
      </c>
      <c r="J778" s="2">
        <v>3.4</v>
      </c>
      <c r="K778" s="2" t="s">
        <v>306</v>
      </c>
      <c r="L778" s="2" t="str">
        <f t="shared" si="72"/>
        <v>Loss Making</v>
      </c>
      <c r="M778" s="2" t="str">
        <f t="shared" si="73"/>
        <v>Stable Earnings</v>
      </c>
      <c r="N778" s="2" t="str">
        <f t="shared" si="74"/>
        <v>Moderate</v>
      </c>
      <c r="O778" s="4" t="str">
        <f t="shared" si="75"/>
        <v>Accounting Risk</v>
      </c>
      <c r="P778" s="4" t="str">
        <f t="shared" si="76"/>
        <v>Moderate</v>
      </c>
      <c r="Q778" s="4" t="str">
        <f t="shared" si="77"/>
        <v>Moderate Growth</v>
      </c>
    </row>
    <row r="779" spans="1:17" x14ac:dyDescent="0.35">
      <c r="A779" s="2" t="s">
        <v>789</v>
      </c>
      <c r="B779" s="2">
        <v>5</v>
      </c>
      <c r="C779" s="2">
        <v>-18178223.800000001</v>
      </c>
      <c r="D779" s="2">
        <v>0</v>
      </c>
      <c r="E779" s="2">
        <v>6762664.0329999998</v>
      </c>
      <c r="F779" s="2">
        <v>6823492</v>
      </c>
      <c r="G779" s="2">
        <v>5</v>
      </c>
      <c r="H779" s="2">
        <v>1</v>
      </c>
      <c r="I779" s="2">
        <v>3</v>
      </c>
      <c r="J779" s="2">
        <v>3.4</v>
      </c>
      <c r="K779" s="2" t="s">
        <v>306</v>
      </c>
      <c r="L779" s="2" t="str">
        <f t="shared" si="72"/>
        <v>Loss Making</v>
      </c>
      <c r="M779" s="2" t="str">
        <f t="shared" si="73"/>
        <v>Stable Earnings</v>
      </c>
      <c r="N779" s="2" t="str">
        <f t="shared" si="74"/>
        <v>Moderate</v>
      </c>
      <c r="O779" s="4" t="str">
        <f t="shared" si="75"/>
        <v>Accounting Risk</v>
      </c>
      <c r="P779" s="4" t="str">
        <f t="shared" si="76"/>
        <v>Moderate</v>
      </c>
      <c r="Q779" s="4" t="str">
        <f t="shared" si="77"/>
        <v>Moderate Growth</v>
      </c>
    </row>
    <row r="780" spans="1:17" x14ac:dyDescent="0.35">
      <c r="A780" s="2" t="s">
        <v>790</v>
      </c>
      <c r="B780" s="2">
        <v>5</v>
      </c>
      <c r="C780" s="2">
        <v>-15801294.439999999</v>
      </c>
      <c r="D780" s="2">
        <v>0</v>
      </c>
      <c r="E780" s="2">
        <v>3196236.1919999998</v>
      </c>
      <c r="F780" s="2">
        <v>6774423.2999999998</v>
      </c>
      <c r="G780" s="2">
        <v>5</v>
      </c>
      <c r="H780" s="2">
        <v>1</v>
      </c>
      <c r="I780" s="2">
        <v>3</v>
      </c>
      <c r="J780" s="2">
        <v>3.4</v>
      </c>
      <c r="K780" s="2" t="s">
        <v>306</v>
      </c>
      <c r="L780" s="2" t="str">
        <f t="shared" si="72"/>
        <v>Loss Making</v>
      </c>
      <c r="M780" s="2" t="str">
        <f t="shared" si="73"/>
        <v>Stable Earnings</v>
      </c>
      <c r="N780" s="2" t="str">
        <f t="shared" si="74"/>
        <v>Moderate</v>
      </c>
      <c r="O780" s="4" t="str">
        <f t="shared" si="75"/>
        <v>Accounting Risk</v>
      </c>
      <c r="P780" s="4" t="str">
        <f t="shared" si="76"/>
        <v>Moderate</v>
      </c>
      <c r="Q780" s="4" t="str">
        <f t="shared" si="77"/>
        <v>Moderate Growth</v>
      </c>
    </row>
    <row r="781" spans="1:17" x14ac:dyDescent="0.35">
      <c r="A781" s="2" t="s">
        <v>791</v>
      </c>
      <c r="B781" s="2">
        <v>5</v>
      </c>
      <c r="C781" s="2">
        <v>-10246909.119999999</v>
      </c>
      <c r="D781" s="2">
        <v>0</v>
      </c>
      <c r="E781" s="2">
        <v>3065099.7990000001</v>
      </c>
      <c r="F781" s="2">
        <v>7307099.2000000002</v>
      </c>
      <c r="G781" s="2">
        <v>5</v>
      </c>
      <c r="H781" s="2">
        <v>1</v>
      </c>
      <c r="I781" s="2">
        <v>3</v>
      </c>
      <c r="J781" s="2">
        <v>3.4</v>
      </c>
      <c r="K781" s="2" t="s">
        <v>306</v>
      </c>
      <c r="L781" s="2" t="str">
        <f t="shared" si="72"/>
        <v>Loss Making</v>
      </c>
      <c r="M781" s="2" t="str">
        <f t="shared" si="73"/>
        <v>Stable Earnings</v>
      </c>
      <c r="N781" s="2" t="str">
        <f t="shared" si="74"/>
        <v>Moderate</v>
      </c>
      <c r="O781" s="4" t="str">
        <f t="shared" si="75"/>
        <v>Accounting Risk</v>
      </c>
      <c r="P781" s="4" t="str">
        <f t="shared" si="76"/>
        <v>Moderate</v>
      </c>
      <c r="Q781" s="4" t="str">
        <f t="shared" si="77"/>
        <v>Moderate Growth</v>
      </c>
    </row>
    <row r="782" spans="1:17" x14ac:dyDescent="0.35">
      <c r="A782" s="2" t="s">
        <v>792</v>
      </c>
      <c r="B782" s="2">
        <v>5</v>
      </c>
      <c r="C782" s="2">
        <v>-14229505.539999999</v>
      </c>
      <c r="D782" s="2">
        <v>0</v>
      </c>
      <c r="E782" s="2">
        <v>3510544.8480000002</v>
      </c>
      <c r="F782" s="2">
        <v>4519822.9000000004</v>
      </c>
      <c r="G782" s="2">
        <v>5</v>
      </c>
      <c r="H782" s="2">
        <v>1</v>
      </c>
      <c r="I782" s="2">
        <v>3</v>
      </c>
      <c r="J782" s="2">
        <v>3.4</v>
      </c>
      <c r="K782" s="2" t="s">
        <v>306</v>
      </c>
      <c r="L782" s="2" t="str">
        <f t="shared" si="72"/>
        <v>Loss Making</v>
      </c>
      <c r="M782" s="2" t="str">
        <f t="shared" si="73"/>
        <v>Stable Earnings</v>
      </c>
      <c r="N782" s="2" t="str">
        <f t="shared" si="74"/>
        <v>Moderate</v>
      </c>
      <c r="O782" s="4" t="str">
        <f t="shared" si="75"/>
        <v>Accounting Risk</v>
      </c>
      <c r="P782" s="4" t="str">
        <f t="shared" si="76"/>
        <v>Moderate</v>
      </c>
      <c r="Q782" s="4" t="str">
        <f t="shared" si="77"/>
        <v>Moderate Growth</v>
      </c>
    </row>
    <row r="783" spans="1:17" x14ac:dyDescent="0.35">
      <c r="A783" s="2" t="s">
        <v>793</v>
      </c>
      <c r="B783" s="2">
        <v>5</v>
      </c>
      <c r="C783" s="2">
        <v>-11885769.98</v>
      </c>
      <c r="D783" s="2">
        <v>0</v>
      </c>
      <c r="E783" s="2">
        <v>2242105.7889999999</v>
      </c>
      <c r="F783" s="2">
        <v>4223953.4000000004</v>
      </c>
      <c r="G783" s="2">
        <v>5</v>
      </c>
      <c r="H783" s="2">
        <v>1</v>
      </c>
      <c r="I783" s="2">
        <v>3</v>
      </c>
      <c r="J783" s="2">
        <v>3.4</v>
      </c>
      <c r="K783" s="2" t="s">
        <v>306</v>
      </c>
      <c r="L783" s="2" t="str">
        <f t="shared" si="72"/>
        <v>Loss Making</v>
      </c>
      <c r="M783" s="2" t="str">
        <f t="shared" si="73"/>
        <v>Stable Earnings</v>
      </c>
      <c r="N783" s="2" t="str">
        <f t="shared" si="74"/>
        <v>Moderate</v>
      </c>
      <c r="O783" s="4" t="str">
        <f t="shared" si="75"/>
        <v>Accounting Risk</v>
      </c>
      <c r="P783" s="4" t="str">
        <f t="shared" si="76"/>
        <v>Moderate</v>
      </c>
      <c r="Q783" s="4" t="str">
        <f t="shared" si="77"/>
        <v>Moderate Growth</v>
      </c>
    </row>
    <row r="784" spans="1:17" x14ac:dyDescent="0.35">
      <c r="A784" s="2" t="s">
        <v>794</v>
      </c>
      <c r="B784" s="2">
        <v>5</v>
      </c>
      <c r="C784" s="2">
        <v>-20609546.739999998</v>
      </c>
      <c r="D784" s="2">
        <v>0</v>
      </c>
      <c r="E784" s="2">
        <v>3811966.56</v>
      </c>
      <c r="F784" s="2">
        <v>3714460.5</v>
      </c>
      <c r="G784" s="2">
        <v>5</v>
      </c>
      <c r="H784" s="2">
        <v>1</v>
      </c>
      <c r="I784" s="2">
        <v>3</v>
      </c>
      <c r="J784" s="2">
        <v>3.4</v>
      </c>
      <c r="K784" s="2" t="s">
        <v>306</v>
      </c>
      <c r="L784" s="2" t="str">
        <f t="shared" si="72"/>
        <v>Loss Making</v>
      </c>
      <c r="M784" s="2" t="str">
        <f t="shared" si="73"/>
        <v>Stable Earnings</v>
      </c>
      <c r="N784" s="2" t="str">
        <f t="shared" si="74"/>
        <v>Moderate</v>
      </c>
      <c r="O784" s="4" t="str">
        <f t="shared" si="75"/>
        <v>Accounting Risk</v>
      </c>
      <c r="P784" s="4" t="str">
        <f t="shared" si="76"/>
        <v>Moderate</v>
      </c>
      <c r="Q784" s="4" t="str">
        <f t="shared" si="77"/>
        <v>Moderate Growth</v>
      </c>
    </row>
    <row r="785" spans="1:17" x14ac:dyDescent="0.35">
      <c r="A785" s="2" t="s">
        <v>795</v>
      </c>
      <c r="B785" s="2">
        <v>5</v>
      </c>
      <c r="C785" s="2">
        <v>-1387924.96</v>
      </c>
      <c r="D785" s="2">
        <v>0</v>
      </c>
      <c r="E785" s="2">
        <v>2092354.348</v>
      </c>
      <c r="F785" s="2">
        <v>4986380.4000000004</v>
      </c>
      <c r="G785" s="2">
        <v>5</v>
      </c>
      <c r="H785" s="2">
        <v>1</v>
      </c>
      <c r="I785" s="2">
        <v>3</v>
      </c>
      <c r="J785" s="2">
        <v>3.4</v>
      </c>
      <c r="K785" s="2" t="s">
        <v>306</v>
      </c>
      <c r="L785" s="2" t="str">
        <f t="shared" si="72"/>
        <v>Loss Making</v>
      </c>
      <c r="M785" s="2" t="str">
        <f t="shared" si="73"/>
        <v>Stable Earnings</v>
      </c>
      <c r="N785" s="2" t="str">
        <f t="shared" si="74"/>
        <v>Moderate</v>
      </c>
      <c r="O785" s="4" t="str">
        <f t="shared" si="75"/>
        <v>Accounting Risk</v>
      </c>
      <c r="P785" s="4" t="str">
        <f t="shared" si="76"/>
        <v>Moderate</v>
      </c>
      <c r="Q785" s="4" t="str">
        <f t="shared" si="77"/>
        <v>Moderate Growth</v>
      </c>
    </row>
    <row r="786" spans="1:17" x14ac:dyDescent="0.35">
      <c r="A786" s="2" t="s">
        <v>796</v>
      </c>
      <c r="B786" s="2">
        <v>5</v>
      </c>
      <c r="C786" s="2">
        <v>-23931471.059999999</v>
      </c>
      <c r="D786" s="2">
        <v>0</v>
      </c>
      <c r="E786" s="2">
        <v>5421658.96</v>
      </c>
      <c r="F786" s="2">
        <v>4700332.0999999996</v>
      </c>
      <c r="G786" s="2">
        <v>5</v>
      </c>
      <c r="H786" s="2">
        <v>1</v>
      </c>
      <c r="I786" s="2">
        <v>3</v>
      </c>
      <c r="J786" s="2">
        <v>3.4</v>
      </c>
      <c r="K786" s="2" t="s">
        <v>306</v>
      </c>
      <c r="L786" s="2" t="str">
        <f t="shared" si="72"/>
        <v>Loss Making</v>
      </c>
      <c r="M786" s="2" t="str">
        <f t="shared" si="73"/>
        <v>Stable Earnings</v>
      </c>
      <c r="N786" s="2" t="str">
        <f t="shared" si="74"/>
        <v>Moderate</v>
      </c>
      <c r="O786" s="4" t="str">
        <f t="shared" si="75"/>
        <v>Accounting Risk</v>
      </c>
      <c r="P786" s="4" t="str">
        <f t="shared" si="76"/>
        <v>Moderate</v>
      </c>
      <c r="Q786" s="4" t="str">
        <f t="shared" si="77"/>
        <v>Moderate Growth</v>
      </c>
    </row>
    <row r="787" spans="1:17" x14ac:dyDescent="0.35">
      <c r="A787" s="2" t="s">
        <v>797</v>
      </c>
      <c r="B787" s="2">
        <v>5</v>
      </c>
      <c r="C787" s="2">
        <v>-51832891.539999999</v>
      </c>
      <c r="D787" s="2">
        <v>0</v>
      </c>
      <c r="E787" s="2">
        <v>7478578.9340000004</v>
      </c>
      <c r="F787" s="2">
        <v>2640154.5</v>
      </c>
      <c r="G787" s="2">
        <v>5</v>
      </c>
      <c r="H787" s="2">
        <v>1</v>
      </c>
      <c r="I787" s="2">
        <v>3</v>
      </c>
      <c r="J787" s="2">
        <v>3.4</v>
      </c>
      <c r="K787" s="2" t="s">
        <v>306</v>
      </c>
      <c r="L787" s="2" t="str">
        <f t="shared" si="72"/>
        <v>Loss Making</v>
      </c>
      <c r="M787" s="2" t="str">
        <f t="shared" si="73"/>
        <v>Stable Earnings</v>
      </c>
      <c r="N787" s="2" t="str">
        <f t="shared" si="74"/>
        <v>Moderate</v>
      </c>
      <c r="O787" s="4" t="str">
        <f t="shared" si="75"/>
        <v>Accounting Risk</v>
      </c>
      <c r="P787" s="4" t="str">
        <f t="shared" si="76"/>
        <v>Moderate</v>
      </c>
      <c r="Q787" s="4" t="str">
        <f t="shared" si="77"/>
        <v>Moderate Growth</v>
      </c>
    </row>
    <row r="788" spans="1:17" x14ac:dyDescent="0.35">
      <c r="A788" s="2" t="s">
        <v>798</v>
      </c>
      <c r="B788" s="2">
        <v>5</v>
      </c>
      <c r="C788" s="2">
        <v>-18296502.719999999</v>
      </c>
      <c r="D788" s="2">
        <v>0</v>
      </c>
      <c r="E788" s="2">
        <v>1279447.9650000001</v>
      </c>
      <c r="F788" s="2">
        <v>2355597.2000000002</v>
      </c>
      <c r="G788" s="2">
        <v>5</v>
      </c>
      <c r="H788" s="2">
        <v>1</v>
      </c>
      <c r="I788" s="2">
        <v>3</v>
      </c>
      <c r="J788" s="2">
        <v>3.4</v>
      </c>
      <c r="K788" s="2" t="s">
        <v>306</v>
      </c>
      <c r="L788" s="2" t="str">
        <f t="shared" si="72"/>
        <v>Loss Making</v>
      </c>
      <c r="M788" s="2" t="str">
        <f t="shared" si="73"/>
        <v>Stable Earnings</v>
      </c>
      <c r="N788" s="2" t="str">
        <f t="shared" si="74"/>
        <v>Moderate</v>
      </c>
      <c r="O788" s="4" t="str">
        <f t="shared" si="75"/>
        <v>Accounting Risk</v>
      </c>
      <c r="P788" s="4" t="str">
        <f t="shared" si="76"/>
        <v>Moderate</v>
      </c>
      <c r="Q788" s="4" t="str">
        <f t="shared" si="77"/>
        <v>Moderate Growth</v>
      </c>
    </row>
    <row r="789" spans="1:17" x14ac:dyDescent="0.35">
      <c r="A789" s="2" t="s">
        <v>799</v>
      </c>
      <c r="B789" s="2">
        <v>5</v>
      </c>
      <c r="C789" s="2">
        <v>-11575937.460000001</v>
      </c>
      <c r="D789" s="2">
        <v>0</v>
      </c>
      <c r="E789" s="2">
        <v>1778718.8759999999</v>
      </c>
      <c r="F789" s="2">
        <v>2262099.7999999998</v>
      </c>
      <c r="G789" s="2">
        <v>5</v>
      </c>
      <c r="H789" s="2">
        <v>1</v>
      </c>
      <c r="I789" s="2">
        <v>3</v>
      </c>
      <c r="J789" s="2">
        <v>3.4</v>
      </c>
      <c r="K789" s="2" t="s">
        <v>306</v>
      </c>
      <c r="L789" s="2" t="str">
        <f t="shared" si="72"/>
        <v>Loss Making</v>
      </c>
      <c r="M789" s="2" t="str">
        <f t="shared" si="73"/>
        <v>Stable Earnings</v>
      </c>
      <c r="N789" s="2" t="str">
        <f t="shared" si="74"/>
        <v>Moderate</v>
      </c>
      <c r="O789" s="4" t="str">
        <f t="shared" si="75"/>
        <v>Accounting Risk</v>
      </c>
      <c r="P789" s="4" t="str">
        <f t="shared" si="76"/>
        <v>Moderate</v>
      </c>
      <c r="Q789" s="4" t="str">
        <f t="shared" si="77"/>
        <v>Moderate Growth</v>
      </c>
    </row>
    <row r="790" spans="1:17" x14ac:dyDescent="0.35">
      <c r="A790" s="2" t="s">
        <v>800</v>
      </c>
      <c r="B790" s="2">
        <v>5</v>
      </c>
      <c r="C790" s="2">
        <v>-17516884.68</v>
      </c>
      <c r="D790" s="2">
        <v>0</v>
      </c>
      <c r="E790" s="2">
        <v>4637872.6919999998</v>
      </c>
      <c r="F790" s="2">
        <v>2260842.2000000002</v>
      </c>
      <c r="G790" s="2">
        <v>5</v>
      </c>
      <c r="H790" s="2">
        <v>1</v>
      </c>
      <c r="I790" s="2">
        <v>3</v>
      </c>
      <c r="J790" s="2">
        <v>3.4</v>
      </c>
      <c r="K790" s="2" t="s">
        <v>306</v>
      </c>
      <c r="L790" s="2" t="str">
        <f t="shared" si="72"/>
        <v>Loss Making</v>
      </c>
      <c r="M790" s="2" t="str">
        <f t="shared" si="73"/>
        <v>Stable Earnings</v>
      </c>
      <c r="N790" s="2" t="str">
        <f t="shared" si="74"/>
        <v>Moderate</v>
      </c>
      <c r="O790" s="4" t="str">
        <f t="shared" si="75"/>
        <v>Accounting Risk</v>
      </c>
      <c r="P790" s="4" t="str">
        <f t="shared" si="76"/>
        <v>Moderate</v>
      </c>
      <c r="Q790" s="4" t="str">
        <f t="shared" si="77"/>
        <v>Moderate Growth</v>
      </c>
    </row>
    <row r="791" spans="1:17" x14ac:dyDescent="0.35">
      <c r="A791" s="2" t="s">
        <v>801</v>
      </c>
      <c r="B791" s="2">
        <v>5</v>
      </c>
      <c r="C791" s="2">
        <v>-11137598.84</v>
      </c>
      <c r="D791" s="2">
        <v>0</v>
      </c>
      <c r="E791" s="2">
        <v>5097153.7450000001</v>
      </c>
      <c r="F791" s="2">
        <v>3500767.2</v>
      </c>
      <c r="G791" s="2">
        <v>5</v>
      </c>
      <c r="H791" s="2">
        <v>1</v>
      </c>
      <c r="I791" s="2">
        <v>3</v>
      </c>
      <c r="J791" s="2">
        <v>3.4</v>
      </c>
      <c r="K791" s="2" t="s">
        <v>306</v>
      </c>
      <c r="L791" s="2" t="str">
        <f t="shared" si="72"/>
        <v>Loss Making</v>
      </c>
      <c r="M791" s="2" t="str">
        <f t="shared" si="73"/>
        <v>Stable Earnings</v>
      </c>
      <c r="N791" s="2" t="str">
        <f t="shared" si="74"/>
        <v>Moderate</v>
      </c>
      <c r="O791" s="4" t="str">
        <f t="shared" si="75"/>
        <v>Accounting Risk</v>
      </c>
      <c r="P791" s="4" t="str">
        <f t="shared" si="76"/>
        <v>Moderate</v>
      </c>
      <c r="Q791" s="4" t="str">
        <f t="shared" si="77"/>
        <v>Moderate Growth</v>
      </c>
    </row>
    <row r="792" spans="1:17" x14ac:dyDescent="0.35">
      <c r="A792" s="2" t="s">
        <v>802</v>
      </c>
      <c r="B792" s="2">
        <v>5</v>
      </c>
      <c r="C792" s="2">
        <v>-28926924.719999999</v>
      </c>
      <c r="D792" s="2">
        <v>0</v>
      </c>
      <c r="E792" s="2">
        <v>11510229.57</v>
      </c>
      <c r="F792" s="2">
        <v>3469589.7</v>
      </c>
      <c r="G792" s="2">
        <v>5</v>
      </c>
      <c r="H792" s="2">
        <v>1</v>
      </c>
      <c r="I792" s="2">
        <v>3</v>
      </c>
      <c r="J792" s="2">
        <v>3.4</v>
      </c>
      <c r="K792" s="2" t="s">
        <v>306</v>
      </c>
      <c r="L792" s="2" t="str">
        <f t="shared" si="72"/>
        <v>Loss Making</v>
      </c>
      <c r="M792" s="2" t="str">
        <f t="shared" si="73"/>
        <v>Stable Earnings</v>
      </c>
      <c r="N792" s="2" t="str">
        <f t="shared" si="74"/>
        <v>Moderate</v>
      </c>
      <c r="O792" s="4" t="str">
        <f t="shared" si="75"/>
        <v>Accounting Risk</v>
      </c>
      <c r="P792" s="4" t="str">
        <f t="shared" si="76"/>
        <v>Moderate</v>
      </c>
      <c r="Q792" s="4" t="str">
        <f t="shared" si="77"/>
        <v>Moderate Growth</v>
      </c>
    </row>
    <row r="793" spans="1:17" x14ac:dyDescent="0.35">
      <c r="A793" s="2" t="s">
        <v>803</v>
      </c>
      <c r="B793" s="2">
        <v>5</v>
      </c>
      <c r="C793" s="2">
        <v>-9657630.0399999991</v>
      </c>
      <c r="D793" s="2">
        <v>0</v>
      </c>
      <c r="E793" s="2">
        <v>2665782.6090000002</v>
      </c>
      <c r="F793" s="2">
        <v>3408953.2</v>
      </c>
      <c r="G793" s="2">
        <v>5</v>
      </c>
      <c r="H793" s="2">
        <v>1</v>
      </c>
      <c r="I793" s="2">
        <v>3</v>
      </c>
      <c r="J793" s="2">
        <v>3.4</v>
      </c>
      <c r="K793" s="2" t="s">
        <v>306</v>
      </c>
      <c r="L793" s="2" t="str">
        <f t="shared" si="72"/>
        <v>Loss Making</v>
      </c>
      <c r="M793" s="2" t="str">
        <f t="shared" si="73"/>
        <v>Stable Earnings</v>
      </c>
      <c r="N793" s="2" t="str">
        <f t="shared" si="74"/>
        <v>Moderate</v>
      </c>
      <c r="O793" s="4" t="str">
        <f t="shared" si="75"/>
        <v>Accounting Risk</v>
      </c>
      <c r="P793" s="4" t="str">
        <f t="shared" si="76"/>
        <v>Moderate</v>
      </c>
      <c r="Q793" s="4" t="str">
        <f t="shared" si="77"/>
        <v>Moderate Growth</v>
      </c>
    </row>
    <row r="794" spans="1:17" x14ac:dyDescent="0.35">
      <c r="A794" s="2" t="s">
        <v>804</v>
      </c>
      <c r="B794" s="2">
        <v>5</v>
      </c>
      <c r="C794" s="2">
        <v>-10282483.9</v>
      </c>
      <c r="D794" s="2">
        <v>0</v>
      </c>
      <c r="E794" s="2">
        <v>1393272.6470000001</v>
      </c>
      <c r="F794" s="2">
        <v>3082683.7</v>
      </c>
      <c r="G794" s="2">
        <v>5</v>
      </c>
      <c r="H794" s="2">
        <v>1</v>
      </c>
      <c r="I794" s="2">
        <v>3</v>
      </c>
      <c r="J794" s="2">
        <v>3.4</v>
      </c>
      <c r="K794" s="2" t="s">
        <v>306</v>
      </c>
      <c r="L794" s="2" t="str">
        <f t="shared" si="72"/>
        <v>Loss Making</v>
      </c>
      <c r="M794" s="2" t="str">
        <f t="shared" si="73"/>
        <v>Stable Earnings</v>
      </c>
      <c r="N794" s="2" t="str">
        <f t="shared" si="74"/>
        <v>Moderate</v>
      </c>
      <c r="O794" s="4" t="str">
        <f t="shared" si="75"/>
        <v>Accounting Risk</v>
      </c>
      <c r="P794" s="4" t="str">
        <f t="shared" si="76"/>
        <v>Moderate</v>
      </c>
      <c r="Q794" s="4" t="str">
        <f t="shared" si="77"/>
        <v>Moderate Growth</v>
      </c>
    </row>
    <row r="795" spans="1:17" x14ac:dyDescent="0.35">
      <c r="A795" s="2" t="s">
        <v>805</v>
      </c>
      <c r="B795" s="2">
        <v>5</v>
      </c>
      <c r="C795" s="2">
        <v>-6891328.5800000001</v>
      </c>
      <c r="D795" s="2">
        <v>0</v>
      </c>
      <c r="E795" s="2">
        <v>1388327.7890000001</v>
      </c>
      <c r="F795" s="2">
        <v>3063033.8</v>
      </c>
      <c r="G795" s="2">
        <v>5</v>
      </c>
      <c r="H795" s="2">
        <v>1</v>
      </c>
      <c r="I795" s="2">
        <v>3</v>
      </c>
      <c r="J795" s="2">
        <v>3.4</v>
      </c>
      <c r="K795" s="2" t="s">
        <v>306</v>
      </c>
      <c r="L795" s="2" t="str">
        <f t="shared" si="72"/>
        <v>Loss Making</v>
      </c>
      <c r="M795" s="2" t="str">
        <f t="shared" si="73"/>
        <v>Stable Earnings</v>
      </c>
      <c r="N795" s="2" t="str">
        <f t="shared" si="74"/>
        <v>Moderate</v>
      </c>
      <c r="O795" s="4" t="str">
        <f t="shared" si="75"/>
        <v>Accounting Risk</v>
      </c>
      <c r="P795" s="4" t="str">
        <f t="shared" si="76"/>
        <v>Moderate</v>
      </c>
      <c r="Q795" s="4" t="str">
        <f t="shared" si="77"/>
        <v>Moderate Growth</v>
      </c>
    </row>
    <row r="796" spans="1:17" x14ac:dyDescent="0.35">
      <c r="A796" s="2" t="s">
        <v>806</v>
      </c>
      <c r="B796" s="2">
        <v>5</v>
      </c>
      <c r="C796" s="2">
        <v>-3900374.26</v>
      </c>
      <c r="D796" s="2">
        <v>0</v>
      </c>
      <c r="E796" s="2">
        <v>1976670.1370000001</v>
      </c>
      <c r="F796" s="2">
        <v>2936999.8</v>
      </c>
      <c r="G796" s="2">
        <v>5</v>
      </c>
      <c r="H796" s="2">
        <v>1</v>
      </c>
      <c r="I796" s="2">
        <v>3</v>
      </c>
      <c r="J796" s="2">
        <v>3.4</v>
      </c>
      <c r="K796" s="2" t="s">
        <v>306</v>
      </c>
      <c r="L796" s="2" t="str">
        <f t="shared" si="72"/>
        <v>Loss Making</v>
      </c>
      <c r="M796" s="2" t="str">
        <f t="shared" si="73"/>
        <v>Stable Earnings</v>
      </c>
      <c r="N796" s="2" t="str">
        <f t="shared" si="74"/>
        <v>Moderate</v>
      </c>
      <c r="O796" s="4" t="str">
        <f t="shared" si="75"/>
        <v>Accounting Risk</v>
      </c>
      <c r="P796" s="4" t="str">
        <f t="shared" si="76"/>
        <v>Moderate</v>
      </c>
      <c r="Q796" s="4" t="str">
        <f t="shared" si="77"/>
        <v>Moderate Growth</v>
      </c>
    </row>
    <row r="797" spans="1:17" x14ac:dyDescent="0.35">
      <c r="A797" s="2" t="s">
        <v>807</v>
      </c>
      <c r="B797" s="2">
        <v>5</v>
      </c>
      <c r="C797" s="2">
        <v>-3934880.92</v>
      </c>
      <c r="D797" s="2">
        <v>0</v>
      </c>
      <c r="E797" s="2">
        <v>2010578.7309999999</v>
      </c>
      <c r="F797" s="2">
        <v>1451990.8</v>
      </c>
      <c r="G797" s="2">
        <v>5</v>
      </c>
      <c r="H797" s="2">
        <v>1</v>
      </c>
      <c r="I797" s="2">
        <v>3</v>
      </c>
      <c r="J797" s="2">
        <v>3.4</v>
      </c>
      <c r="K797" s="2" t="s">
        <v>306</v>
      </c>
      <c r="L797" s="2" t="str">
        <f t="shared" si="72"/>
        <v>Loss Making</v>
      </c>
      <c r="M797" s="2" t="str">
        <f t="shared" si="73"/>
        <v>Stable Earnings</v>
      </c>
      <c r="N797" s="2" t="str">
        <f t="shared" si="74"/>
        <v>Moderate</v>
      </c>
      <c r="O797" s="4" t="str">
        <f t="shared" si="75"/>
        <v>Accounting Risk</v>
      </c>
      <c r="P797" s="4" t="str">
        <f t="shared" si="76"/>
        <v>Moderate</v>
      </c>
      <c r="Q797" s="4" t="str">
        <f t="shared" si="77"/>
        <v>Moderate Growth</v>
      </c>
    </row>
    <row r="798" spans="1:17" x14ac:dyDescent="0.35">
      <c r="A798" s="2" t="s">
        <v>808</v>
      </c>
      <c r="B798" s="2">
        <v>5</v>
      </c>
      <c r="C798" s="2">
        <v>-5106941.08</v>
      </c>
      <c r="D798" s="2">
        <v>0</v>
      </c>
      <c r="E798" s="2">
        <v>3560385.2390000001</v>
      </c>
      <c r="F798" s="2">
        <v>1437088.7</v>
      </c>
      <c r="G798" s="2">
        <v>5</v>
      </c>
      <c r="H798" s="2">
        <v>1</v>
      </c>
      <c r="I798" s="2">
        <v>3</v>
      </c>
      <c r="J798" s="2">
        <v>3.4</v>
      </c>
      <c r="K798" s="2" t="s">
        <v>306</v>
      </c>
      <c r="L798" s="2" t="str">
        <f t="shared" si="72"/>
        <v>Loss Making</v>
      </c>
      <c r="M798" s="2" t="str">
        <f t="shared" si="73"/>
        <v>Stable Earnings</v>
      </c>
      <c r="N798" s="2" t="str">
        <f t="shared" si="74"/>
        <v>Moderate</v>
      </c>
      <c r="O798" s="4" t="str">
        <f t="shared" si="75"/>
        <v>Accounting Risk</v>
      </c>
      <c r="P798" s="4" t="str">
        <f t="shared" si="76"/>
        <v>Moderate</v>
      </c>
      <c r="Q798" s="4" t="str">
        <f t="shared" si="77"/>
        <v>Moderate Growth</v>
      </c>
    </row>
    <row r="799" spans="1:17" x14ac:dyDescent="0.35">
      <c r="A799" s="2" t="s">
        <v>809</v>
      </c>
      <c r="B799" s="2">
        <v>5</v>
      </c>
      <c r="C799" s="2">
        <v>-4983700.2</v>
      </c>
      <c r="D799" s="2">
        <v>0</v>
      </c>
      <c r="E799" s="2">
        <v>6561336.7120000003</v>
      </c>
      <c r="F799" s="2">
        <v>2065717.1</v>
      </c>
      <c r="G799" s="2">
        <v>5</v>
      </c>
      <c r="H799" s="2">
        <v>1</v>
      </c>
      <c r="I799" s="2">
        <v>3</v>
      </c>
      <c r="J799" s="2">
        <v>3.4</v>
      </c>
      <c r="K799" s="2" t="s">
        <v>306</v>
      </c>
      <c r="L799" s="2" t="str">
        <f t="shared" si="72"/>
        <v>Loss Making</v>
      </c>
      <c r="M799" s="2" t="str">
        <f t="shared" si="73"/>
        <v>Stable Earnings</v>
      </c>
      <c r="N799" s="2" t="str">
        <f t="shared" si="74"/>
        <v>Moderate</v>
      </c>
      <c r="O799" s="4" t="str">
        <f t="shared" si="75"/>
        <v>Accounting Risk</v>
      </c>
      <c r="P799" s="4" t="str">
        <f t="shared" si="76"/>
        <v>Moderate</v>
      </c>
      <c r="Q799" s="4" t="str">
        <f t="shared" si="77"/>
        <v>Moderate Growth</v>
      </c>
    </row>
    <row r="800" spans="1:17" x14ac:dyDescent="0.35">
      <c r="A800" s="2" t="s">
        <v>810</v>
      </c>
      <c r="B800" s="2">
        <v>5</v>
      </c>
      <c r="C800" s="2">
        <v>-8605981</v>
      </c>
      <c r="D800" s="2">
        <v>0</v>
      </c>
      <c r="E800" s="2">
        <v>641186.31099999999</v>
      </c>
      <c r="F800" s="2">
        <v>1251404.1000000001</v>
      </c>
      <c r="G800" s="2">
        <v>5</v>
      </c>
      <c r="H800" s="2">
        <v>1</v>
      </c>
      <c r="I800" s="2">
        <v>3</v>
      </c>
      <c r="J800" s="2">
        <v>3.4</v>
      </c>
      <c r="K800" s="2" t="s">
        <v>306</v>
      </c>
      <c r="L800" s="2" t="str">
        <f t="shared" si="72"/>
        <v>Loss Making</v>
      </c>
      <c r="M800" s="2" t="str">
        <f t="shared" si="73"/>
        <v>Stable Earnings</v>
      </c>
      <c r="N800" s="2" t="str">
        <f t="shared" si="74"/>
        <v>Moderate</v>
      </c>
      <c r="O800" s="4" t="str">
        <f t="shared" si="75"/>
        <v>Accounting Risk</v>
      </c>
      <c r="P800" s="4" t="str">
        <f t="shared" si="76"/>
        <v>Moderate</v>
      </c>
      <c r="Q800" s="4" t="str">
        <f t="shared" si="77"/>
        <v>Moderate Growth</v>
      </c>
    </row>
    <row r="801" spans="1:17" x14ac:dyDescent="0.35">
      <c r="A801" s="2" t="s">
        <v>811</v>
      </c>
      <c r="B801" s="2">
        <v>5</v>
      </c>
      <c r="C801" s="2">
        <v>-6125550.3799999999</v>
      </c>
      <c r="D801" s="2">
        <v>0</v>
      </c>
      <c r="E801" s="2">
        <v>2557929.889</v>
      </c>
      <c r="F801" s="2">
        <v>1127835.6000000001</v>
      </c>
      <c r="G801" s="2">
        <v>5</v>
      </c>
      <c r="H801" s="2">
        <v>1</v>
      </c>
      <c r="I801" s="2">
        <v>3</v>
      </c>
      <c r="J801" s="2">
        <v>3.4</v>
      </c>
      <c r="K801" s="2" t="s">
        <v>306</v>
      </c>
      <c r="L801" s="2" t="str">
        <f t="shared" si="72"/>
        <v>Loss Making</v>
      </c>
      <c r="M801" s="2" t="str">
        <f t="shared" si="73"/>
        <v>Stable Earnings</v>
      </c>
      <c r="N801" s="2" t="str">
        <f t="shared" si="74"/>
        <v>Moderate</v>
      </c>
      <c r="O801" s="4" t="str">
        <f t="shared" si="75"/>
        <v>Accounting Risk</v>
      </c>
      <c r="P801" s="4" t="str">
        <f t="shared" si="76"/>
        <v>Moderate</v>
      </c>
      <c r="Q801" s="4" t="str">
        <f t="shared" si="77"/>
        <v>Moderate Growth</v>
      </c>
    </row>
    <row r="802" spans="1:17" x14ac:dyDescent="0.35">
      <c r="A802" s="2" t="s">
        <v>812</v>
      </c>
      <c r="B802" s="2">
        <v>5</v>
      </c>
      <c r="C802" s="2">
        <v>-9332912.7599999998</v>
      </c>
      <c r="D802" s="2">
        <v>0</v>
      </c>
      <c r="E802" s="2">
        <v>1622204.5589999999</v>
      </c>
      <c r="F802" s="2">
        <v>1104178.1000000001</v>
      </c>
      <c r="G802" s="2">
        <v>5</v>
      </c>
      <c r="H802" s="2">
        <v>1</v>
      </c>
      <c r="I802" s="2">
        <v>3</v>
      </c>
      <c r="J802" s="2">
        <v>3.4</v>
      </c>
      <c r="K802" s="2" t="s">
        <v>306</v>
      </c>
      <c r="L802" s="2" t="str">
        <f t="shared" si="72"/>
        <v>Loss Making</v>
      </c>
      <c r="M802" s="2" t="str">
        <f t="shared" si="73"/>
        <v>Stable Earnings</v>
      </c>
      <c r="N802" s="2" t="str">
        <f t="shared" si="74"/>
        <v>Moderate</v>
      </c>
      <c r="O802" s="4" t="str">
        <f t="shared" si="75"/>
        <v>Accounting Risk</v>
      </c>
      <c r="P802" s="4" t="str">
        <f t="shared" si="76"/>
        <v>Moderate</v>
      </c>
      <c r="Q802" s="4" t="str">
        <f t="shared" si="77"/>
        <v>Moderate Growth</v>
      </c>
    </row>
    <row r="803" spans="1:17" x14ac:dyDescent="0.35">
      <c r="A803" s="2" t="s">
        <v>813</v>
      </c>
      <c r="B803" s="2">
        <v>5</v>
      </c>
      <c r="C803" s="2">
        <v>-9276921.1799999997</v>
      </c>
      <c r="D803" s="2">
        <v>0</v>
      </c>
      <c r="E803" s="2">
        <v>2295803.1680000001</v>
      </c>
      <c r="F803" s="2">
        <v>1055915.1000000001</v>
      </c>
      <c r="G803" s="2">
        <v>5</v>
      </c>
      <c r="H803" s="2">
        <v>1</v>
      </c>
      <c r="I803" s="2">
        <v>3</v>
      </c>
      <c r="J803" s="2">
        <v>3.4</v>
      </c>
      <c r="K803" s="2" t="s">
        <v>306</v>
      </c>
      <c r="L803" s="2" t="str">
        <f t="shared" si="72"/>
        <v>Loss Making</v>
      </c>
      <c r="M803" s="2" t="str">
        <f t="shared" si="73"/>
        <v>Stable Earnings</v>
      </c>
      <c r="N803" s="2" t="str">
        <f t="shared" si="74"/>
        <v>Moderate</v>
      </c>
      <c r="O803" s="4" t="str">
        <f t="shared" si="75"/>
        <v>Accounting Risk</v>
      </c>
      <c r="P803" s="4" t="str">
        <f t="shared" si="76"/>
        <v>Moderate</v>
      </c>
      <c r="Q803" s="4" t="str">
        <f t="shared" si="77"/>
        <v>Moderate Growth</v>
      </c>
    </row>
    <row r="804" spans="1:17" x14ac:dyDescent="0.35">
      <c r="A804" s="2" t="s">
        <v>814</v>
      </c>
      <c r="B804" s="2">
        <v>5</v>
      </c>
      <c r="C804" s="2">
        <v>-13133491.199999999</v>
      </c>
      <c r="D804" s="2">
        <v>0</v>
      </c>
      <c r="E804" s="2">
        <v>3718039.6460000002</v>
      </c>
      <c r="F804" s="2">
        <v>1009537.3</v>
      </c>
      <c r="G804" s="2">
        <v>5</v>
      </c>
      <c r="H804" s="2">
        <v>1</v>
      </c>
      <c r="I804" s="2">
        <v>3</v>
      </c>
      <c r="J804" s="2">
        <v>3.4</v>
      </c>
      <c r="K804" s="2" t="s">
        <v>306</v>
      </c>
      <c r="L804" s="2" t="str">
        <f t="shared" si="72"/>
        <v>Loss Making</v>
      </c>
      <c r="M804" s="2" t="str">
        <f t="shared" si="73"/>
        <v>Stable Earnings</v>
      </c>
      <c r="N804" s="2" t="str">
        <f t="shared" si="74"/>
        <v>Moderate</v>
      </c>
      <c r="O804" s="4" t="str">
        <f t="shared" si="75"/>
        <v>Accounting Risk</v>
      </c>
      <c r="P804" s="4" t="str">
        <f t="shared" si="76"/>
        <v>Moderate</v>
      </c>
      <c r="Q804" s="4" t="str">
        <f t="shared" si="77"/>
        <v>Moderate Growth</v>
      </c>
    </row>
    <row r="805" spans="1:17" x14ac:dyDescent="0.35">
      <c r="A805" s="2" t="s">
        <v>815</v>
      </c>
      <c r="B805" s="2">
        <v>5</v>
      </c>
      <c r="C805" s="2">
        <v>-33355169.18</v>
      </c>
      <c r="D805" s="2">
        <v>0</v>
      </c>
      <c r="E805" s="2">
        <v>8666511.5559999999</v>
      </c>
      <c r="F805" s="2">
        <v>974961.5</v>
      </c>
      <c r="G805" s="2">
        <v>5</v>
      </c>
      <c r="H805" s="2">
        <v>1</v>
      </c>
      <c r="I805" s="2">
        <v>3</v>
      </c>
      <c r="J805" s="2">
        <v>3.4</v>
      </c>
      <c r="K805" s="2" t="s">
        <v>306</v>
      </c>
      <c r="L805" s="2" t="str">
        <f t="shared" si="72"/>
        <v>Loss Making</v>
      </c>
      <c r="M805" s="2" t="str">
        <f t="shared" si="73"/>
        <v>Stable Earnings</v>
      </c>
      <c r="N805" s="2" t="str">
        <f t="shared" si="74"/>
        <v>Moderate</v>
      </c>
      <c r="O805" s="4" t="str">
        <f t="shared" si="75"/>
        <v>Accounting Risk</v>
      </c>
      <c r="P805" s="4" t="str">
        <f t="shared" si="76"/>
        <v>Moderate</v>
      </c>
      <c r="Q805" s="4" t="str">
        <f t="shared" si="77"/>
        <v>Moderate Growth</v>
      </c>
    </row>
    <row r="806" spans="1:17" x14ac:dyDescent="0.35">
      <c r="A806" s="2" t="s">
        <v>816</v>
      </c>
      <c r="B806" s="2">
        <v>5</v>
      </c>
      <c r="C806" s="2">
        <v>-2555029.66</v>
      </c>
      <c r="D806" s="2">
        <v>0</v>
      </c>
      <c r="E806" s="2">
        <v>1163296.6580000001</v>
      </c>
      <c r="F806" s="2">
        <v>770905.1</v>
      </c>
      <c r="G806" s="2">
        <v>5</v>
      </c>
      <c r="H806" s="2">
        <v>1</v>
      </c>
      <c r="I806" s="2">
        <v>3</v>
      </c>
      <c r="J806" s="2">
        <v>3.4</v>
      </c>
      <c r="K806" s="2" t="s">
        <v>306</v>
      </c>
      <c r="L806" s="2" t="str">
        <f t="shared" si="72"/>
        <v>Loss Making</v>
      </c>
      <c r="M806" s="2" t="str">
        <f t="shared" si="73"/>
        <v>Stable Earnings</v>
      </c>
      <c r="N806" s="2" t="str">
        <f t="shared" si="74"/>
        <v>Moderate</v>
      </c>
      <c r="O806" s="4" t="str">
        <f t="shared" si="75"/>
        <v>Accounting Risk</v>
      </c>
      <c r="P806" s="4" t="str">
        <f t="shared" si="76"/>
        <v>Moderate</v>
      </c>
      <c r="Q806" s="4" t="str">
        <f t="shared" si="77"/>
        <v>Moderate Growth</v>
      </c>
    </row>
    <row r="807" spans="1:17" x14ac:dyDescent="0.35">
      <c r="A807" s="2" t="s">
        <v>817</v>
      </c>
      <c r="B807" s="2">
        <v>5</v>
      </c>
      <c r="C807" s="2">
        <v>-17625580.879999999</v>
      </c>
      <c r="D807" s="2">
        <v>0</v>
      </c>
      <c r="E807" s="2">
        <v>3002746.2439999999</v>
      </c>
      <c r="F807" s="2">
        <v>693122.3</v>
      </c>
      <c r="G807" s="2">
        <v>5</v>
      </c>
      <c r="H807" s="2">
        <v>1</v>
      </c>
      <c r="I807" s="2">
        <v>3</v>
      </c>
      <c r="J807" s="2">
        <v>3.4</v>
      </c>
      <c r="K807" s="2" t="s">
        <v>306</v>
      </c>
      <c r="L807" s="2" t="str">
        <f t="shared" si="72"/>
        <v>Loss Making</v>
      </c>
      <c r="M807" s="2" t="str">
        <f t="shared" si="73"/>
        <v>Stable Earnings</v>
      </c>
      <c r="N807" s="2" t="str">
        <f t="shared" si="74"/>
        <v>Moderate</v>
      </c>
      <c r="O807" s="4" t="str">
        <f t="shared" si="75"/>
        <v>Accounting Risk</v>
      </c>
      <c r="P807" s="4" t="str">
        <f t="shared" si="76"/>
        <v>Moderate</v>
      </c>
      <c r="Q807" s="4" t="str">
        <f t="shared" si="77"/>
        <v>Moderate Growth</v>
      </c>
    </row>
    <row r="808" spans="1:17" x14ac:dyDescent="0.35">
      <c r="A808" s="2" t="s">
        <v>818</v>
      </c>
      <c r="B808" s="2">
        <v>5</v>
      </c>
      <c r="C808" s="2">
        <v>-21471424.920000002</v>
      </c>
      <c r="D808" s="2">
        <v>0</v>
      </c>
      <c r="E808" s="2">
        <v>5645989.5269999998</v>
      </c>
      <c r="F808" s="2">
        <v>-3792389.5</v>
      </c>
      <c r="G808" s="2">
        <v>5</v>
      </c>
      <c r="H808" s="2">
        <v>1</v>
      </c>
      <c r="I808" s="2">
        <v>3</v>
      </c>
      <c r="J808" s="2">
        <v>3.4</v>
      </c>
      <c r="K808" s="2" t="s">
        <v>306</v>
      </c>
      <c r="L808" s="2" t="str">
        <f t="shared" si="72"/>
        <v>Loss Making</v>
      </c>
      <c r="M808" s="2" t="str">
        <f t="shared" si="73"/>
        <v>Stable Earnings</v>
      </c>
      <c r="N808" s="2" t="str">
        <f t="shared" si="74"/>
        <v>Moderate</v>
      </c>
      <c r="O808" s="4" t="str">
        <f t="shared" si="75"/>
        <v>Accounting Risk</v>
      </c>
      <c r="P808" s="4" t="str">
        <f t="shared" si="76"/>
        <v>Moderate</v>
      </c>
      <c r="Q808" s="4" t="str">
        <f t="shared" si="77"/>
        <v>Moderate Growth</v>
      </c>
    </row>
    <row r="809" spans="1:17" x14ac:dyDescent="0.35">
      <c r="A809" s="2" t="s">
        <v>819</v>
      </c>
      <c r="B809" s="2">
        <v>5</v>
      </c>
      <c r="C809" s="2">
        <v>-7175200.46</v>
      </c>
      <c r="D809" s="2">
        <v>0</v>
      </c>
      <c r="E809" s="2">
        <v>3406617.2170000002</v>
      </c>
      <c r="F809" s="2">
        <v>-4060492.1</v>
      </c>
      <c r="G809" s="2">
        <v>5</v>
      </c>
      <c r="H809" s="2">
        <v>1</v>
      </c>
      <c r="I809" s="2">
        <v>3</v>
      </c>
      <c r="J809" s="2">
        <v>3.4</v>
      </c>
      <c r="K809" s="2" t="s">
        <v>306</v>
      </c>
      <c r="L809" s="2" t="str">
        <f t="shared" si="72"/>
        <v>Loss Making</v>
      </c>
      <c r="M809" s="2" t="str">
        <f t="shared" si="73"/>
        <v>Stable Earnings</v>
      </c>
      <c r="N809" s="2" t="str">
        <f t="shared" si="74"/>
        <v>Moderate</v>
      </c>
      <c r="O809" s="4" t="str">
        <f t="shared" si="75"/>
        <v>Accounting Risk</v>
      </c>
      <c r="P809" s="4" t="str">
        <f t="shared" si="76"/>
        <v>Moderate</v>
      </c>
      <c r="Q809" s="4" t="str">
        <f t="shared" si="77"/>
        <v>Moderate Growth</v>
      </c>
    </row>
    <row r="810" spans="1:17" x14ac:dyDescent="0.35">
      <c r="A810" s="2" t="s">
        <v>820</v>
      </c>
      <c r="B810" s="2">
        <v>5</v>
      </c>
      <c r="C810" s="2">
        <v>-13543607.82</v>
      </c>
      <c r="D810" s="2">
        <v>0</v>
      </c>
      <c r="E810" s="2">
        <v>2931085.139</v>
      </c>
      <c r="F810" s="2">
        <v>-4274311.9000000004</v>
      </c>
      <c r="G810" s="2">
        <v>5</v>
      </c>
      <c r="H810" s="2">
        <v>1</v>
      </c>
      <c r="I810" s="2">
        <v>3</v>
      </c>
      <c r="J810" s="2">
        <v>3.4</v>
      </c>
      <c r="K810" s="2" t="s">
        <v>306</v>
      </c>
      <c r="L810" s="2" t="str">
        <f t="shared" si="72"/>
        <v>Loss Making</v>
      </c>
      <c r="M810" s="2" t="str">
        <f t="shared" si="73"/>
        <v>Stable Earnings</v>
      </c>
      <c r="N810" s="2" t="str">
        <f t="shared" si="74"/>
        <v>Moderate</v>
      </c>
      <c r="O810" s="4" t="str">
        <f t="shared" si="75"/>
        <v>Accounting Risk</v>
      </c>
      <c r="P810" s="4" t="str">
        <f t="shared" si="76"/>
        <v>Moderate</v>
      </c>
      <c r="Q810" s="4" t="str">
        <f t="shared" si="77"/>
        <v>Moderate Growth</v>
      </c>
    </row>
    <row r="811" spans="1:17" x14ac:dyDescent="0.35">
      <c r="A811" s="2" t="s">
        <v>821</v>
      </c>
      <c r="B811" s="2">
        <v>5</v>
      </c>
      <c r="C811" s="2">
        <v>-7290801.5599999996</v>
      </c>
      <c r="D811" s="2">
        <v>0</v>
      </c>
      <c r="E811" s="2">
        <v>3665967.6290000002</v>
      </c>
      <c r="F811" s="2">
        <v>-4307891.2</v>
      </c>
      <c r="G811" s="2">
        <v>5</v>
      </c>
      <c r="H811" s="2">
        <v>1</v>
      </c>
      <c r="I811" s="2">
        <v>3</v>
      </c>
      <c r="J811" s="2">
        <v>3.4</v>
      </c>
      <c r="K811" s="2" t="s">
        <v>306</v>
      </c>
      <c r="L811" s="2" t="str">
        <f t="shared" si="72"/>
        <v>Loss Making</v>
      </c>
      <c r="M811" s="2" t="str">
        <f t="shared" si="73"/>
        <v>Stable Earnings</v>
      </c>
      <c r="N811" s="2" t="str">
        <f t="shared" si="74"/>
        <v>Moderate</v>
      </c>
      <c r="O811" s="4" t="str">
        <f t="shared" si="75"/>
        <v>Accounting Risk</v>
      </c>
      <c r="P811" s="4" t="str">
        <f t="shared" si="76"/>
        <v>Moderate</v>
      </c>
      <c r="Q811" s="4" t="str">
        <f t="shared" si="77"/>
        <v>Moderate Growth</v>
      </c>
    </row>
    <row r="812" spans="1:17" x14ac:dyDescent="0.35">
      <c r="A812" s="2" t="s">
        <v>822</v>
      </c>
      <c r="B812" s="2">
        <v>5</v>
      </c>
      <c r="C812" s="2">
        <v>-45013302.979999997</v>
      </c>
      <c r="D812" s="2">
        <v>0</v>
      </c>
      <c r="E812" s="2">
        <v>5631474.5970000001</v>
      </c>
      <c r="F812" s="2">
        <v>-4378914.4000000004</v>
      </c>
      <c r="G812" s="2">
        <v>5</v>
      </c>
      <c r="H812" s="2">
        <v>1</v>
      </c>
      <c r="I812" s="2">
        <v>3</v>
      </c>
      <c r="J812" s="2">
        <v>3.4</v>
      </c>
      <c r="K812" s="2" t="s">
        <v>306</v>
      </c>
      <c r="L812" s="2" t="str">
        <f t="shared" si="72"/>
        <v>Loss Making</v>
      </c>
      <c r="M812" s="2" t="str">
        <f t="shared" si="73"/>
        <v>Stable Earnings</v>
      </c>
      <c r="N812" s="2" t="str">
        <f t="shared" si="74"/>
        <v>Moderate</v>
      </c>
      <c r="O812" s="4" t="str">
        <f t="shared" si="75"/>
        <v>Accounting Risk</v>
      </c>
      <c r="P812" s="4" t="str">
        <f t="shared" si="76"/>
        <v>Moderate</v>
      </c>
      <c r="Q812" s="4" t="str">
        <f t="shared" si="77"/>
        <v>Moderate Growth</v>
      </c>
    </row>
    <row r="813" spans="1:17" x14ac:dyDescent="0.35">
      <c r="A813" s="2" t="s">
        <v>823</v>
      </c>
      <c r="B813" s="2">
        <v>5</v>
      </c>
      <c r="C813" s="2">
        <v>-13607379.52</v>
      </c>
      <c r="D813" s="2">
        <v>0</v>
      </c>
      <c r="E813" s="2">
        <v>6523539.1189999999</v>
      </c>
      <c r="F813" s="2">
        <v>-4398490.5999999996</v>
      </c>
      <c r="G813" s="2">
        <v>5</v>
      </c>
      <c r="H813" s="2">
        <v>1</v>
      </c>
      <c r="I813" s="2">
        <v>3</v>
      </c>
      <c r="J813" s="2">
        <v>3.4</v>
      </c>
      <c r="K813" s="2" t="s">
        <v>306</v>
      </c>
      <c r="L813" s="2" t="str">
        <f t="shared" si="72"/>
        <v>Loss Making</v>
      </c>
      <c r="M813" s="2" t="str">
        <f t="shared" si="73"/>
        <v>Stable Earnings</v>
      </c>
      <c r="N813" s="2" t="str">
        <f t="shared" si="74"/>
        <v>Moderate</v>
      </c>
      <c r="O813" s="4" t="str">
        <f t="shared" si="75"/>
        <v>Accounting Risk</v>
      </c>
      <c r="P813" s="4" t="str">
        <f t="shared" si="76"/>
        <v>Moderate</v>
      </c>
      <c r="Q813" s="4" t="str">
        <f t="shared" si="77"/>
        <v>Moderate Growth</v>
      </c>
    </row>
    <row r="814" spans="1:17" x14ac:dyDescent="0.35">
      <c r="A814" s="2" t="s">
        <v>824</v>
      </c>
      <c r="B814" s="2">
        <v>5</v>
      </c>
      <c r="C814" s="2">
        <v>-4863240.2</v>
      </c>
      <c r="D814" s="2">
        <v>0</v>
      </c>
      <c r="E814" s="2">
        <v>2379260.0449999999</v>
      </c>
      <c r="F814" s="2">
        <v>-4556100.4000000004</v>
      </c>
      <c r="G814" s="2">
        <v>5</v>
      </c>
      <c r="H814" s="2">
        <v>1</v>
      </c>
      <c r="I814" s="2">
        <v>3</v>
      </c>
      <c r="J814" s="2">
        <v>3.4</v>
      </c>
      <c r="K814" s="2" t="s">
        <v>306</v>
      </c>
      <c r="L814" s="2" t="str">
        <f t="shared" si="72"/>
        <v>Loss Making</v>
      </c>
      <c r="M814" s="2" t="str">
        <f t="shared" si="73"/>
        <v>Stable Earnings</v>
      </c>
      <c r="N814" s="2" t="str">
        <f t="shared" si="74"/>
        <v>Moderate</v>
      </c>
      <c r="O814" s="4" t="str">
        <f t="shared" si="75"/>
        <v>Accounting Risk</v>
      </c>
      <c r="P814" s="4" t="str">
        <f t="shared" si="76"/>
        <v>Moderate</v>
      </c>
      <c r="Q814" s="4" t="str">
        <f t="shared" si="77"/>
        <v>Moderate Growth</v>
      </c>
    </row>
    <row r="815" spans="1:17" x14ac:dyDescent="0.35">
      <c r="A815" s="2" t="s">
        <v>825</v>
      </c>
      <c r="B815" s="2">
        <v>5</v>
      </c>
      <c r="C815" s="2">
        <v>-7718415.5599999996</v>
      </c>
      <c r="D815" s="2">
        <v>0</v>
      </c>
      <c r="E815" s="2">
        <v>2513621.9550000001</v>
      </c>
      <c r="F815" s="2">
        <v>-3582621</v>
      </c>
      <c r="G815" s="2">
        <v>5</v>
      </c>
      <c r="H815" s="2">
        <v>1</v>
      </c>
      <c r="I815" s="2">
        <v>3</v>
      </c>
      <c r="J815" s="2">
        <v>3.4</v>
      </c>
      <c r="K815" s="2" t="s">
        <v>306</v>
      </c>
      <c r="L815" s="2" t="str">
        <f t="shared" si="72"/>
        <v>Loss Making</v>
      </c>
      <c r="M815" s="2" t="str">
        <f t="shared" si="73"/>
        <v>Stable Earnings</v>
      </c>
      <c r="N815" s="2" t="str">
        <f t="shared" si="74"/>
        <v>Moderate</v>
      </c>
      <c r="O815" s="4" t="str">
        <f t="shared" si="75"/>
        <v>Accounting Risk</v>
      </c>
      <c r="P815" s="4" t="str">
        <f t="shared" si="76"/>
        <v>Moderate</v>
      </c>
      <c r="Q815" s="4" t="str">
        <f t="shared" si="77"/>
        <v>Moderate Growth</v>
      </c>
    </row>
    <row r="816" spans="1:17" x14ac:dyDescent="0.35">
      <c r="A816" s="2" t="s">
        <v>826</v>
      </c>
      <c r="B816" s="2">
        <v>5</v>
      </c>
      <c r="C816" s="2">
        <v>-12495433.74</v>
      </c>
      <c r="D816" s="2">
        <v>0</v>
      </c>
      <c r="E816" s="2">
        <v>7612848.3279999997</v>
      </c>
      <c r="F816" s="2">
        <v>-3463852.1</v>
      </c>
      <c r="G816" s="2">
        <v>5</v>
      </c>
      <c r="H816" s="2">
        <v>1</v>
      </c>
      <c r="I816" s="2">
        <v>3</v>
      </c>
      <c r="J816" s="2">
        <v>3.4</v>
      </c>
      <c r="K816" s="2" t="s">
        <v>306</v>
      </c>
      <c r="L816" s="2" t="str">
        <f t="shared" si="72"/>
        <v>Loss Making</v>
      </c>
      <c r="M816" s="2" t="str">
        <f t="shared" si="73"/>
        <v>Stable Earnings</v>
      </c>
      <c r="N816" s="2" t="str">
        <f t="shared" si="74"/>
        <v>Moderate</v>
      </c>
      <c r="O816" s="4" t="str">
        <f t="shared" si="75"/>
        <v>Accounting Risk</v>
      </c>
      <c r="P816" s="4" t="str">
        <f t="shared" si="76"/>
        <v>Moderate</v>
      </c>
      <c r="Q816" s="4" t="str">
        <f t="shared" si="77"/>
        <v>Moderate Growth</v>
      </c>
    </row>
    <row r="817" spans="1:17" x14ac:dyDescent="0.35">
      <c r="A817" s="2" t="s">
        <v>827</v>
      </c>
      <c r="B817" s="2">
        <v>5</v>
      </c>
      <c r="C817" s="2">
        <v>-8327104.9000000004</v>
      </c>
      <c r="D817" s="2">
        <v>0</v>
      </c>
      <c r="E817" s="2">
        <v>2741463.9279999998</v>
      </c>
      <c r="F817" s="2">
        <v>-3501952.1</v>
      </c>
      <c r="G817" s="2">
        <v>5</v>
      </c>
      <c r="H817" s="2">
        <v>1</v>
      </c>
      <c r="I817" s="2">
        <v>3</v>
      </c>
      <c r="J817" s="2">
        <v>3.4</v>
      </c>
      <c r="K817" s="2" t="s">
        <v>306</v>
      </c>
      <c r="L817" s="2" t="str">
        <f t="shared" si="72"/>
        <v>Loss Making</v>
      </c>
      <c r="M817" s="2" t="str">
        <f t="shared" si="73"/>
        <v>Stable Earnings</v>
      </c>
      <c r="N817" s="2" t="str">
        <f t="shared" si="74"/>
        <v>Moderate</v>
      </c>
      <c r="O817" s="4" t="str">
        <f t="shared" si="75"/>
        <v>Accounting Risk</v>
      </c>
      <c r="P817" s="4" t="str">
        <f t="shared" si="76"/>
        <v>Moderate</v>
      </c>
      <c r="Q817" s="4" t="str">
        <f t="shared" si="77"/>
        <v>Moderate Growth</v>
      </c>
    </row>
    <row r="818" spans="1:17" x14ac:dyDescent="0.35">
      <c r="A818" s="2" t="s">
        <v>828</v>
      </c>
      <c r="B818" s="2">
        <v>5</v>
      </c>
      <c r="C818" s="2">
        <v>-34956612.359999999</v>
      </c>
      <c r="D818" s="2">
        <v>0</v>
      </c>
      <c r="E818" s="2">
        <v>14556324.34</v>
      </c>
      <c r="F818" s="2">
        <v>-3214984.5</v>
      </c>
      <c r="G818" s="2">
        <v>5</v>
      </c>
      <c r="H818" s="2">
        <v>1</v>
      </c>
      <c r="I818" s="2">
        <v>3</v>
      </c>
      <c r="J818" s="2">
        <v>3.4</v>
      </c>
      <c r="K818" s="2" t="s">
        <v>306</v>
      </c>
      <c r="L818" s="2" t="str">
        <f t="shared" si="72"/>
        <v>Loss Making</v>
      </c>
      <c r="M818" s="2" t="str">
        <f t="shared" si="73"/>
        <v>Stable Earnings</v>
      </c>
      <c r="N818" s="2" t="str">
        <f t="shared" si="74"/>
        <v>Moderate</v>
      </c>
      <c r="O818" s="4" t="str">
        <f t="shared" si="75"/>
        <v>Accounting Risk</v>
      </c>
      <c r="P818" s="4" t="str">
        <f t="shared" si="76"/>
        <v>Moderate</v>
      </c>
      <c r="Q818" s="4" t="str">
        <f t="shared" si="77"/>
        <v>Moderate Growth</v>
      </c>
    </row>
    <row r="819" spans="1:17" x14ac:dyDescent="0.35">
      <c r="A819" s="2" t="s">
        <v>829</v>
      </c>
      <c r="B819" s="2">
        <v>5</v>
      </c>
      <c r="C819" s="2">
        <v>-17667467.699999999</v>
      </c>
      <c r="D819" s="2">
        <v>0</v>
      </c>
      <c r="E819" s="2">
        <v>3976177.9810000001</v>
      </c>
      <c r="F819" s="2">
        <v>-3235428.7</v>
      </c>
      <c r="G819" s="2">
        <v>5</v>
      </c>
      <c r="H819" s="2">
        <v>1</v>
      </c>
      <c r="I819" s="2">
        <v>3</v>
      </c>
      <c r="J819" s="2">
        <v>3.4</v>
      </c>
      <c r="K819" s="2" t="s">
        <v>306</v>
      </c>
      <c r="L819" s="2" t="str">
        <f t="shared" si="72"/>
        <v>Loss Making</v>
      </c>
      <c r="M819" s="2" t="str">
        <f t="shared" si="73"/>
        <v>Stable Earnings</v>
      </c>
      <c r="N819" s="2" t="str">
        <f t="shared" si="74"/>
        <v>Moderate</v>
      </c>
      <c r="O819" s="4" t="str">
        <f t="shared" si="75"/>
        <v>Accounting Risk</v>
      </c>
      <c r="P819" s="4" t="str">
        <f t="shared" si="76"/>
        <v>Moderate</v>
      </c>
      <c r="Q819" s="4" t="str">
        <f t="shared" si="77"/>
        <v>Moderate Growth</v>
      </c>
    </row>
    <row r="820" spans="1:17" x14ac:dyDescent="0.35">
      <c r="A820" s="2" t="s">
        <v>830</v>
      </c>
      <c r="B820" s="2">
        <v>5</v>
      </c>
      <c r="C820" s="2">
        <v>-48966450.159999996</v>
      </c>
      <c r="D820" s="2">
        <v>0</v>
      </c>
      <c r="E820" s="2">
        <v>10667671.02</v>
      </c>
      <c r="F820" s="2">
        <v>-3277812.5</v>
      </c>
      <c r="G820" s="2">
        <v>5</v>
      </c>
      <c r="H820" s="2">
        <v>1</v>
      </c>
      <c r="I820" s="2">
        <v>3</v>
      </c>
      <c r="J820" s="2">
        <v>3.4</v>
      </c>
      <c r="K820" s="2" t="s">
        <v>306</v>
      </c>
      <c r="L820" s="2" t="str">
        <f t="shared" si="72"/>
        <v>Loss Making</v>
      </c>
      <c r="M820" s="2" t="str">
        <f t="shared" si="73"/>
        <v>Stable Earnings</v>
      </c>
      <c r="N820" s="2" t="str">
        <f t="shared" si="74"/>
        <v>Moderate</v>
      </c>
      <c r="O820" s="4" t="str">
        <f t="shared" si="75"/>
        <v>Accounting Risk</v>
      </c>
      <c r="P820" s="4" t="str">
        <f t="shared" si="76"/>
        <v>Moderate</v>
      </c>
      <c r="Q820" s="4" t="str">
        <f t="shared" si="77"/>
        <v>Moderate Growth</v>
      </c>
    </row>
    <row r="821" spans="1:17" x14ac:dyDescent="0.35">
      <c r="A821" s="2" t="s">
        <v>831</v>
      </c>
      <c r="B821" s="2">
        <v>5</v>
      </c>
      <c r="C821" s="2">
        <v>-1732410.62</v>
      </c>
      <c r="D821" s="2">
        <v>0</v>
      </c>
      <c r="E821" s="2">
        <v>2162418.8640000001</v>
      </c>
      <c r="F821" s="2">
        <v>-2920272.1</v>
      </c>
      <c r="G821" s="2">
        <v>5</v>
      </c>
      <c r="H821" s="2">
        <v>1</v>
      </c>
      <c r="I821" s="2">
        <v>3</v>
      </c>
      <c r="J821" s="2">
        <v>3.4</v>
      </c>
      <c r="K821" s="2" t="s">
        <v>306</v>
      </c>
      <c r="L821" s="2" t="str">
        <f t="shared" si="72"/>
        <v>Loss Making</v>
      </c>
      <c r="M821" s="2" t="str">
        <f t="shared" si="73"/>
        <v>Stable Earnings</v>
      </c>
      <c r="N821" s="2" t="str">
        <f t="shared" si="74"/>
        <v>Moderate</v>
      </c>
      <c r="O821" s="4" t="str">
        <f t="shared" si="75"/>
        <v>Accounting Risk</v>
      </c>
      <c r="P821" s="4" t="str">
        <f t="shared" si="76"/>
        <v>Moderate</v>
      </c>
      <c r="Q821" s="4" t="str">
        <f t="shared" si="77"/>
        <v>Moderate Growth</v>
      </c>
    </row>
    <row r="822" spans="1:17" x14ac:dyDescent="0.35">
      <c r="A822" s="2" t="s">
        <v>832</v>
      </c>
      <c r="B822" s="2">
        <v>5</v>
      </c>
      <c r="C822" s="2">
        <v>-3799727.78</v>
      </c>
      <c r="D822" s="2">
        <v>0</v>
      </c>
      <c r="E822" s="2">
        <v>1869437.82</v>
      </c>
      <c r="F822" s="2">
        <v>-2922852.2</v>
      </c>
      <c r="G822" s="2">
        <v>5</v>
      </c>
      <c r="H822" s="2">
        <v>1</v>
      </c>
      <c r="I822" s="2">
        <v>3</v>
      </c>
      <c r="J822" s="2">
        <v>3.4</v>
      </c>
      <c r="K822" s="2" t="s">
        <v>306</v>
      </c>
      <c r="L822" s="2" t="str">
        <f t="shared" si="72"/>
        <v>Loss Making</v>
      </c>
      <c r="M822" s="2" t="str">
        <f t="shared" si="73"/>
        <v>Stable Earnings</v>
      </c>
      <c r="N822" s="2" t="str">
        <f t="shared" si="74"/>
        <v>Moderate</v>
      </c>
      <c r="O822" s="4" t="str">
        <f t="shared" si="75"/>
        <v>Accounting Risk</v>
      </c>
      <c r="P822" s="4" t="str">
        <f t="shared" si="76"/>
        <v>Moderate</v>
      </c>
      <c r="Q822" s="4" t="str">
        <f t="shared" si="77"/>
        <v>Moderate Growth</v>
      </c>
    </row>
    <row r="823" spans="1:17" x14ac:dyDescent="0.35">
      <c r="A823" s="2" t="s">
        <v>833</v>
      </c>
      <c r="B823" s="2">
        <v>5</v>
      </c>
      <c r="C823" s="2">
        <v>-11351234.18</v>
      </c>
      <c r="D823" s="2">
        <v>0</v>
      </c>
      <c r="E823" s="2">
        <v>2417823.83</v>
      </c>
      <c r="F823" s="2">
        <v>-3018729.8</v>
      </c>
      <c r="G823" s="2">
        <v>5</v>
      </c>
      <c r="H823" s="2">
        <v>1</v>
      </c>
      <c r="I823" s="2">
        <v>3</v>
      </c>
      <c r="J823" s="2">
        <v>3.4</v>
      </c>
      <c r="K823" s="2" t="s">
        <v>306</v>
      </c>
      <c r="L823" s="2" t="str">
        <f t="shared" si="72"/>
        <v>Loss Making</v>
      </c>
      <c r="M823" s="2" t="str">
        <f t="shared" si="73"/>
        <v>Stable Earnings</v>
      </c>
      <c r="N823" s="2" t="str">
        <f t="shared" si="74"/>
        <v>Moderate</v>
      </c>
      <c r="O823" s="4" t="str">
        <f t="shared" si="75"/>
        <v>Accounting Risk</v>
      </c>
      <c r="P823" s="4" t="str">
        <f t="shared" si="76"/>
        <v>Moderate</v>
      </c>
      <c r="Q823" s="4" t="str">
        <f t="shared" si="77"/>
        <v>Moderate Growth</v>
      </c>
    </row>
    <row r="824" spans="1:17" x14ac:dyDescent="0.35">
      <c r="A824" s="2" t="s">
        <v>834</v>
      </c>
      <c r="B824" s="2">
        <v>5</v>
      </c>
      <c r="C824" s="2">
        <v>-32693099.140000001</v>
      </c>
      <c r="D824" s="2">
        <v>0.2</v>
      </c>
      <c r="E824" s="2">
        <v>33018876.710000001</v>
      </c>
      <c r="F824" s="2">
        <v>-6468011.9000000004</v>
      </c>
      <c r="G824" s="2">
        <v>4</v>
      </c>
      <c r="H824" s="2">
        <v>2</v>
      </c>
      <c r="I824" s="2">
        <v>4</v>
      </c>
      <c r="J824" s="2">
        <v>3.4</v>
      </c>
      <c r="K824" s="2" t="s">
        <v>306</v>
      </c>
      <c r="L824" s="2" t="str">
        <f t="shared" si="72"/>
        <v>Loss Making</v>
      </c>
      <c r="M824" s="2" t="str">
        <f t="shared" si="73"/>
        <v>Stable Earnings</v>
      </c>
      <c r="N824" s="2" t="str">
        <f t="shared" si="74"/>
        <v>Moderate</v>
      </c>
      <c r="O824" s="4" t="str">
        <f t="shared" si="75"/>
        <v>Accounting Risk</v>
      </c>
      <c r="P824" s="4" t="str">
        <f t="shared" si="76"/>
        <v>Moderate</v>
      </c>
      <c r="Q824" s="4" t="str">
        <f t="shared" si="77"/>
        <v>Strong Long-Term Growth</v>
      </c>
    </row>
    <row r="825" spans="1:17" x14ac:dyDescent="0.35">
      <c r="A825" s="2" t="s">
        <v>835</v>
      </c>
      <c r="B825" s="2">
        <v>5</v>
      </c>
      <c r="C825" s="2">
        <v>-59092078.740000002</v>
      </c>
      <c r="D825" s="2">
        <v>0</v>
      </c>
      <c r="E825" s="2">
        <v>11253280.869999999</v>
      </c>
      <c r="F825" s="2">
        <v>-4989398</v>
      </c>
      <c r="G825" s="2">
        <v>5</v>
      </c>
      <c r="H825" s="2">
        <v>1</v>
      </c>
      <c r="I825" s="2">
        <v>3</v>
      </c>
      <c r="J825" s="2">
        <v>3.4</v>
      </c>
      <c r="K825" s="2" t="s">
        <v>306</v>
      </c>
      <c r="L825" s="2" t="str">
        <f t="shared" si="72"/>
        <v>Loss Making</v>
      </c>
      <c r="M825" s="2" t="str">
        <f t="shared" si="73"/>
        <v>Stable Earnings</v>
      </c>
      <c r="N825" s="2" t="str">
        <f t="shared" si="74"/>
        <v>Moderate</v>
      </c>
      <c r="O825" s="4" t="str">
        <f t="shared" si="75"/>
        <v>Accounting Risk</v>
      </c>
      <c r="P825" s="4" t="str">
        <f t="shared" si="76"/>
        <v>Moderate</v>
      </c>
      <c r="Q825" s="4" t="str">
        <f t="shared" si="77"/>
        <v>Moderate Growth</v>
      </c>
    </row>
    <row r="826" spans="1:17" x14ac:dyDescent="0.35">
      <c r="A826" s="2" t="s">
        <v>836</v>
      </c>
      <c r="B826" s="2">
        <v>5</v>
      </c>
      <c r="C826" s="2">
        <v>-32621799.780000001</v>
      </c>
      <c r="D826" s="2">
        <v>0</v>
      </c>
      <c r="E826" s="2">
        <v>10286671.1</v>
      </c>
      <c r="F826" s="2">
        <v>-5111552.5</v>
      </c>
      <c r="G826" s="2">
        <v>5</v>
      </c>
      <c r="H826" s="2">
        <v>1</v>
      </c>
      <c r="I826" s="2">
        <v>3</v>
      </c>
      <c r="J826" s="2">
        <v>3.4</v>
      </c>
      <c r="K826" s="2" t="s">
        <v>306</v>
      </c>
      <c r="L826" s="2" t="str">
        <f t="shared" si="72"/>
        <v>Loss Making</v>
      </c>
      <c r="M826" s="2" t="str">
        <f t="shared" si="73"/>
        <v>Stable Earnings</v>
      </c>
      <c r="N826" s="2" t="str">
        <f t="shared" si="74"/>
        <v>Moderate</v>
      </c>
      <c r="O826" s="4" t="str">
        <f t="shared" si="75"/>
        <v>Accounting Risk</v>
      </c>
      <c r="P826" s="4" t="str">
        <f t="shared" si="76"/>
        <v>Moderate</v>
      </c>
      <c r="Q826" s="4" t="str">
        <f t="shared" si="77"/>
        <v>Moderate Growth</v>
      </c>
    </row>
    <row r="827" spans="1:17" x14ac:dyDescent="0.35">
      <c r="A827" s="2" t="s">
        <v>837</v>
      </c>
      <c r="B827" s="2">
        <v>5</v>
      </c>
      <c r="C827" s="2">
        <v>-7216854.7999999998</v>
      </c>
      <c r="D827" s="2">
        <v>0</v>
      </c>
      <c r="E827" s="2">
        <v>7842369.3930000002</v>
      </c>
      <c r="F827" s="2">
        <v>-4628735.7</v>
      </c>
      <c r="G827" s="2">
        <v>5</v>
      </c>
      <c r="H827" s="2">
        <v>1</v>
      </c>
      <c r="I827" s="2">
        <v>3</v>
      </c>
      <c r="J827" s="2">
        <v>3.4</v>
      </c>
      <c r="K827" s="2" t="s">
        <v>306</v>
      </c>
      <c r="L827" s="2" t="str">
        <f t="shared" si="72"/>
        <v>Loss Making</v>
      </c>
      <c r="M827" s="2" t="str">
        <f t="shared" si="73"/>
        <v>Stable Earnings</v>
      </c>
      <c r="N827" s="2" t="str">
        <f t="shared" si="74"/>
        <v>Moderate</v>
      </c>
      <c r="O827" s="4" t="str">
        <f t="shared" si="75"/>
        <v>Accounting Risk</v>
      </c>
      <c r="P827" s="4" t="str">
        <f t="shared" si="76"/>
        <v>Moderate</v>
      </c>
      <c r="Q827" s="4" t="str">
        <f t="shared" si="77"/>
        <v>Moderate Growth</v>
      </c>
    </row>
    <row r="828" spans="1:17" x14ac:dyDescent="0.35">
      <c r="A828" s="2" t="s">
        <v>838</v>
      </c>
      <c r="B828" s="2">
        <v>5</v>
      </c>
      <c r="C828" s="2">
        <v>-2152994.08</v>
      </c>
      <c r="D828" s="2">
        <v>0</v>
      </c>
      <c r="E828" s="2">
        <v>2298368.6060000001</v>
      </c>
      <c r="F828" s="2">
        <v>-4738904.0999999996</v>
      </c>
      <c r="G828" s="2">
        <v>5</v>
      </c>
      <c r="H828" s="2">
        <v>1</v>
      </c>
      <c r="I828" s="2">
        <v>3</v>
      </c>
      <c r="J828" s="2">
        <v>3.4</v>
      </c>
      <c r="K828" s="2" t="s">
        <v>306</v>
      </c>
      <c r="L828" s="2" t="str">
        <f t="shared" si="72"/>
        <v>Loss Making</v>
      </c>
      <c r="M828" s="2" t="str">
        <f t="shared" si="73"/>
        <v>Stable Earnings</v>
      </c>
      <c r="N828" s="2" t="str">
        <f t="shared" si="74"/>
        <v>Moderate</v>
      </c>
      <c r="O828" s="4" t="str">
        <f t="shared" si="75"/>
        <v>Accounting Risk</v>
      </c>
      <c r="P828" s="4" t="str">
        <f t="shared" si="76"/>
        <v>Moderate</v>
      </c>
      <c r="Q828" s="4" t="str">
        <f t="shared" si="77"/>
        <v>Moderate Growth</v>
      </c>
    </row>
    <row r="829" spans="1:17" x14ac:dyDescent="0.35">
      <c r="A829" s="2" t="s">
        <v>839</v>
      </c>
      <c r="B829" s="2">
        <v>5</v>
      </c>
      <c r="C829" s="2">
        <v>-25326391.219999999</v>
      </c>
      <c r="D829" s="2">
        <v>0.2</v>
      </c>
      <c r="E829" s="2">
        <v>35023604.840000004</v>
      </c>
      <c r="F829" s="2">
        <v>-5403866.4000000004</v>
      </c>
      <c r="G829" s="2">
        <v>4</v>
      </c>
      <c r="H829" s="2">
        <v>2</v>
      </c>
      <c r="I829" s="2">
        <v>4</v>
      </c>
      <c r="J829" s="2">
        <v>3.4</v>
      </c>
      <c r="K829" s="2" t="s">
        <v>306</v>
      </c>
      <c r="L829" s="2" t="str">
        <f t="shared" si="72"/>
        <v>Loss Making</v>
      </c>
      <c r="M829" s="2" t="str">
        <f t="shared" si="73"/>
        <v>Stable Earnings</v>
      </c>
      <c r="N829" s="2" t="str">
        <f t="shared" si="74"/>
        <v>Moderate</v>
      </c>
      <c r="O829" s="4" t="str">
        <f t="shared" si="75"/>
        <v>Accounting Risk</v>
      </c>
      <c r="P829" s="4" t="str">
        <f t="shared" si="76"/>
        <v>Moderate</v>
      </c>
      <c r="Q829" s="4" t="str">
        <f t="shared" si="77"/>
        <v>Strong Long-Term Growth</v>
      </c>
    </row>
    <row r="830" spans="1:17" x14ac:dyDescent="0.35">
      <c r="A830" s="2" t="s">
        <v>840</v>
      </c>
      <c r="B830" s="2">
        <v>5</v>
      </c>
      <c r="C830" s="2">
        <v>-33214139.920000002</v>
      </c>
      <c r="D830" s="2">
        <v>0</v>
      </c>
      <c r="E830" s="2">
        <v>12054186.029999999</v>
      </c>
      <c r="F830" s="2">
        <v>-2849321.1</v>
      </c>
      <c r="G830" s="2">
        <v>5</v>
      </c>
      <c r="H830" s="2">
        <v>1</v>
      </c>
      <c r="I830" s="2">
        <v>3</v>
      </c>
      <c r="J830" s="2">
        <v>3.4</v>
      </c>
      <c r="K830" s="2" t="s">
        <v>306</v>
      </c>
      <c r="L830" s="2" t="str">
        <f t="shared" si="72"/>
        <v>Loss Making</v>
      </c>
      <c r="M830" s="2" t="str">
        <f t="shared" si="73"/>
        <v>Stable Earnings</v>
      </c>
      <c r="N830" s="2" t="str">
        <f t="shared" si="74"/>
        <v>Moderate</v>
      </c>
      <c r="O830" s="4" t="str">
        <f t="shared" si="75"/>
        <v>Accounting Risk</v>
      </c>
      <c r="P830" s="4" t="str">
        <f t="shared" si="76"/>
        <v>Moderate</v>
      </c>
      <c r="Q830" s="4" t="str">
        <f t="shared" si="77"/>
        <v>Moderate Growth</v>
      </c>
    </row>
    <row r="831" spans="1:17" x14ac:dyDescent="0.35">
      <c r="A831" s="2" t="s">
        <v>841</v>
      </c>
      <c r="B831" s="2">
        <v>5</v>
      </c>
      <c r="C831" s="2">
        <v>-42410909.740000002</v>
      </c>
      <c r="D831" s="2">
        <v>0</v>
      </c>
      <c r="E831" s="2">
        <v>5801292.6840000004</v>
      </c>
      <c r="F831" s="2">
        <v>-1903469.4</v>
      </c>
      <c r="G831" s="2">
        <v>5</v>
      </c>
      <c r="H831" s="2">
        <v>1</v>
      </c>
      <c r="I831" s="2">
        <v>3</v>
      </c>
      <c r="J831" s="2">
        <v>3.4</v>
      </c>
      <c r="K831" s="2" t="s">
        <v>306</v>
      </c>
      <c r="L831" s="2" t="str">
        <f t="shared" si="72"/>
        <v>Loss Making</v>
      </c>
      <c r="M831" s="2" t="str">
        <f t="shared" si="73"/>
        <v>Stable Earnings</v>
      </c>
      <c r="N831" s="2" t="str">
        <f t="shared" si="74"/>
        <v>Moderate</v>
      </c>
      <c r="O831" s="4" t="str">
        <f t="shared" si="75"/>
        <v>Accounting Risk</v>
      </c>
      <c r="P831" s="4" t="str">
        <f t="shared" si="76"/>
        <v>Moderate</v>
      </c>
      <c r="Q831" s="4" t="str">
        <f t="shared" si="77"/>
        <v>Moderate Growth</v>
      </c>
    </row>
    <row r="832" spans="1:17" x14ac:dyDescent="0.35">
      <c r="A832" s="2" t="s">
        <v>842</v>
      </c>
      <c r="B832" s="2">
        <v>5</v>
      </c>
      <c r="C832" s="2">
        <v>-5336050.9400000004</v>
      </c>
      <c r="D832" s="2">
        <v>0</v>
      </c>
      <c r="E832" s="2">
        <v>1469289.9550000001</v>
      </c>
      <c r="F832" s="2">
        <v>-1923685.3</v>
      </c>
      <c r="G832" s="2">
        <v>5</v>
      </c>
      <c r="H832" s="2">
        <v>1</v>
      </c>
      <c r="I832" s="2">
        <v>3</v>
      </c>
      <c r="J832" s="2">
        <v>3.4</v>
      </c>
      <c r="K832" s="2" t="s">
        <v>306</v>
      </c>
      <c r="L832" s="2" t="str">
        <f t="shared" si="72"/>
        <v>Loss Making</v>
      </c>
      <c r="M832" s="2" t="str">
        <f t="shared" si="73"/>
        <v>Stable Earnings</v>
      </c>
      <c r="N832" s="2" t="str">
        <f t="shared" si="74"/>
        <v>Moderate</v>
      </c>
      <c r="O832" s="4" t="str">
        <f t="shared" si="75"/>
        <v>Accounting Risk</v>
      </c>
      <c r="P832" s="4" t="str">
        <f t="shared" si="76"/>
        <v>Moderate</v>
      </c>
      <c r="Q832" s="4" t="str">
        <f t="shared" si="77"/>
        <v>Moderate Growth</v>
      </c>
    </row>
    <row r="833" spans="1:17" x14ac:dyDescent="0.35">
      <c r="A833" s="2" t="s">
        <v>843</v>
      </c>
      <c r="B833" s="2">
        <v>5</v>
      </c>
      <c r="C833" s="2">
        <v>-30318847.440000001</v>
      </c>
      <c r="D833" s="2">
        <v>0</v>
      </c>
      <c r="E833" s="2">
        <v>4445508.0269999998</v>
      </c>
      <c r="F833" s="2">
        <v>-2489364.7000000002</v>
      </c>
      <c r="G833" s="2">
        <v>5</v>
      </c>
      <c r="H833" s="2">
        <v>1</v>
      </c>
      <c r="I833" s="2">
        <v>3</v>
      </c>
      <c r="J833" s="2">
        <v>3.4</v>
      </c>
      <c r="K833" s="2" t="s">
        <v>306</v>
      </c>
      <c r="L833" s="2" t="str">
        <f t="shared" si="72"/>
        <v>Loss Making</v>
      </c>
      <c r="M833" s="2" t="str">
        <f t="shared" si="73"/>
        <v>Stable Earnings</v>
      </c>
      <c r="N833" s="2" t="str">
        <f t="shared" si="74"/>
        <v>Moderate</v>
      </c>
      <c r="O833" s="4" t="str">
        <f t="shared" si="75"/>
        <v>Accounting Risk</v>
      </c>
      <c r="P833" s="4" t="str">
        <f t="shared" si="76"/>
        <v>Moderate</v>
      </c>
      <c r="Q833" s="4" t="str">
        <f t="shared" si="77"/>
        <v>Moderate Growth</v>
      </c>
    </row>
    <row r="834" spans="1:17" x14ac:dyDescent="0.35">
      <c r="A834" s="2" t="s">
        <v>844</v>
      </c>
      <c r="B834" s="2">
        <v>5</v>
      </c>
      <c r="C834" s="2">
        <v>-8257056.2800000003</v>
      </c>
      <c r="D834" s="2">
        <v>0</v>
      </c>
      <c r="E834" s="2">
        <v>3312007.3790000002</v>
      </c>
      <c r="F834" s="2">
        <v>-2623441.1</v>
      </c>
      <c r="G834" s="2">
        <v>5</v>
      </c>
      <c r="H834" s="2">
        <v>1</v>
      </c>
      <c r="I834" s="2">
        <v>3</v>
      </c>
      <c r="J834" s="2">
        <v>3.4</v>
      </c>
      <c r="K834" s="2" t="s">
        <v>306</v>
      </c>
      <c r="L834" s="2" t="str">
        <f t="shared" ref="L834:L897" si="78">IF(C834&gt;0,"Profitable","Loss Making")</f>
        <v>Loss Making</v>
      </c>
      <c r="M834" s="2" t="str">
        <f t="shared" ref="M834:M897" si="79">IF(C834&gt;500000000,"High Volatility","Stable Earnings")</f>
        <v>Stable Earnings</v>
      </c>
      <c r="N834" s="2" t="str">
        <f t="shared" ref="N834:N897" si="80">IF(G834&gt;=7,"High Quality",IF(G834&gt;=4,"Moderate","Low Quality"))</f>
        <v>Moderate</v>
      </c>
      <c r="O834" s="4" t="str">
        <f t="shared" ref="O834:O897" si="81">IF(AND(F834&gt;0,D834&gt;0.6),"Operational Growth","Accounting Risk")</f>
        <v>Accounting Risk</v>
      </c>
      <c r="P834" s="4" t="str">
        <f t="shared" ref="P834:P897" si="82">IF(G834&gt;=7,"High Quality", IF(G834&gt;=4,"Moderate","Low Quality"))</f>
        <v>Moderate</v>
      </c>
      <c r="Q834" s="4" t="str">
        <f t="shared" ref="Q834:Q897" si="83">IF(I834&gt;=4,"Strong Long-Term Growth",IF(I834&gt;=2,"Moderate Growth","Weak Growth"))</f>
        <v>Moderate Growth</v>
      </c>
    </row>
    <row r="835" spans="1:17" x14ac:dyDescent="0.35">
      <c r="A835" s="2" t="s">
        <v>845</v>
      </c>
      <c r="B835" s="2">
        <v>5</v>
      </c>
      <c r="C835" s="2">
        <v>-12676460.939999999</v>
      </c>
      <c r="D835" s="2">
        <v>0</v>
      </c>
      <c r="E835" s="2">
        <v>2045680.1510000001</v>
      </c>
      <c r="F835" s="2">
        <v>-1983135.4</v>
      </c>
      <c r="G835" s="2">
        <v>5</v>
      </c>
      <c r="H835" s="2">
        <v>1</v>
      </c>
      <c r="I835" s="2">
        <v>3</v>
      </c>
      <c r="J835" s="2">
        <v>3.4</v>
      </c>
      <c r="K835" s="2" t="s">
        <v>306</v>
      </c>
      <c r="L835" s="2" t="str">
        <f t="shared" si="78"/>
        <v>Loss Making</v>
      </c>
      <c r="M835" s="2" t="str">
        <f t="shared" si="79"/>
        <v>Stable Earnings</v>
      </c>
      <c r="N835" s="2" t="str">
        <f t="shared" si="80"/>
        <v>Moderate</v>
      </c>
      <c r="O835" s="4" t="str">
        <f t="shared" si="81"/>
        <v>Accounting Risk</v>
      </c>
      <c r="P835" s="4" t="str">
        <f t="shared" si="82"/>
        <v>Moderate</v>
      </c>
      <c r="Q835" s="4" t="str">
        <f t="shared" si="83"/>
        <v>Moderate Growth</v>
      </c>
    </row>
    <row r="836" spans="1:17" x14ac:dyDescent="0.35">
      <c r="A836" s="2" t="s">
        <v>846</v>
      </c>
      <c r="B836" s="2">
        <v>5</v>
      </c>
      <c r="C836" s="2">
        <v>-13240721.380000001</v>
      </c>
      <c r="D836" s="2">
        <v>0</v>
      </c>
      <c r="E836" s="2">
        <v>4554910.3099999996</v>
      </c>
      <c r="F836" s="2">
        <v>-2060435.2</v>
      </c>
      <c r="G836" s="2">
        <v>5</v>
      </c>
      <c r="H836" s="2">
        <v>1</v>
      </c>
      <c r="I836" s="2">
        <v>3</v>
      </c>
      <c r="J836" s="2">
        <v>3.4</v>
      </c>
      <c r="K836" s="2" t="s">
        <v>306</v>
      </c>
      <c r="L836" s="2" t="str">
        <f t="shared" si="78"/>
        <v>Loss Making</v>
      </c>
      <c r="M836" s="2" t="str">
        <f t="shared" si="79"/>
        <v>Stable Earnings</v>
      </c>
      <c r="N836" s="2" t="str">
        <f t="shared" si="80"/>
        <v>Moderate</v>
      </c>
      <c r="O836" s="4" t="str">
        <f t="shared" si="81"/>
        <v>Accounting Risk</v>
      </c>
      <c r="P836" s="4" t="str">
        <f t="shared" si="82"/>
        <v>Moderate</v>
      </c>
      <c r="Q836" s="4" t="str">
        <f t="shared" si="83"/>
        <v>Moderate Growth</v>
      </c>
    </row>
    <row r="837" spans="1:17" x14ac:dyDescent="0.35">
      <c r="A837" s="2" t="s">
        <v>847</v>
      </c>
      <c r="B837" s="2">
        <v>5</v>
      </c>
      <c r="C837" s="2">
        <v>-3803848.48</v>
      </c>
      <c r="D837" s="2">
        <v>0</v>
      </c>
      <c r="E837" s="2">
        <v>1935329.4879999999</v>
      </c>
      <c r="F837" s="2">
        <v>-2133594.4</v>
      </c>
      <c r="G837" s="2">
        <v>5</v>
      </c>
      <c r="H837" s="2">
        <v>1</v>
      </c>
      <c r="I837" s="2">
        <v>3</v>
      </c>
      <c r="J837" s="2">
        <v>3.4</v>
      </c>
      <c r="K837" s="2" t="s">
        <v>306</v>
      </c>
      <c r="L837" s="2" t="str">
        <f t="shared" si="78"/>
        <v>Loss Making</v>
      </c>
      <c r="M837" s="2" t="str">
        <f t="shared" si="79"/>
        <v>Stable Earnings</v>
      </c>
      <c r="N837" s="2" t="str">
        <f t="shared" si="80"/>
        <v>Moderate</v>
      </c>
      <c r="O837" s="4" t="str">
        <f t="shared" si="81"/>
        <v>Accounting Risk</v>
      </c>
      <c r="P837" s="4" t="str">
        <f t="shared" si="82"/>
        <v>Moderate</v>
      </c>
      <c r="Q837" s="4" t="str">
        <f t="shared" si="83"/>
        <v>Moderate Growth</v>
      </c>
    </row>
    <row r="838" spans="1:17" x14ac:dyDescent="0.35">
      <c r="A838" s="2" t="s">
        <v>848</v>
      </c>
      <c r="B838" s="2">
        <v>5</v>
      </c>
      <c r="C838" s="2">
        <v>-9002838.6199999992</v>
      </c>
      <c r="D838" s="2">
        <v>0</v>
      </c>
      <c r="E838" s="2">
        <v>13627835.27</v>
      </c>
      <c r="F838" s="2">
        <v>-2137376.7999999998</v>
      </c>
      <c r="G838" s="2">
        <v>5</v>
      </c>
      <c r="H838" s="2">
        <v>1</v>
      </c>
      <c r="I838" s="2">
        <v>3</v>
      </c>
      <c r="J838" s="2">
        <v>3.4</v>
      </c>
      <c r="K838" s="2" t="s">
        <v>306</v>
      </c>
      <c r="L838" s="2" t="str">
        <f t="shared" si="78"/>
        <v>Loss Making</v>
      </c>
      <c r="M838" s="2" t="str">
        <f t="shared" si="79"/>
        <v>Stable Earnings</v>
      </c>
      <c r="N838" s="2" t="str">
        <f t="shared" si="80"/>
        <v>Moderate</v>
      </c>
      <c r="O838" s="4" t="str">
        <f t="shared" si="81"/>
        <v>Accounting Risk</v>
      </c>
      <c r="P838" s="4" t="str">
        <f t="shared" si="82"/>
        <v>Moderate</v>
      </c>
      <c r="Q838" s="4" t="str">
        <f t="shared" si="83"/>
        <v>Moderate Growth</v>
      </c>
    </row>
    <row r="839" spans="1:17" x14ac:dyDescent="0.35">
      <c r="A839" s="2" t="s">
        <v>849</v>
      </c>
      <c r="B839" s="2">
        <v>5</v>
      </c>
      <c r="C839" s="2">
        <v>-27825193.699999999</v>
      </c>
      <c r="D839" s="2">
        <v>0</v>
      </c>
      <c r="E839" s="2">
        <v>11673901.93</v>
      </c>
      <c r="F839" s="2">
        <v>-2302337.5</v>
      </c>
      <c r="G839" s="2">
        <v>5</v>
      </c>
      <c r="H839" s="2">
        <v>1</v>
      </c>
      <c r="I839" s="2">
        <v>3</v>
      </c>
      <c r="J839" s="2">
        <v>3.4</v>
      </c>
      <c r="K839" s="2" t="s">
        <v>306</v>
      </c>
      <c r="L839" s="2" t="str">
        <f t="shared" si="78"/>
        <v>Loss Making</v>
      </c>
      <c r="M839" s="2" t="str">
        <f t="shared" si="79"/>
        <v>Stable Earnings</v>
      </c>
      <c r="N839" s="2" t="str">
        <f t="shared" si="80"/>
        <v>Moderate</v>
      </c>
      <c r="O839" s="4" t="str">
        <f t="shared" si="81"/>
        <v>Accounting Risk</v>
      </c>
      <c r="P839" s="4" t="str">
        <f t="shared" si="82"/>
        <v>Moderate</v>
      </c>
      <c r="Q839" s="4" t="str">
        <f t="shared" si="83"/>
        <v>Moderate Growth</v>
      </c>
    </row>
    <row r="840" spans="1:17" x14ac:dyDescent="0.35">
      <c r="A840" s="2" t="s">
        <v>850</v>
      </c>
      <c r="B840" s="2">
        <v>5</v>
      </c>
      <c r="C840" s="2">
        <v>-8225472.54</v>
      </c>
      <c r="D840" s="2">
        <v>0</v>
      </c>
      <c r="E840" s="2">
        <v>893285.20019999996</v>
      </c>
      <c r="F840" s="2">
        <v>-2365047.7000000002</v>
      </c>
      <c r="G840" s="2">
        <v>5</v>
      </c>
      <c r="H840" s="2">
        <v>1</v>
      </c>
      <c r="I840" s="2">
        <v>3</v>
      </c>
      <c r="J840" s="2">
        <v>3.4</v>
      </c>
      <c r="K840" s="2" t="s">
        <v>306</v>
      </c>
      <c r="L840" s="2" t="str">
        <f t="shared" si="78"/>
        <v>Loss Making</v>
      </c>
      <c r="M840" s="2" t="str">
        <f t="shared" si="79"/>
        <v>Stable Earnings</v>
      </c>
      <c r="N840" s="2" t="str">
        <f t="shared" si="80"/>
        <v>Moderate</v>
      </c>
      <c r="O840" s="4" t="str">
        <f t="shared" si="81"/>
        <v>Accounting Risk</v>
      </c>
      <c r="P840" s="4" t="str">
        <f t="shared" si="82"/>
        <v>Moderate</v>
      </c>
      <c r="Q840" s="4" t="str">
        <f t="shared" si="83"/>
        <v>Moderate Growth</v>
      </c>
    </row>
    <row r="841" spans="1:17" x14ac:dyDescent="0.35">
      <c r="A841" s="2" t="s">
        <v>851</v>
      </c>
      <c r="B841" s="2">
        <v>5</v>
      </c>
      <c r="C841" s="2">
        <v>-9687811.6400000006</v>
      </c>
      <c r="D841" s="2">
        <v>0</v>
      </c>
      <c r="E841" s="2">
        <v>4734137.3049999997</v>
      </c>
      <c r="F841" s="2">
        <v>-2367521.5</v>
      </c>
      <c r="G841" s="2">
        <v>5</v>
      </c>
      <c r="H841" s="2">
        <v>1</v>
      </c>
      <c r="I841" s="2">
        <v>3</v>
      </c>
      <c r="J841" s="2">
        <v>3.4</v>
      </c>
      <c r="K841" s="2" t="s">
        <v>306</v>
      </c>
      <c r="L841" s="2" t="str">
        <f t="shared" si="78"/>
        <v>Loss Making</v>
      </c>
      <c r="M841" s="2" t="str">
        <f t="shared" si="79"/>
        <v>Stable Earnings</v>
      </c>
      <c r="N841" s="2" t="str">
        <f t="shared" si="80"/>
        <v>Moderate</v>
      </c>
      <c r="O841" s="4" t="str">
        <f t="shared" si="81"/>
        <v>Accounting Risk</v>
      </c>
      <c r="P841" s="4" t="str">
        <f t="shared" si="82"/>
        <v>Moderate</v>
      </c>
      <c r="Q841" s="4" t="str">
        <f t="shared" si="83"/>
        <v>Moderate Growth</v>
      </c>
    </row>
    <row r="842" spans="1:17" x14ac:dyDescent="0.35">
      <c r="A842" s="2" t="s">
        <v>852</v>
      </c>
      <c r="B842" s="2">
        <v>5</v>
      </c>
      <c r="C842" s="2">
        <v>-1494747.54</v>
      </c>
      <c r="D842" s="2">
        <v>0</v>
      </c>
      <c r="E842" s="2">
        <v>740644.52630000003</v>
      </c>
      <c r="F842" s="2">
        <v>-1768516.3</v>
      </c>
      <c r="G842" s="2">
        <v>5</v>
      </c>
      <c r="H842" s="2">
        <v>1</v>
      </c>
      <c r="I842" s="2">
        <v>3</v>
      </c>
      <c r="J842" s="2">
        <v>3.4</v>
      </c>
      <c r="K842" s="2" t="s">
        <v>306</v>
      </c>
      <c r="L842" s="2" t="str">
        <f t="shared" si="78"/>
        <v>Loss Making</v>
      </c>
      <c r="M842" s="2" t="str">
        <f t="shared" si="79"/>
        <v>Stable Earnings</v>
      </c>
      <c r="N842" s="2" t="str">
        <f t="shared" si="80"/>
        <v>Moderate</v>
      </c>
      <c r="O842" s="4" t="str">
        <f t="shared" si="81"/>
        <v>Accounting Risk</v>
      </c>
      <c r="P842" s="4" t="str">
        <f t="shared" si="82"/>
        <v>Moderate</v>
      </c>
      <c r="Q842" s="4" t="str">
        <f t="shared" si="83"/>
        <v>Moderate Growth</v>
      </c>
    </row>
    <row r="843" spans="1:17" x14ac:dyDescent="0.35">
      <c r="A843" s="2" t="s">
        <v>853</v>
      </c>
      <c r="B843" s="2">
        <v>5</v>
      </c>
      <c r="C843" s="2">
        <v>-7626592.1600000001</v>
      </c>
      <c r="D843" s="2">
        <v>0</v>
      </c>
      <c r="E843" s="2">
        <v>1733118.233</v>
      </c>
      <c r="F843" s="2">
        <v>-1119850.8999999999</v>
      </c>
      <c r="G843" s="2">
        <v>5</v>
      </c>
      <c r="H843" s="2">
        <v>1</v>
      </c>
      <c r="I843" s="2">
        <v>3</v>
      </c>
      <c r="J843" s="2">
        <v>3.4</v>
      </c>
      <c r="K843" s="2" t="s">
        <v>306</v>
      </c>
      <c r="L843" s="2" t="str">
        <f t="shared" si="78"/>
        <v>Loss Making</v>
      </c>
      <c r="M843" s="2" t="str">
        <f t="shared" si="79"/>
        <v>Stable Earnings</v>
      </c>
      <c r="N843" s="2" t="str">
        <f t="shared" si="80"/>
        <v>Moderate</v>
      </c>
      <c r="O843" s="4" t="str">
        <f t="shared" si="81"/>
        <v>Accounting Risk</v>
      </c>
      <c r="P843" s="4" t="str">
        <f t="shared" si="82"/>
        <v>Moderate</v>
      </c>
      <c r="Q843" s="4" t="str">
        <f t="shared" si="83"/>
        <v>Moderate Growth</v>
      </c>
    </row>
    <row r="844" spans="1:17" x14ac:dyDescent="0.35">
      <c r="A844" s="2" t="s">
        <v>854</v>
      </c>
      <c r="B844" s="2">
        <v>5</v>
      </c>
      <c r="C844" s="2">
        <v>-3658937.5</v>
      </c>
      <c r="D844" s="2">
        <v>0</v>
      </c>
      <c r="E844" s="2">
        <v>955255.57149999996</v>
      </c>
      <c r="F844" s="2">
        <v>-1209092.1000000001</v>
      </c>
      <c r="G844" s="2">
        <v>5</v>
      </c>
      <c r="H844" s="2">
        <v>1</v>
      </c>
      <c r="I844" s="2">
        <v>3</v>
      </c>
      <c r="J844" s="2">
        <v>3.4</v>
      </c>
      <c r="K844" s="2" t="s">
        <v>306</v>
      </c>
      <c r="L844" s="2" t="str">
        <f t="shared" si="78"/>
        <v>Loss Making</v>
      </c>
      <c r="M844" s="2" t="str">
        <f t="shared" si="79"/>
        <v>Stable Earnings</v>
      </c>
      <c r="N844" s="2" t="str">
        <f t="shared" si="80"/>
        <v>Moderate</v>
      </c>
      <c r="O844" s="4" t="str">
        <f t="shared" si="81"/>
        <v>Accounting Risk</v>
      </c>
      <c r="P844" s="4" t="str">
        <f t="shared" si="82"/>
        <v>Moderate</v>
      </c>
      <c r="Q844" s="4" t="str">
        <f t="shared" si="83"/>
        <v>Moderate Growth</v>
      </c>
    </row>
    <row r="845" spans="1:17" x14ac:dyDescent="0.35">
      <c r="A845" s="2" t="s">
        <v>855</v>
      </c>
      <c r="B845" s="2">
        <v>5</v>
      </c>
      <c r="C845" s="2">
        <v>-2701570.7</v>
      </c>
      <c r="D845" s="2">
        <v>0</v>
      </c>
      <c r="E845" s="2">
        <v>1725164.8060000001</v>
      </c>
      <c r="F845" s="2">
        <v>-819182.1</v>
      </c>
      <c r="G845" s="2">
        <v>5</v>
      </c>
      <c r="H845" s="2">
        <v>1</v>
      </c>
      <c r="I845" s="2">
        <v>3</v>
      </c>
      <c r="J845" s="2">
        <v>3.4</v>
      </c>
      <c r="K845" s="2" t="s">
        <v>306</v>
      </c>
      <c r="L845" s="2" t="str">
        <f t="shared" si="78"/>
        <v>Loss Making</v>
      </c>
      <c r="M845" s="2" t="str">
        <f t="shared" si="79"/>
        <v>Stable Earnings</v>
      </c>
      <c r="N845" s="2" t="str">
        <f t="shared" si="80"/>
        <v>Moderate</v>
      </c>
      <c r="O845" s="4" t="str">
        <f t="shared" si="81"/>
        <v>Accounting Risk</v>
      </c>
      <c r="P845" s="4" t="str">
        <f t="shared" si="82"/>
        <v>Moderate</v>
      </c>
      <c r="Q845" s="4" t="str">
        <f t="shared" si="83"/>
        <v>Moderate Growth</v>
      </c>
    </row>
    <row r="846" spans="1:17" x14ac:dyDescent="0.35">
      <c r="A846" s="2" t="s">
        <v>856</v>
      </c>
      <c r="B846" s="2">
        <v>5</v>
      </c>
      <c r="C846" s="2">
        <v>-7325507.0999999996</v>
      </c>
      <c r="D846" s="2">
        <v>0</v>
      </c>
      <c r="E846" s="2">
        <v>4696603.3159999996</v>
      </c>
      <c r="F846" s="2">
        <v>-1313074.5</v>
      </c>
      <c r="G846" s="2">
        <v>5</v>
      </c>
      <c r="H846" s="2">
        <v>1</v>
      </c>
      <c r="I846" s="2">
        <v>3</v>
      </c>
      <c r="J846" s="2">
        <v>3.4</v>
      </c>
      <c r="K846" s="2" t="s">
        <v>306</v>
      </c>
      <c r="L846" s="2" t="str">
        <f t="shared" si="78"/>
        <v>Loss Making</v>
      </c>
      <c r="M846" s="2" t="str">
        <f t="shared" si="79"/>
        <v>Stable Earnings</v>
      </c>
      <c r="N846" s="2" t="str">
        <f t="shared" si="80"/>
        <v>Moderate</v>
      </c>
      <c r="O846" s="4" t="str">
        <f t="shared" si="81"/>
        <v>Accounting Risk</v>
      </c>
      <c r="P846" s="4" t="str">
        <f t="shared" si="82"/>
        <v>Moderate</v>
      </c>
      <c r="Q846" s="4" t="str">
        <f t="shared" si="83"/>
        <v>Moderate Growth</v>
      </c>
    </row>
    <row r="847" spans="1:17" x14ac:dyDescent="0.35">
      <c r="A847" s="2" t="s">
        <v>857</v>
      </c>
      <c r="B847" s="2">
        <v>5</v>
      </c>
      <c r="C847" s="2">
        <v>-412164.16</v>
      </c>
      <c r="D847" s="2">
        <v>0</v>
      </c>
      <c r="E847" s="2">
        <v>393126.24550000002</v>
      </c>
      <c r="F847" s="2">
        <v>-757844.6</v>
      </c>
      <c r="G847" s="2">
        <v>5</v>
      </c>
      <c r="H847" s="2">
        <v>1</v>
      </c>
      <c r="I847" s="2">
        <v>3</v>
      </c>
      <c r="J847" s="2">
        <v>3.4</v>
      </c>
      <c r="K847" s="2" t="s">
        <v>306</v>
      </c>
      <c r="L847" s="2" t="str">
        <f t="shared" si="78"/>
        <v>Loss Making</v>
      </c>
      <c r="M847" s="2" t="str">
        <f t="shared" si="79"/>
        <v>Stable Earnings</v>
      </c>
      <c r="N847" s="2" t="str">
        <f t="shared" si="80"/>
        <v>Moderate</v>
      </c>
      <c r="O847" s="4" t="str">
        <f t="shared" si="81"/>
        <v>Accounting Risk</v>
      </c>
      <c r="P847" s="4" t="str">
        <f t="shared" si="82"/>
        <v>Moderate</v>
      </c>
      <c r="Q847" s="4" t="str">
        <f t="shared" si="83"/>
        <v>Moderate Growth</v>
      </c>
    </row>
    <row r="848" spans="1:17" x14ac:dyDescent="0.35">
      <c r="A848" s="2" t="s">
        <v>858</v>
      </c>
      <c r="B848" s="2">
        <v>5</v>
      </c>
      <c r="C848" s="2">
        <v>-7480437.96</v>
      </c>
      <c r="D848" s="2">
        <v>0</v>
      </c>
      <c r="E848" s="2">
        <v>1806604.737</v>
      </c>
      <c r="F848" s="2">
        <v>-769011.7</v>
      </c>
      <c r="G848" s="2">
        <v>5</v>
      </c>
      <c r="H848" s="2">
        <v>1</v>
      </c>
      <c r="I848" s="2">
        <v>3</v>
      </c>
      <c r="J848" s="2">
        <v>3.4</v>
      </c>
      <c r="K848" s="2" t="s">
        <v>306</v>
      </c>
      <c r="L848" s="2" t="str">
        <f t="shared" si="78"/>
        <v>Loss Making</v>
      </c>
      <c r="M848" s="2" t="str">
        <f t="shared" si="79"/>
        <v>Stable Earnings</v>
      </c>
      <c r="N848" s="2" t="str">
        <f t="shared" si="80"/>
        <v>Moderate</v>
      </c>
      <c r="O848" s="4" t="str">
        <f t="shared" si="81"/>
        <v>Accounting Risk</v>
      </c>
      <c r="P848" s="4" t="str">
        <f t="shared" si="82"/>
        <v>Moderate</v>
      </c>
      <c r="Q848" s="4" t="str">
        <f t="shared" si="83"/>
        <v>Moderate Growth</v>
      </c>
    </row>
    <row r="849" spans="1:17" x14ac:dyDescent="0.35">
      <c r="A849" s="2" t="s">
        <v>859</v>
      </c>
      <c r="B849" s="2">
        <v>5</v>
      </c>
      <c r="C849" s="2">
        <v>-3556416.54</v>
      </c>
      <c r="D849" s="2">
        <v>0</v>
      </c>
      <c r="E849" s="2">
        <v>852973.54559999995</v>
      </c>
      <c r="F849" s="2">
        <v>-123343.5</v>
      </c>
      <c r="G849" s="2">
        <v>5</v>
      </c>
      <c r="H849" s="2">
        <v>1</v>
      </c>
      <c r="I849" s="2">
        <v>3</v>
      </c>
      <c r="J849" s="2">
        <v>3.4</v>
      </c>
      <c r="K849" s="2" t="s">
        <v>306</v>
      </c>
      <c r="L849" s="2" t="str">
        <f t="shared" si="78"/>
        <v>Loss Making</v>
      </c>
      <c r="M849" s="2" t="str">
        <f t="shared" si="79"/>
        <v>Stable Earnings</v>
      </c>
      <c r="N849" s="2" t="str">
        <f t="shared" si="80"/>
        <v>Moderate</v>
      </c>
      <c r="O849" s="4" t="str">
        <f t="shared" si="81"/>
        <v>Accounting Risk</v>
      </c>
      <c r="P849" s="4" t="str">
        <f t="shared" si="82"/>
        <v>Moderate</v>
      </c>
      <c r="Q849" s="4" t="str">
        <f t="shared" si="83"/>
        <v>Moderate Growth</v>
      </c>
    </row>
    <row r="850" spans="1:17" x14ac:dyDescent="0.35">
      <c r="A850" s="2" t="s">
        <v>860</v>
      </c>
      <c r="B850" s="2">
        <v>5</v>
      </c>
      <c r="C850" s="2">
        <v>-9452150.1600000001</v>
      </c>
      <c r="D850" s="2">
        <v>0</v>
      </c>
      <c r="E850" s="2">
        <v>2324780.2370000002</v>
      </c>
      <c r="F850" s="2">
        <v>-636683.4</v>
      </c>
      <c r="G850" s="2">
        <v>5</v>
      </c>
      <c r="H850" s="2">
        <v>1</v>
      </c>
      <c r="I850" s="2">
        <v>3</v>
      </c>
      <c r="J850" s="2">
        <v>3.4</v>
      </c>
      <c r="K850" s="2" t="s">
        <v>306</v>
      </c>
      <c r="L850" s="2" t="str">
        <f t="shared" si="78"/>
        <v>Loss Making</v>
      </c>
      <c r="M850" s="2" t="str">
        <f t="shared" si="79"/>
        <v>Stable Earnings</v>
      </c>
      <c r="N850" s="2" t="str">
        <f t="shared" si="80"/>
        <v>Moderate</v>
      </c>
      <c r="O850" s="4" t="str">
        <f t="shared" si="81"/>
        <v>Accounting Risk</v>
      </c>
      <c r="P850" s="4" t="str">
        <f t="shared" si="82"/>
        <v>Moderate</v>
      </c>
      <c r="Q850" s="4" t="str">
        <f t="shared" si="83"/>
        <v>Moderate Growth</v>
      </c>
    </row>
    <row r="851" spans="1:17" x14ac:dyDescent="0.35">
      <c r="A851" s="2" t="s">
        <v>861</v>
      </c>
      <c r="B851" s="2">
        <v>5</v>
      </c>
      <c r="C851" s="2">
        <v>-596675.1</v>
      </c>
      <c r="D851" s="2">
        <v>0</v>
      </c>
      <c r="E851" s="2">
        <v>295755.24810000003</v>
      </c>
      <c r="F851" s="2">
        <v>-641286.80000000005</v>
      </c>
      <c r="G851" s="2">
        <v>5</v>
      </c>
      <c r="H851" s="2">
        <v>1</v>
      </c>
      <c r="I851" s="2">
        <v>3</v>
      </c>
      <c r="J851" s="2">
        <v>3.4</v>
      </c>
      <c r="K851" s="2" t="s">
        <v>306</v>
      </c>
      <c r="L851" s="2" t="str">
        <f t="shared" si="78"/>
        <v>Loss Making</v>
      </c>
      <c r="M851" s="2" t="str">
        <f t="shared" si="79"/>
        <v>Stable Earnings</v>
      </c>
      <c r="N851" s="2" t="str">
        <f t="shared" si="80"/>
        <v>Moderate</v>
      </c>
      <c r="O851" s="4" t="str">
        <f t="shared" si="81"/>
        <v>Accounting Risk</v>
      </c>
      <c r="P851" s="4" t="str">
        <f t="shared" si="82"/>
        <v>Moderate</v>
      </c>
      <c r="Q851" s="4" t="str">
        <f t="shared" si="83"/>
        <v>Moderate Growth</v>
      </c>
    </row>
    <row r="852" spans="1:17" x14ac:dyDescent="0.35">
      <c r="A852" s="2" t="s">
        <v>862</v>
      </c>
      <c r="B852" s="2">
        <v>5</v>
      </c>
      <c r="C852" s="2">
        <v>-799956.7</v>
      </c>
      <c r="D852" s="2">
        <v>0</v>
      </c>
      <c r="E852" s="2">
        <v>681655.87719999999</v>
      </c>
      <c r="F852" s="2">
        <v>-375064.9</v>
      </c>
      <c r="G852" s="2">
        <v>5</v>
      </c>
      <c r="H852" s="2">
        <v>1</v>
      </c>
      <c r="I852" s="2">
        <v>3</v>
      </c>
      <c r="J852" s="2">
        <v>3.4</v>
      </c>
      <c r="K852" s="2" t="s">
        <v>306</v>
      </c>
      <c r="L852" s="2" t="str">
        <f t="shared" si="78"/>
        <v>Loss Making</v>
      </c>
      <c r="M852" s="2" t="str">
        <f t="shared" si="79"/>
        <v>Stable Earnings</v>
      </c>
      <c r="N852" s="2" t="str">
        <f t="shared" si="80"/>
        <v>Moderate</v>
      </c>
      <c r="O852" s="4" t="str">
        <f t="shared" si="81"/>
        <v>Accounting Risk</v>
      </c>
      <c r="P852" s="4" t="str">
        <f t="shared" si="82"/>
        <v>Moderate</v>
      </c>
      <c r="Q852" s="4" t="str">
        <f t="shared" si="83"/>
        <v>Moderate Growth</v>
      </c>
    </row>
    <row r="853" spans="1:17" x14ac:dyDescent="0.35">
      <c r="A853" s="2" t="s">
        <v>863</v>
      </c>
      <c r="B853" s="2">
        <v>5</v>
      </c>
      <c r="C853" s="2">
        <v>-2320206.7200000002</v>
      </c>
      <c r="D853" s="2">
        <v>0</v>
      </c>
      <c r="E853" s="2">
        <v>1440326.2690000001</v>
      </c>
      <c r="F853" s="2">
        <v>-514970.3</v>
      </c>
      <c r="G853" s="2">
        <v>5</v>
      </c>
      <c r="H853" s="2">
        <v>1</v>
      </c>
      <c r="I853" s="2">
        <v>3</v>
      </c>
      <c r="J853" s="2">
        <v>3.4</v>
      </c>
      <c r="K853" s="2" t="s">
        <v>306</v>
      </c>
      <c r="L853" s="2" t="str">
        <f t="shared" si="78"/>
        <v>Loss Making</v>
      </c>
      <c r="M853" s="2" t="str">
        <f t="shared" si="79"/>
        <v>Stable Earnings</v>
      </c>
      <c r="N853" s="2" t="str">
        <f t="shared" si="80"/>
        <v>Moderate</v>
      </c>
      <c r="O853" s="4" t="str">
        <f t="shared" si="81"/>
        <v>Accounting Risk</v>
      </c>
      <c r="P853" s="4" t="str">
        <f t="shared" si="82"/>
        <v>Moderate</v>
      </c>
      <c r="Q853" s="4" t="str">
        <f t="shared" si="83"/>
        <v>Moderate Growth</v>
      </c>
    </row>
    <row r="854" spans="1:17" x14ac:dyDescent="0.35">
      <c r="A854" s="2" t="s">
        <v>864</v>
      </c>
      <c r="B854" s="2">
        <v>5</v>
      </c>
      <c r="C854" s="2">
        <v>-9227507.5399999991</v>
      </c>
      <c r="D854" s="2">
        <v>0</v>
      </c>
      <c r="E854" s="2">
        <v>2063592.818</v>
      </c>
      <c r="F854" s="2">
        <v>375930.1</v>
      </c>
      <c r="G854" s="2">
        <v>5</v>
      </c>
      <c r="H854" s="2">
        <v>1</v>
      </c>
      <c r="I854" s="2">
        <v>3</v>
      </c>
      <c r="J854" s="2">
        <v>3.4</v>
      </c>
      <c r="K854" s="2" t="s">
        <v>306</v>
      </c>
      <c r="L854" s="2" t="str">
        <f t="shared" si="78"/>
        <v>Loss Making</v>
      </c>
      <c r="M854" s="2" t="str">
        <f t="shared" si="79"/>
        <v>Stable Earnings</v>
      </c>
      <c r="N854" s="2" t="str">
        <f t="shared" si="80"/>
        <v>Moderate</v>
      </c>
      <c r="O854" s="4" t="str">
        <f t="shared" si="81"/>
        <v>Accounting Risk</v>
      </c>
      <c r="P854" s="4" t="str">
        <f t="shared" si="82"/>
        <v>Moderate</v>
      </c>
      <c r="Q854" s="4" t="str">
        <f t="shared" si="83"/>
        <v>Moderate Growth</v>
      </c>
    </row>
    <row r="855" spans="1:17" x14ac:dyDescent="0.35">
      <c r="A855" s="2" t="s">
        <v>865</v>
      </c>
      <c r="B855" s="2">
        <v>5</v>
      </c>
      <c r="C855" s="2">
        <v>-360124.62</v>
      </c>
      <c r="D855" s="2">
        <v>0</v>
      </c>
      <c r="E855" s="2">
        <v>161232.89069999999</v>
      </c>
      <c r="F855" s="2">
        <v>112788</v>
      </c>
      <c r="G855" s="2">
        <v>5</v>
      </c>
      <c r="H855" s="2">
        <v>1</v>
      </c>
      <c r="I855" s="2">
        <v>3</v>
      </c>
      <c r="J855" s="2">
        <v>3.4</v>
      </c>
      <c r="K855" s="2" t="s">
        <v>306</v>
      </c>
      <c r="L855" s="2" t="str">
        <f t="shared" si="78"/>
        <v>Loss Making</v>
      </c>
      <c r="M855" s="2" t="str">
        <f t="shared" si="79"/>
        <v>Stable Earnings</v>
      </c>
      <c r="N855" s="2" t="str">
        <f t="shared" si="80"/>
        <v>Moderate</v>
      </c>
      <c r="O855" s="4" t="str">
        <f t="shared" si="81"/>
        <v>Accounting Risk</v>
      </c>
      <c r="P855" s="4" t="str">
        <f t="shared" si="82"/>
        <v>Moderate</v>
      </c>
      <c r="Q855" s="4" t="str">
        <f t="shared" si="83"/>
        <v>Moderate Growth</v>
      </c>
    </row>
    <row r="856" spans="1:17" x14ac:dyDescent="0.35">
      <c r="A856" s="2" t="s">
        <v>866</v>
      </c>
      <c r="B856" s="2">
        <v>5</v>
      </c>
      <c r="C856" s="2">
        <v>-18623840.199999999</v>
      </c>
      <c r="D856" s="2">
        <v>0</v>
      </c>
      <c r="E856" s="2">
        <v>3158597.4139999999</v>
      </c>
      <c r="F856" s="2">
        <v>-70631.199999999997</v>
      </c>
      <c r="G856" s="2">
        <v>5</v>
      </c>
      <c r="H856" s="2">
        <v>1</v>
      </c>
      <c r="I856" s="2">
        <v>3</v>
      </c>
      <c r="J856" s="2">
        <v>3.4</v>
      </c>
      <c r="K856" s="2" t="s">
        <v>306</v>
      </c>
      <c r="L856" s="2" t="str">
        <f t="shared" si="78"/>
        <v>Loss Making</v>
      </c>
      <c r="M856" s="2" t="str">
        <f t="shared" si="79"/>
        <v>Stable Earnings</v>
      </c>
      <c r="N856" s="2" t="str">
        <f t="shared" si="80"/>
        <v>Moderate</v>
      </c>
      <c r="O856" s="4" t="str">
        <f t="shared" si="81"/>
        <v>Accounting Risk</v>
      </c>
      <c r="P856" s="4" t="str">
        <f t="shared" si="82"/>
        <v>Moderate</v>
      </c>
      <c r="Q856" s="4" t="str">
        <f t="shared" si="83"/>
        <v>Moderate Growth</v>
      </c>
    </row>
    <row r="857" spans="1:17" x14ac:dyDescent="0.35">
      <c r="A857" s="2" t="s">
        <v>867</v>
      </c>
      <c r="B857" s="2">
        <v>5</v>
      </c>
      <c r="C857" s="2">
        <v>-67424396.840000004</v>
      </c>
      <c r="D857" s="2">
        <v>0</v>
      </c>
      <c r="E857" s="2">
        <v>28438929.489999998</v>
      </c>
      <c r="F857" s="2">
        <v>-7457564</v>
      </c>
      <c r="G857" s="2">
        <v>4</v>
      </c>
      <c r="H857" s="2">
        <v>2</v>
      </c>
      <c r="I857" s="2">
        <v>4</v>
      </c>
      <c r="J857" s="2">
        <v>3.4</v>
      </c>
      <c r="K857" s="2" t="s">
        <v>306</v>
      </c>
      <c r="L857" s="2" t="str">
        <f t="shared" si="78"/>
        <v>Loss Making</v>
      </c>
      <c r="M857" s="2" t="str">
        <f t="shared" si="79"/>
        <v>Stable Earnings</v>
      </c>
      <c r="N857" s="2" t="str">
        <f t="shared" si="80"/>
        <v>Moderate</v>
      </c>
      <c r="O857" s="4" t="str">
        <f t="shared" si="81"/>
        <v>Accounting Risk</v>
      </c>
      <c r="P857" s="4" t="str">
        <f t="shared" si="82"/>
        <v>Moderate</v>
      </c>
      <c r="Q857" s="4" t="str">
        <f t="shared" si="83"/>
        <v>Strong Long-Term Growth</v>
      </c>
    </row>
    <row r="858" spans="1:17" x14ac:dyDescent="0.35">
      <c r="A858" s="2" t="s">
        <v>868</v>
      </c>
      <c r="B858" s="2">
        <v>5</v>
      </c>
      <c r="C858" s="2">
        <v>-1552674.84</v>
      </c>
      <c r="D858" s="2">
        <v>0.4</v>
      </c>
      <c r="E858" s="2">
        <v>20661487.34</v>
      </c>
      <c r="F858" s="2">
        <v>-9726278.1999999993</v>
      </c>
      <c r="G858" s="2">
        <v>4</v>
      </c>
      <c r="H858" s="2">
        <v>2</v>
      </c>
      <c r="I858" s="2">
        <v>4</v>
      </c>
      <c r="J858" s="2">
        <v>3.4</v>
      </c>
      <c r="K858" s="2" t="s">
        <v>306</v>
      </c>
      <c r="L858" s="2" t="str">
        <f t="shared" si="78"/>
        <v>Loss Making</v>
      </c>
      <c r="M858" s="2" t="str">
        <f t="shared" si="79"/>
        <v>Stable Earnings</v>
      </c>
      <c r="N858" s="2" t="str">
        <f t="shared" si="80"/>
        <v>Moderate</v>
      </c>
      <c r="O858" s="4" t="str">
        <f t="shared" si="81"/>
        <v>Accounting Risk</v>
      </c>
      <c r="P858" s="4" t="str">
        <f t="shared" si="82"/>
        <v>Moderate</v>
      </c>
      <c r="Q858" s="4" t="str">
        <f t="shared" si="83"/>
        <v>Strong Long-Term Growth</v>
      </c>
    </row>
    <row r="859" spans="1:17" x14ac:dyDescent="0.35">
      <c r="A859" s="2" t="s">
        <v>869</v>
      </c>
      <c r="B859" s="2">
        <v>5</v>
      </c>
      <c r="C859" s="2">
        <v>-14811034.619999999</v>
      </c>
      <c r="D859" s="2">
        <v>0.2</v>
      </c>
      <c r="E859" s="2">
        <v>18105715</v>
      </c>
      <c r="F859" s="2">
        <v>-16637716.1</v>
      </c>
      <c r="G859" s="2">
        <v>4</v>
      </c>
      <c r="H859" s="2">
        <v>2</v>
      </c>
      <c r="I859" s="2">
        <v>4</v>
      </c>
      <c r="J859" s="2">
        <v>3.4</v>
      </c>
      <c r="K859" s="2" t="s">
        <v>306</v>
      </c>
      <c r="L859" s="2" t="str">
        <f t="shared" si="78"/>
        <v>Loss Making</v>
      </c>
      <c r="M859" s="2" t="str">
        <f t="shared" si="79"/>
        <v>Stable Earnings</v>
      </c>
      <c r="N859" s="2" t="str">
        <f t="shared" si="80"/>
        <v>Moderate</v>
      </c>
      <c r="O859" s="4" t="str">
        <f t="shared" si="81"/>
        <v>Accounting Risk</v>
      </c>
      <c r="P859" s="4" t="str">
        <f t="shared" si="82"/>
        <v>Moderate</v>
      </c>
      <c r="Q859" s="4" t="str">
        <f t="shared" si="83"/>
        <v>Strong Long-Term Growth</v>
      </c>
    </row>
    <row r="860" spans="1:17" x14ac:dyDescent="0.35">
      <c r="A860" s="2" t="s">
        <v>870</v>
      </c>
      <c r="B860" s="2">
        <v>5</v>
      </c>
      <c r="C860" s="2">
        <v>-38034273</v>
      </c>
      <c r="D860" s="2">
        <v>0</v>
      </c>
      <c r="E860" s="2">
        <v>24549284.07</v>
      </c>
      <c r="F860" s="2">
        <v>-17653330.399999999</v>
      </c>
      <c r="G860" s="2">
        <v>4</v>
      </c>
      <c r="H860" s="2">
        <v>2</v>
      </c>
      <c r="I860" s="2">
        <v>4</v>
      </c>
      <c r="J860" s="2">
        <v>3.4</v>
      </c>
      <c r="K860" s="2" t="s">
        <v>306</v>
      </c>
      <c r="L860" s="2" t="str">
        <f t="shared" si="78"/>
        <v>Loss Making</v>
      </c>
      <c r="M860" s="2" t="str">
        <f t="shared" si="79"/>
        <v>Stable Earnings</v>
      </c>
      <c r="N860" s="2" t="str">
        <f t="shared" si="80"/>
        <v>Moderate</v>
      </c>
      <c r="O860" s="4" t="str">
        <f t="shared" si="81"/>
        <v>Accounting Risk</v>
      </c>
      <c r="P860" s="4" t="str">
        <f t="shared" si="82"/>
        <v>Moderate</v>
      </c>
      <c r="Q860" s="4" t="str">
        <f t="shared" si="83"/>
        <v>Strong Long-Term Growth</v>
      </c>
    </row>
    <row r="861" spans="1:17" x14ac:dyDescent="0.35">
      <c r="A861" s="2" t="s">
        <v>871</v>
      </c>
      <c r="B861" s="2">
        <v>5</v>
      </c>
      <c r="C861" s="2">
        <v>-6193625.7000000002</v>
      </c>
      <c r="D861" s="2">
        <v>0.4</v>
      </c>
      <c r="E861" s="2">
        <v>18391650.07</v>
      </c>
      <c r="F861" s="2">
        <v>-17350656.399999999</v>
      </c>
      <c r="G861" s="2">
        <v>4</v>
      </c>
      <c r="H861" s="2">
        <v>2</v>
      </c>
      <c r="I861" s="2">
        <v>4</v>
      </c>
      <c r="J861" s="2">
        <v>3.4</v>
      </c>
      <c r="K861" s="2" t="s">
        <v>306</v>
      </c>
      <c r="L861" s="2" t="str">
        <f t="shared" si="78"/>
        <v>Loss Making</v>
      </c>
      <c r="M861" s="2" t="str">
        <f t="shared" si="79"/>
        <v>Stable Earnings</v>
      </c>
      <c r="N861" s="2" t="str">
        <f t="shared" si="80"/>
        <v>Moderate</v>
      </c>
      <c r="O861" s="4" t="str">
        <f t="shared" si="81"/>
        <v>Accounting Risk</v>
      </c>
      <c r="P861" s="4" t="str">
        <f t="shared" si="82"/>
        <v>Moderate</v>
      </c>
      <c r="Q861" s="4" t="str">
        <f t="shared" si="83"/>
        <v>Strong Long-Term Growth</v>
      </c>
    </row>
    <row r="862" spans="1:17" x14ac:dyDescent="0.35">
      <c r="A862" s="2" t="s">
        <v>872</v>
      </c>
      <c r="B862" s="2">
        <v>5</v>
      </c>
      <c r="C862" s="2">
        <v>-102351161.5</v>
      </c>
      <c r="D862" s="2">
        <v>0</v>
      </c>
      <c r="E862" s="2">
        <v>16016684.15</v>
      </c>
      <c r="F862" s="2">
        <v>-16699695.6</v>
      </c>
      <c r="G862" s="2">
        <v>4</v>
      </c>
      <c r="H862" s="2">
        <v>2</v>
      </c>
      <c r="I862" s="2">
        <v>4</v>
      </c>
      <c r="J862" s="2">
        <v>3.4</v>
      </c>
      <c r="K862" s="2" t="s">
        <v>306</v>
      </c>
      <c r="L862" s="2" t="str">
        <f t="shared" si="78"/>
        <v>Loss Making</v>
      </c>
      <c r="M862" s="2" t="str">
        <f t="shared" si="79"/>
        <v>Stable Earnings</v>
      </c>
      <c r="N862" s="2" t="str">
        <f t="shared" si="80"/>
        <v>Moderate</v>
      </c>
      <c r="O862" s="4" t="str">
        <f t="shared" si="81"/>
        <v>Accounting Risk</v>
      </c>
      <c r="P862" s="4" t="str">
        <f t="shared" si="82"/>
        <v>Moderate</v>
      </c>
      <c r="Q862" s="4" t="str">
        <f t="shared" si="83"/>
        <v>Strong Long-Term Growth</v>
      </c>
    </row>
    <row r="863" spans="1:17" x14ac:dyDescent="0.35">
      <c r="A863" s="2" t="s">
        <v>873</v>
      </c>
      <c r="B863" s="2">
        <v>5</v>
      </c>
      <c r="C863" s="2">
        <v>-10214819.98</v>
      </c>
      <c r="D863" s="2">
        <v>0.4</v>
      </c>
      <c r="E863" s="2">
        <v>30761613.140000001</v>
      </c>
      <c r="F863" s="2">
        <v>-16985023.100000001</v>
      </c>
      <c r="G863" s="2">
        <v>4</v>
      </c>
      <c r="H863" s="2">
        <v>2</v>
      </c>
      <c r="I863" s="2">
        <v>4</v>
      </c>
      <c r="J863" s="2">
        <v>3.4</v>
      </c>
      <c r="K863" s="2" t="s">
        <v>306</v>
      </c>
      <c r="L863" s="2" t="str">
        <f t="shared" si="78"/>
        <v>Loss Making</v>
      </c>
      <c r="M863" s="2" t="str">
        <f t="shared" si="79"/>
        <v>Stable Earnings</v>
      </c>
      <c r="N863" s="2" t="str">
        <f t="shared" si="80"/>
        <v>Moderate</v>
      </c>
      <c r="O863" s="4" t="str">
        <f t="shared" si="81"/>
        <v>Accounting Risk</v>
      </c>
      <c r="P863" s="4" t="str">
        <f t="shared" si="82"/>
        <v>Moderate</v>
      </c>
      <c r="Q863" s="4" t="str">
        <f t="shared" si="83"/>
        <v>Strong Long-Term Growth</v>
      </c>
    </row>
    <row r="864" spans="1:17" x14ac:dyDescent="0.35">
      <c r="A864" s="2" t="s">
        <v>874</v>
      </c>
      <c r="B864" s="2">
        <v>5</v>
      </c>
      <c r="C864" s="2">
        <v>-13266845.199999999</v>
      </c>
      <c r="D864" s="2">
        <v>0.4</v>
      </c>
      <c r="E864" s="2">
        <v>27972968.579999998</v>
      </c>
      <c r="F864" s="2">
        <v>-10566684.4</v>
      </c>
      <c r="G864" s="2">
        <v>4</v>
      </c>
      <c r="H864" s="2">
        <v>2</v>
      </c>
      <c r="I864" s="2">
        <v>4</v>
      </c>
      <c r="J864" s="2">
        <v>3.4</v>
      </c>
      <c r="K864" s="2" t="s">
        <v>306</v>
      </c>
      <c r="L864" s="2" t="str">
        <f t="shared" si="78"/>
        <v>Loss Making</v>
      </c>
      <c r="M864" s="2" t="str">
        <f t="shared" si="79"/>
        <v>Stable Earnings</v>
      </c>
      <c r="N864" s="2" t="str">
        <f t="shared" si="80"/>
        <v>Moderate</v>
      </c>
      <c r="O864" s="4" t="str">
        <f t="shared" si="81"/>
        <v>Accounting Risk</v>
      </c>
      <c r="P864" s="4" t="str">
        <f t="shared" si="82"/>
        <v>Moderate</v>
      </c>
      <c r="Q864" s="4" t="str">
        <f t="shared" si="83"/>
        <v>Strong Long-Term Growth</v>
      </c>
    </row>
    <row r="865" spans="1:17" x14ac:dyDescent="0.35">
      <c r="A865" s="2" t="s">
        <v>875</v>
      </c>
      <c r="B865" s="2">
        <v>5</v>
      </c>
      <c r="C865" s="2">
        <v>-15268451.5</v>
      </c>
      <c r="D865" s="2">
        <v>0.4</v>
      </c>
      <c r="E865" s="2">
        <v>44639160.32</v>
      </c>
      <c r="F865" s="2">
        <v>-13863842</v>
      </c>
      <c r="G865" s="2">
        <v>4</v>
      </c>
      <c r="H865" s="2">
        <v>2</v>
      </c>
      <c r="I865" s="2">
        <v>4</v>
      </c>
      <c r="J865" s="2">
        <v>3.4</v>
      </c>
      <c r="K865" s="2" t="s">
        <v>306</v>
      </c>
      <c r="L865" s="2" t="str">
        <f t="shared" si="78"/>
        <v>Loss Making</v>
      </c>
      <c r="M865" s="2" t="str">
        <f t="shared" si="79"/>
        <v>Stable Earnings</v>
      </c>
      <c r="N865" s="2" t="str">
        <f t="shared" si="80"/>
        <v>Moderate</v>
      </c>
      <c r="O865" s="4" t="str">
        <f t="shared" si="81"/>
        <v>Accounting Risk</v>
      </c>
      <c r="P865" s="4" t="str">
        <f t="shared" si="82"/>
        <v>Moderate</v>
      </c>
      <c r="Q865" s="4" t="str">
        <f t="shared" si="83"/>
        <v>Strong Long-Term Growth</v>
      </c>
    </row>
    <row r="866" spans="1:17" x14ac:dyDescent="0.35">
      <c r="A866" s="2" t="s">
        <v>876</v>
      </c>
      <c r="B866" s="2">
        <v>5</v>
      </c>
      <c r="C866" s="2">
        <v>-17445205.539999999</v>
      </c>
      <c r="D866" s="2">
        <v>0.2</v>
      </c>
      <c r="E866" s="2">
        <v>25537070.219999999</v>
      </c>
      <c r="F866" s="2">
        <v>-14879999.699999999</v>
      </c>
      <c r="G866" s="2">
        <v>4</v>
      </c>
      <c r="H866" s="2">
        <v>2</v>
      </c>
      <c r="I866" s="2">
        <v>4</v>
      </c>
      <c r="J866" s="2">
        <v>3.4</v>
      </c>
      <c r="K866" s="2" t="s">
        <v>306</v>
      </c>
      <c r="L866" s="2" t="str">
        <f t="shared" si="78"/>
        <v>Loss Making</v>
      </c>
      <c r="M866" s="2" t="str">
        <f t="shared" si="79"/>
        <v>Stable Earnings</v>
      </c>
      <c r="N866" s="2" t="str">
        <f t="shared" si="80"/>
        <v>Moderate</v>
      </c>
      <c r="O866" s="4" t="str">
        <f t="shared" si="81"/>
        <v>Accounting Risk</v>
      </c>
      <c r="P866" s="4" t="str">
        <f t="shared" si="82"/>
        <v>Moderate</v>
      </c>
      <c r="Q866" s="4" t="str">
        <f t="shared" si="83"/>
        <v>Strong Long-Term Growth</v>
      </c>
    </row>
    <row r="867" spans="1:17" x14ac:dyDescent="0.35">
      <c r="A867" s="2" t="s">
        <v>877</v>
      </c>
      <c r="B867" s="2">
        <v>5</v>
      </c>
      <c r="C867" s="2">
        <v>-60770245.560000002</v>
      </c>
      <c r="D867" s="2">
        <v>0</v>
      </c>
      <c r="E867" s="2">
        <v>23132616.899999999</v>
      </c>
      <c r="F867" s="2">
        <v>-23801191.399999999</v>
      </c>
      <c r="G867" s="2">
        <v>4</v>
      </c>
      <c r="H867" s="2">
        <v>2</v>
      </c>
      <c r="I867" s="2">
        <v>4</v>
      </c>
      <c r="J867" s="2">
        <v>3.4</v>
      </c>
      <c r="K867" s="2" t="s">
        <v>306</v>
      </c>
      <c r="L867" s="2" t="str">
        <f t="shared" si="78"/>
        <v>Loss Making</v>
      </c>
      <c r="M867" s="2" t="str">
        <f t="shared" si="79"/>
        <v>Stable Earnings</v>
      </c>
      <c r="N867" s="2" t="str">
        <f t="shared" si="80"/>
        <v>Moderate</v>
      </c>
      <c r="O867" s="4" t="str">
        <f t="shared" si="81"/>
        <v>Accounting Risk</v>
      </c>
      <c r="P867" s="4" t="str">
        <f t="shared" si="82"/>
        <v>Moderate</v>
      </c>
      <c r="Q867" s="4" t="str">
        <f t="shared" si="83"/>
        <v>Strong Long-Term Growth</v>
      </c>
    </row>
    <row r="868" spans="1:17" x14ac:dyDescent="0.35">
      <c r="A868" s="2" t="s">
        <v>878</v>
      </c>
      <c r="B868" s="2">
        <v>5</v>
      </c>
      <c r="C868" s="2">
        <v>-50894211.640000001</v>
      </c>
      <c r="D868" s="2">
        <v>0</v>
      </c>
      <c r="E868" s="2">
        <v>37051830.75</v>
      </c>
      <c r="F868" s="2">
        <v>-27174937.800000001</v>
      </c>
      <c r="G868" s="2">
        <v>4</v>
      </c>
      <c r="H868" s="2">
        <v>2</v>
      </c>
      <c r="I868" s="2">
        <v>4</v>
      </c>
      <c r="J868" s="2">
        <v>3.4</v>
      </c>
      <c r="K868" s="2" t="s">
        <v>306</v>
      </c>
      <c r="L868" s="2" t="str">
        <f t="shared" si="78"/>
        <v>Loss Making</v>
      </c>
      <c r="M868" s="2" t="str">
        <f t="shared" si="79"/>
        <v>Stable Earnings</v>
      </c>
      <c r="N868" s="2" t="str">
        <f t="shared" si="80"/>
        <v>Moderate</v>
      </c>
      <c r="O868" s="4" t="str">
        <f t="shared" si="81"/>
        <v>Accounting Risk</v>
      </c>
      <c r="P868" s="4" t="str">
        <f t="shared" si="82"/>
        <v>Moderate</v>
      </c>
      <c r="Q868" s="4" t="str">
        <f t="shared" si="83"/>
        <v>Strong Long-Term Growth</v>
      </c>
    </row>
    <row r="869" spans="1:17" x14ac:dyDescent="0.35">
      <c r="A869" s="2" t="s">
        <v>879</v>
      </c>
      <c r="B869" s="2">
        <v>5</v>
      </c>
      <c r="C869" s="2">
        <v>-12733282.42</v>
      </c>
      <c r="D869" s="2">
        <v>0.4</v>
      </c>
      <c r="E869" s="2">
        <v>24785135.190000001</v>
      </c>
      <c r="F869" s="2">
        <v>-19398365.300000001</v>
      </c>
      <c r="G869" s="2">
        <v>4</v>
      </c>
      <c r="H869" s="2">
        <v>2</v>
      </c>
      <c r="I869" s="2">
        <v>4</v>
      </c>
      <c r="J869" s="2">
        <v>3.4</v>
      </c>
      <c r="K869" s="2" t="s">
        <v>306</v>
      </c>
      <c r="L869" s="2" t="str">
        <f t="shared" si="78"/>
        <v>Loss Making</v>
      </c>
      <c r="M869" s="2" t="str">
        <f t="shared" si="79"/>
        <v>Stable Earnings</v>
      </c>
      <c r="N869" s="2" t="str">
        <f t="shared" si="80"/>
        <v>Moderate</v>
      </c>
      <c r="O869" s="4" t="str">
        <f t="shared" si="81"/>
        <v>Accounting Risk</v>
      </c>
      <c r="P869" s="4" t="str">
        <f t="shared" si="82"/>
        <v>Moderate</v>
      </c>
      <c r="Q869" s="4" t="str">
        <f t="shared" si="83"/>
        <v>Strong Long-Term Growth</v>
      </c>
    </row>
    <row r="870" spans="1:17" x14ac:dyDescent="0.35">
      <c r="A870" s="2" t="s">
        <v>880</v>
      </c>
      <c r="B870" s="2">
        <v>5</v>
      </c>
      <c r="C870" s="2">
        <v>-11201008.34</v>
      </c>
      <c r="D870" s="2">
        <v>0.4</v>
      </c>
      <c r="E870" s="2">
        <v>20376579.25</v>
      </c>
      <c r="F870" s="2">
        <v>-19701078</v>
      </c>
      <c r="G870" s="2">
        <v>4</v>
      </c>
      <c r="H870" s="2">
        <v>2</v>
      </c>
      <c r="I870" s="2">
        <v>4</v>
      </c>
      <c r="J870" s="2">
        <v>3.4</v>
      </c>
      <c r="K870" s="2" t="s">
        <v>306</v>
      </c>
      <c r="L870" s="2" t="str">
        <f t="shared" si="78"/>
        <v>Loss Making</v>
      </c>
      <c r="M870" s="2" t="str">
        <f t="shared" si="79"/>
        <v>Stable Earnings</v>
      </c>
      <c r="N870" s="2" t="str">
        <f t="shared" si="80"/>
        <v>Moderate</v>
      </c>
      <c r="O870" s="4" t="str">
        <f t="shared" si="81"/>
        <v>Accounting Risk</v>
      </c>
      <c r="P870" s="4" t="str">
        <f t="shared" si="82"/>
        <v>Moderate</v>
      </c>
      <c r="Q870" s="4" t="str">
        <f t="shared" si="83"/>
        <v>Strong Long-Term Growth</v>
      </c>
    </row>
    <row r="871" spans="1:17" x14ac:dyDescent="0.35">
      <c r="A871" s="2" t="s">
        <v>881</v>
      </c>
      <c r="B871" s="2">
        <v>5</v>
      </c>
      <c r="C871" s="2">
        <v>-23124491.100000001</v>
      </c>
      <c r="D871" s="2">
        <v>0.2</v>
      </c>
      <c r="E871" s="2">
        <v>36827356.229999997</v>
      </c>
      <c r="F871" s="2">
        <v>-37035255.5</v>
      </c>
      <c r="G871" s="2">
        <v>4</v>
      </c>
      <c r="H871" s="2">
        <v>2</v>
      </c>
      <c r="I871" s="2">
        <v>4</v>
      </c>
      <c r="J871" s="2">
        <v>3.4</v>
      </c>
      <c r="K871" s="2" t="s">
        <v>306</v>
      </c>
      <c r="L871" s="2" t="str">
        <f t="shared" si="78"/>
        <v>Loss Making</v>
      </c>
      <c r="M871" s="2" t="str">
        <f t="shared" si="79"/>
        <v>Stable Earnings</v>
      </c>
      <c r="N871" s="2" t="str">
        <f t="shared" si="80"/>
        <v>Moderate</v>
      </c>
      <c r="O871" s="4" t="str">
        <f t="shared" si="81"/>
        <v>Accounting Risk</v>
      </c>
      <c r="P871" s="4" t="str">
        <f t="shared" si="82"/>
        <v>Moderate</v>
      </c>
      <c r="Q871" s="4" t="str">
        <f t="shared" si="83"/>
        <v>Strong Long-Term Growth</v>
      </c>
    </row>
    <row r="872" spans="1:17" x14ac:dyDescent="0.35">
      <c r="A872" s="2" t="s">
        <v>882</v>
      </c>
      <c r="B872" s="2">
        <v>5</v>
      </c>
      <c r="C872" s="2">
        <v>-11126595.560000001</v>
      </c>
      <c r="D872" s="2">
        <v>0.4</v>
      </c>
      <c r="E872" s="2">
        <v>18162056.100000001</v>
      </c>
      <c r="F872" s="2">
        <v>-38496781.5</v>
      </c>
      <c r="G872" s="2">
        <v>4</v>
      </c>
      <c r="H872" s="2">
        <v>2</v>
      </c>
      <c r="I872" s="2">
        <v>4</v>
      </c>
      <c r="J872" s="2">
        <v>3.4</v>
      </c>
      <c r="K872" s="2" t="s">
        <v>306</v>
      </c>
      <c r="L872" s="2" t="str">
        <f t="shared" si="78"/>
        <v>Loss Making</v>
      </c>
      <c r="M872" s="2" t="str">
        <f t="shared" si="79"/>
        <v>Stable Earnings</v>
      </c>
      <c r="N872" s="2" t="str">
        <f t="shared" si="80"/>
        <v>Moderate</v>
      </c>
      <c r="O872" s="4" t="str">
        <f t="shared" si="81"/>
        <v>Accounting Risk</v>
      </c>
      <c r="P872" s="4" t="str">
        <f t="shared" si="82"/>
        <v>Moderate</v>
      </c>
      <c r="Q872" s="4" t="str">
        <f t="shared" si="83"/>
        <v>Strong Long-Term Growth</v>
      </c>
    </row>
    <row r="873" spans="1:17" x14ac:dyDescent="0.35">
      <c r="A873" s="2" t="s">
        <v>883</v>
      </c>
      <c r="B873" s="2">
        <v>5</v>
      </c>
      <c r="C873" s="2">
        <v>-27038855.66</v>
      </c>
      <c r="D873" s="2">
        <v>0</v>
      </c>
      <c r="E873" s="2">
        <v>23579798.440000001</v>
      </c>
      <c r="F873" s="2">
        <v>-38761743.200000003</v>
      </c>
      <c r="G873" s="2">
        <v>4</v>
      </c>
      <c r="H873" s="2">
        <v>2</v>
      </c>
      <c r="I873" s="2">
        <v>4</v>
      </c>
      <c r="J873" s="2">
        <v>3.4</v>
      </c>
      <c r="K873" s="2" t="s">
        <v>306</v>
      </c>
      <c r="L873" s="2" t="str">
        <f t="shared" si="78"/>
        <v>Loss Making</v>
      </c>
      <c r="M873" s="2" t="str">
        <f t="shared" si="79"/>
        <v>Stable Earnings</v>
      </c>
      <c r="N873" s="2" t="str">
        <f t="shared" si="80"/>
        <v>Moderate</v>
      </c>
      <c r="O873" s="4" t="str">
        <f t="shared" si="81"/>
        <v>Accounting Risk</v>
      </c>
      <c r="P873" s="4" t="str">
        <f t="shared" si="82"/>
        <v>Moderate</v>
      </c>
      <c r="Q873" s="4" t="str">
        <f t="shared" si="83"/>
        <v>Strong Long-Term Growth</v>
      </c>
    </row>
    <row r="874" spans="1:17" x14ac:dyDescent="0.35">
      <c r="A874" s="2" t="s">
        <v>884</v>
      </c>
      <c r="B874" s="2">
        <v>5</v>
      </c>
      <c r="C874" s="2">
        <v>-14615257.699999999</v>
      </c>
      <c r="D874" s="2">
        <v>0.2</v>
      </c>
      <c r="E874" s="2">
        <v>16379330.49</v>
      </c>
      <c r="F874" s="2">
        <v>-35996678.700000003</v>
      </c>
      <c r="G874" s="2">
        <v>4</v>
      </c>
      <c r="H874" s="2">
        <v>2</v>
      </c>
      <c r="I874" s="2">
        <v>4</v>
      </c>
      <c r="J874" s="2">
        <v>3.4</v>
      </c>
      <c r="K874" s="2" t="s">
        <v>306</v>
      </c>
      <c r="L874" s="2" t="str">
        <f t="shared" si="78"/>
        <v>Loss Making</v>
      </c>
      <c r="M874" s="2" t="str">
        <f t="shared" si="79"/>
        <v>Stable Earnings</v>
      </c>
      <c r="N874" s="2" t="str">
        <f t="shared" si="80"/>
        <v>Moderate</v>
      </c>
      <c r="O874" s="4" t="str">
        <f t="shared" si="81"/>
        <v>Accounting Risk</v>
      </c>
      <c r="P874" s="4" t="str">
        <f t="shared" si="82"/>
        <v>Moderate</v>
      </c>
      <c r="Q874" s="4" t="str">
        <f t="shared" si="83"/>
        <v>Strong Long-Term Growth</v>
      </c>
    </row>
    <row r="875" spans="1:17" x14ac:dyDescent="0.35">
      <c r="A875" s="2" t="s">
        <v>885</v>
      </c>
      <c r="B875" s="2">
        <v>5</v>
      </c>
      <c r="C875" s="2">
        <v>-27099119.199999999</v>
      </c>
      <c r="D875" s="2">
        <v>0.2</v>
      </c>
      <c r="E875" s="2">
        <v>32720188.84</v>
      </c>
      <c r="F875" s="2">
        <v>-36240491</v>
      </c>
      <c r="G875" s="2">
        <v>4</v>
      </c>
      <c r="H875" s="2">
        <v>2</v>
      </c>
      <c r="I875" s="2">
        <v>4</v>
      </c>
      <c r="J875" s="2">
        <v>3.4</v>
      </c>
      <c r="K875" s="2" t="s">
        <v>306</v>
      </c>
      <c r="L875" s="2" t="str">
        <f t="shared" si="78"/>
        <v>Loss Making</v>
      </c>
      <c r="M875" s="2" t="str">
        <f t="shared" si="79"/>
        <v>Stable Earnings</v>
      </c>
      <c r="N875" s="2" t="str">
        <f t="shared" si="80"/>
        <v>Moderate</v>
      </c>
      <c r="O875" s="4" t="str">
        <f t="shared" si="81"/>
        <v>Accounting Risk</v>
      </c>
      <c r="P875" s="4" t="str">
        <f t="shared" si="82"/>
        <v>Moderate</v>
      </c>
      <c r="Q875" s="4" t="str">
        <f t="shared" si="83"/>
        <v>Strong Long-Term Growth</v>
      </c>
    </row>
    <row r="876" spans="1:17" x14ac:dyDescent="0.35">
      <c r="A876" s="2" t="s">
        <v>886</v>
      </c>
      <c r="B876" s="2">
        <v>5</v>
      </c>
      <c r="C876" s="2">
        <v>-39313100.240000002</v>
      </c>
      <c r="D876" s="2">
        <v>0.2</v>
      </c>
      <c r="E876" s="2">
        <v>43895768.270000003</v>
      </c>
      <c r="F876" s="2">
        <v>-34255712.700000003</v>
      </c>
      <c r="G876" s="2">
        <v>4</v>
      </c>
      <c r="H876" s="2">
        <v>2</v>
      </c>
      <c r="I876" s="2">
        <v>4</v>
      </c>
      <c r="J876" s="2">
        <v>3.4</v>
      </c>
      <c r="K876" s="2" t="s">
        <v>306</v>
      </c>
      <c r="L876" s="2" t="str">
        <f t="shared" si="78"/>
        <v>Loss Making</v>
      </c>
      <c r="M876" s="2" t="str">
        <f t="shared" si="79"/>
        <v>Stable Earnings</v>
      </c>
      <c r="N876" s="2" t="str">
        <f t="shared" si="80"/>
        <v>Moderate</v>
      </c>
      <c r="O876" s="4" t="str">
        <f t="shared" si="81"/>
        <v>Accounting Risk</v>
      </c>
      <c r="P876" s="4" t="str">
        <f t="shared" si="82"/>
        <v>Moderate</v>
      </c>
      <c r="Q876" s="4" t="str">
        <f t="shared" si="83"/>
        <v>Strong Long-Term Growth</v>
      </c>
    </row>
    <row r="877" spans="1:17" x14ac:dyDescent="0.35">
      <c r="A877" s="2" t="s">
        <v>887</v>
      </c>
      <c r="B877" s="2">
        <v>5</v>
      </c>
      <c r="C877" s="2">
        <v>-14397867.560000001</v>
      </c>
      <c r="D877" s="2">
        <v>0.4</v>
      </c>
      <c r="E877" s="2">
        <v>20277941.52</v>
      </c>
      <c r="F877" s="2">
        <v>-35491133.5</v>
      </c>
      <c r="G877" s="2">
        <v>4</v>
      </c>
      <c r="H877" s="2">
        <v>2</v>
      </c>
      <c r="I877" s="2">
        <v>4</v>
      </c>
      <c r="J877" s="2">
        <v>3.4</v>
      </c>
      <c r="K877" s="2" t="s">
        <v>306</v>
      </c>
      <c r="L877" s="2" t="str">
        <f t="shared" si="78"/>
        <v>Loss Making</v>
      </c>
      <c r="M877" s="2" t="str">
        <f t="shared" si="79"/>
        <v>Stable Earnings</v>
      </c>
      <c r="N877" s="2" t="str">
        <f t="shared" si="80"/>
        <v>Moderate</v>
      </c>
      <c r="O877" s="4" t="str">
        <f t="shared" si="81"/>
        <v>Accounting Risk</v>
      </c>
      <c r="P877" s="4" t="str">
        <f t="shared" si="82"/>
        <v>Moderate</v>
      </c>
      <c r="Q877" s="4" t="str">
        <f t="shared" si="83"/>
        <v>Strong Long-Term Growth</v>
      </c>
    </row>
    <row r="878" spans="1:17" x14ac:dyDescent="0.35">
      <c r="A878" s="2" t="s">
        <v>888</v>
      </c>
      <c r="B878" s="2">
        <v>5</v>
      </c>
      <c r="C878" s="2">
        <v>-17319292.48</v>
      </c>
      <c r="D878" s="2">
        <v>0.2</v>
      </c>
      <c r="E878" s="2">
        <v>28086346.34</v>
      </c>
      <c r="F878" s="2">
        <v>-35270678.700000003</v>
      </c>
      <c r="G878" s="2">
        <v>4</v>
      </c>
      <c r="H878" s="2">
        <v>2</v>
      </c>
      <c r="I878" s="2">
        <v>4</v>
      </c>
      <c r="J878" s="2">
        <v>3.4</v>
      </c>
      <c r="K878" s="2" t="s">
        <v>306</v>
      </c>
      <c r="L878" s="2" t="str">
        <f t="shared" si="78"/>
        <v>Loss Making</v>
      </c>
      <c r="M878" s="2" t="str">
        <f t="shared" si="79"/>
        <v>Stable Earnings</v>
      </c>
      <c r="N878" s="2" t="str">
        <f t="shared" si="80"/>
        <v>Moderate</v>
      </c>
      <c r="O878" s="4" t="str">
        <f t="shared" si="81"/>
        <v>Accounting Risk</v>
      </c>
      <c r="P878" s="4" t="str">
        <f t="shared" si="82"/>
        <v>Moderate</v>
      </c>
      <c r="Q878" s="4" t="str">
        <f t="shared" si="83"/>
        <v>Strong Long-Term Growth</v>
      </c>
    </row>
    <row r="879" spans="1:17" x14ac:dyDescent="0.35">
      <c r="A879" s="2" t="s">
        <v>889</v>
      </c>
      <c r="B879" s="2">
        <v>5</v>
      </c>
      <c r="C879" s="2">
        <v>-38752611.68</v>
      </c>
      <c r="D879" s="2">
        <v>0</v>
      </c>
      <c r="E879" s="2">
        <v>20416580.32</v>
      </c>
      <c r="F879" s="2">
        <v>-33480436.100000001</v>
      </c>
      <c r="G879" s="2">
        <v>4</v>
      </c>
      <c r="H879" s="2">
        <v>2</v>
      </c>
      <c r="I879" s="2">
        <v>4</v>
      </c>
      <c r="J879" s="2">
        <v>3.4</v>
      </c>
      <c r="K879" s="2" t="s">
        <v>306</v>
      </c>
      <c r="L879" s="2" t="str">
        <f t="shared" si="78"/>
        <v>Loss Making</v>
      </c>
      <c r="M879" s="2" t="str">
        <f t="shared" si="79"/>
        <v>Stable Earnings</v>
      </c>
      <c r="N879" s="2" t="str">
        <f t="shared" si="80"/>
        <v>Moderate</v>
      </c>
      <c r="O879" s="4" t="str">
        <f t="shared" si="81"/>
        <v>Accounting Risk</v>
      </c>
      <c r="P879" s="4" t="str">
        <f t="shared" si="82"/>
        <v>Moderate</v>
      </c>
      <c r="Q879" s="4" t="str">
        <f t="shared" si="83"/>
        <v>Strong Long-Term Growth</v>
      </c>
    </row>
    <row r="880" spans="1:17" x14ac:dyDescent="0.35">
      <c r="A880" s="2" t="s">
        <v>890</v>
      </c>
      <c r="B880" s="2">
        <v>5</v>
      </c>
      <c r="C880" s="2">
        <v>955540</v>
      </c>
      <c r="D880" s="2">
        <v>0.4</v>
      </c>
      <c r="E880" s="2">
        <v>24883372.600000001</v>
      </c>
      <c r="F880" s="2">
        <v>-32070213.600000001</v>
      </c>
      <c r="G880" s="2">
        <v>4</v>
      </c>
      <c r="H880" s="2">
        <v>2</v>
      </c>
      <c r="I880" s="2">
        <v>4</v>
      </c>
      <c r="J880" s="2">
        <v>3.4</v>
      </c>
      <c r="K880" s="2" t="s">
        <v>306</v>
      </c>
      <c r="L880" s="2" t="str">
        <f t="shared" si="78"/>
        <v>Profitable</v>
      </c>
      <c r="M880" s="2" t="str">
        <f t="shared" si="79"/>
        <v>Stable Earnings</v>
      </c>
      <c r="N880" s="2" t="str">
        <f t="shared" si="80"/>
        <v>Moderate</v>
      </c>
      <c r="O880" s="4" t="str">
        <f t="shared" si="81"/>
        <v>Accounting Risk</v>
      </c>
      <c r="P880" s="4" t="str">
        <f t="shared" si="82"/>
        <v>Moderate</v>
      </c>
      <c r="Q880" s="4" t="str">
        <f t="shared" si="83"/>
        <v>Strong Long-Term Growth</v>
      </c>
    </row>
    <row r="881" spans="1:17" x14ac:dyDescent="0.35">
      <c r="A881" s="2" t="s">
        <v>891</v>
      </c>
      <c r="B881" s="2">
        <v>5</v>
      </c>
      <c r="C881" s="2">
        <v>-26334906.82</v>
      </c>
      <c r="D881" s="2">
        <v>0.2</v>
      </c>
      <c r="E881" s="2">
        <v>22743044.629999999</v>
      </c>
      <c r="F881" s="2">
        <v>-27877480.399999999</v>
      </c>
      <c r="G881" s="2">
        <v>4</v>
      </c>
      <c r="H881" s="2">
        <v>2</v>
      </c>
      <c r="I881" s="2">
        <v>4</v>
      </c>
      <c r="J881" s="2">
        <v>3.4</v>
      </c>
      <c r="K881" s="2" t="s">
        <v>306</v>
      </c>
      <c r="L881" s="2" t="str">
        <f t="shared" si="78"/>
        <v>Loss Making</v>
      </c>
      <c r="M881" s="2" t="str">
        <f t="shared" si="79"/>
        <v>Stable Earnings</v>
      </c>
      <c r="N881" s="2" t="str">
        <f t="shared" si="80"/>
        <v>Moderate</v>
      </c>
      <c r="O881" s="4" t="str">
        <f t="shared" si="81"/>
        <v>Accounting Risk</v>
      </c>
      <c r="P881" s="4" t="str">
        <f t="shared" si="82"/>
        <v>Moderate</v>
      </c>
      <c r="Q881" s="4" t="str">
        <f t="shared" si="83"/>
        <v>Strong Long-Term Growth</v>
      </c>
    </row>
    <row r="882" spans="1:17" x14ac:dyDescent="0.35">
      <c r="A882" s="2" t="s">
        <v>892</v>
      </c>
      <c r="B882" s="2">
        <v>5</v>
      </c>
      <c r="C882" s="2">
        <v>4896563.12</v>
      </c>
      <c r="D882" s="2">
        <v>0.4</v>
      </c>
      <c r="E882" s="2">
        <v>33826106.719999999</v>
      </c>
      <c r="F882" s="2">
        <v>-29118697.100000001</v>
      </c>
      <c r="G882" s="2">
        <v>4</v>
      </c>
      <c r="H882" s="2">
        <v>2</v>
      </c>
      <c r="I882" s="2">
        <v>4</v>
      </c>
      <c r="J882" s="2">
        <v>3.4</v>
      </c>
      <c r="K882" s="2" t="s">
        <v>306</v>
      </c>
      <c r="L882" s="2" t="str">
        <f t="shared" si="78"/>
        <v>Profitable</v>
      </c>
      <c r="M882" s="2" t="str">
        <f t="shared" si="79"/>
        <v>Stable Earnings</v>
      </c>
      <c r="N882" s="2" t="str">
        <f t="shared" si="80"/>
        <v>Moderate</v>
      </c>
      <c r="O882" s="4" t="str">
        <f t="shared" si="81"/>
        <v>Accounting Risk</v>
      </c>
      <c r="P882" s="4" t="str">
        <f t="shared" si="82"/>
        <v>Moderate</v>
      </c>
      <c r="Q882" s="4" t="str">
        <f t="shared" si="83"/>
        <v>Strong Long-Term Growth</v>
      </c>
    </row>
    <row r="883" spans="1:17" x14ac:dyDescent="0.35">
      <c r="A883" s="2" t="s">
        <v>893</v>
      </c>
      <c r="B883" s="2">
        <v>5</v>
      </c>
      <c r="C883" s="2">
        <v>-24090468.420000002</v>
      </c>
      <c r="D883" s="2">
        <v>0</v>
      </c>
      <c r="E883" s="2">
        <v>5623479.4189999998</v>
      </c>
      <c r="F883" s="2">
        <v>14094236.9</v>
      </c>
      <c r="G883" s="2">
        <v>5</v>
      </c>
      <c r="H883" s="2">
        <v>1</v>
      </c>
      <c r="I883" s="2">
        <v>3</v>
      </c>
      <c r="J883" s="2">
        <v>3.4</v>
      </c>
      <c r="K883" s="2" t="s">
        <v>306</v>
      </c>
      <c r="L883" s="2" t="str">
        <f t="shared" si="78"/>
        <v>Loss Making</v>
      </c>
      <c r="M883" s="2" t="str">
        <f t="shared" si="79"/>
        <v>Stable Earnings</v>
      </c>
      <c r="N883" s="2" t="str">
        <f t="shared" si="80"/>
        <v>Moderate</v>
      </c>
      <c r="O883" s="4" t="str">
        <f t="shared" si="81"/>
        <v>Accounting Risk</v>
      </c>
      <c r="P883" s="4" t="str">
        <f t="shared" si="82"/>
        <v>Moderate</v>
      </c>
      <c r="Q883" s="4" t="str">
        <f t="shared" si="83"/>
        <v>Moderate Growth</v>
      </c>
    </row>
    <row r="884" spans="1:17" x14ac:dyDescent="0.35">
      <c r="A884" s="2" t="s">
        <v>894</v>
      </c>
      <c r="B884" s="2">
        <v>5</v>
      </c>
      <c r="C884" s="2">
        <v>-15174492.66</v>
      </c>
      <c r="D884" s="2">
        <v>0</v>
      </c>
      <c r="E884" s="2">
        <v>8580776.6710000001</v>
      </c>
      <c r="F884" s="2">
        <v>14421708.5</v>
      </c>
      <c r="G884" s="2">
        <v>5</v>
      </c>
      <c r="H884" s="2">
        <v>1</v>
      </c>
      <c r="I884" s="2">
        <v>3</v>
      </c>
      <c r="J884" s="2">
        <v>3.4</v>
      </c>
      <c r="K884" s="2" t="s">
        <v>306</v>
      </c>
      <c r="L884" s="2" t="str">
        <f t="shared" si="78"/>
        <v>Loss Making</v>
      </c>
      <c r="M884" s="2" t="str">
        <f t="shared" si="79"/>
        <v>Stable Earnings</v>
      </c>
      <c r="N884" s="2" t="str">
        <f t="shared" si="80"/>
        <v>Moderate</v>
      </c>
      <c r="O884" s="4" t="str">
        <f t="shared" si="81"/>
        <v>Accounting Risk</v>
      </c>
      <c r="P884" s="4" t="str">
        <f t="shared" si="82"/>
        <v>Moderate</v>
      </c>
      <c r="Q884" s="4" t="str">
        <f t="shared" si="83"/>
        <v>Moderate Growth</v>
      </c>
    </row>
    <row r="885" spans="1:17" x14ac:dyDescent="0.35">
      <c r="A885" s="2" t="s">
        <v>895</v>
      </c>
      <c r="B885" s="2">
        <v>5</v>
      </c>
      <c r="C885" s="2">
        <v>-40674660.100000001</v>
      </c>
      <c r="D885" s="2">
        <v>0</v>
      </c>
      <c r="E885" s="2">
        <v>14035383.189999999</v>
      </c>
      <c r="F885" s="2">
        <v>13663921.1</v>
      </c>
      <c r="G885" s="2">
        <v>5</v>
      </c>
      <c r="H885" s="2">
        <v>1</v>
      </c>
      <c r="I885" s="2">
        <v>3</v>
      </c>
      <c r="J885" s="2">
        <v>3.4</v>
      </c>
      <c r="K885" s="2" t="s">
        <v>306</v>
      </c>
      <c r="L885" s="2" t="str">
        <f t="shared" si="78"/>
        <v>Loss Making</v>
      </c>
      <c r="M885" s="2" t="str">
        <f t="shared" si="79"/>
        <v>Stable Earnings</v>
      </c>
      <c r="N885" s="2" t="str">
        <f t="shared" si="80"/>
        <v>Moderate</v>
      </c>
      <c r="O885" s="4" t="str">
        <f t="shared" si="81"/>
        <v>Accounting Risk</v>
      </c>
      <c r="P885" s="4" t="str">
        <f t="shared" si="82"/>
        <v>Moderate</v>
      </c>
      <c r="Q885" s="4" t="str">
        <f t="shared" si="83"/>
        <v>Moderate Growth</v>
      </c>
    </row>
    <row r="886" spans="1:17" x14ac:dyDescent="0.35">
      <c r="A886" s="2" t="s">
        <v>896</v>
      </c>
      <c r="B886" s="2">
        <v>5</v>
      </c>
      <c r="C886" s="2">
        <v>-15675942.08</v>
      </c>
      <c r="D886" s="2">
        <v>0</v>
      </c>
      <c r="E886" s="2">
        <v>5443638.432</v>
      </c>
      <c r="F886" s="2">
        <v>13595041</v>
      </c>
      <c r="G886" s="2">
        <v>5</v>
      </c>
      <c r="H886" s="2">
        <v>1</v>
      </c>
      <c r="I886" s="2">
        <v>3</v>
      </c>
      <c r="J886" s="2">
        <v>3.4</v>
      </c>
      <c r="K886" s="2" t="s">
        <v>306</v>
      </c>
      <c r="L886" s="2" t="str">
        <f t="shared" si="78"/>
        <v>Loss Making</v>
      </c>
      <c r="M886" s="2" t="str">
        <f t="shared" si="79"/>
        <v>Stable Earnings</v>
      </c>
      <c r="N886" s="2" t="str">
        <f t="shared" si="80"/>
        <v>Moderate</v>
      </c>
      <c r="O886" s="4" t="str">
        <f t="shared" si="81"/>
        <v>Accounting Risk</v>
      </c>
      <c r="P886" s="4" t="str">
        <f t="shared" si="82"/>
        <v>Moderate</v>
      </c>
      <c r="Q886" s="4" t="str">
        <f t="shared" si="83"/>
        <v>Moderate Growth</v>
      </c>
    </row>
    <row r="887" spans="1:17" x14ac:dyDescent="0.35">
      <c r="A887" s="2" t="s">
        <v>897</v>
      </c>
      <c r="B887" s="2">
        <v>5</v>
      </c>
      <c r="C887" s="2">
        <v>-23639979.719999999</v>
      </c>
      <c r="D887" s="2">
        <v>0</v>
      </c>
      <c r="E887" s="2">
        <v>6342877.8039999995</v>
      </c>
      <c r="F887" s="2">
        <v>13537994.9</v>
      </c>
      <c r="G887" s="2">
        <v>5</v>
      </c>
      <c r="H887" s="2">
        <v>1</v>
      </c>
      <c r="I887" s="2">
        <v>3</v>
      </c>
      <c r="J887" s="2">
        <v>3.4</v>
      </c>
      <c r="K887" s="2" t="s">
        <v>306</v>
      </c>
      <c r="L887" s="2" t="str">
        <f t="shared" si="78"/>
        <v>Loss Making</v>
      </c>
      <c r="M887" s="2" t="str">
        <f t="shared" si="79"/>
        <v>Stable Earnings</v>
      </c>
      <c r="N887" s="2" t="str">
        <f t="shared" si="80"/>
        <v>Moderate</v>
      </c>
      <c r="O887" s="4" t="str">
        <f t="shared" si="81"/>
        <v>Accounting Risk</v>
      </c>
      <c r="P887" s="4" t="str">
        <f t="shared" si="82"/>
        <v>Moderate</v>
      </c>
      <c r="Q887" s="4" t="str">
        <f t="shared" si="83"/>
        <v>Moderate Growth</v>
      </c>
    </row>
    <row r="888" spans="1:17" x14ac:dyDescent="0.35">
      <c r="A888" s="2" t="s">
        <v>898</v>
      </c>
      <c r="B888" s="2">
        <v>5</v>
      </c>
      <c r="C888" s="2">
        <v>-60801508.039999999</v>
      </c>
      <c r="D888" s="2">
        <v>0</v>
      </c>
      <c r="E888" s="2">
        <v>6655915.6150000002</v>
      </c>
      <c r="F888" s="2">
        <v>13340309.5</v>
      </c>
      <c r="G888" s="2">
        <v>5</v>
      </c>
      <c r="H888" s="2">
        <v>1</v>
      </c>
      <c r="I888" s="2">
        <v>3</v>
      </c>
      <c r="J888" s="2">
        <v>3.4</v>
      </c>
      <c r="K888" s="2" t="s">
        <v>306</v>
      </c>
      <c r="L888" s="2" t="str">
        <f t="shared" si="78"/>
        <v>Loss Making</v>
      </c>
      <c r="M888" s="2" t="str">
        <f t="shared" si="79"/>
        <v>Stable Earnings</v>
      </c>
      <c r="N888" s="2" t="str">
        <f t="shared" si="80"/>
        <v>Moderate</v>
      </c>
      <c r="O888" s="4" t="str">
        <f t="shared" si="81"/>
        <v>Accounting Risk</v>
      </c>
      <c r="P888" s="4" t="str">
        <f t="shared" si="82"/>
        <v>Moderate</v>
      </c>
      <c r="Q888" s="4" t="str">
        <f t="shared" si="83"/>
        <v>Moderate Growth</v>
      </c>
    </row>
    <row r="889" spans="1:17" x14ac:dyDescent="0.35">
      <c r="A889" s="2" t="s">
        <v>899</v>
      </c>
      <c r="B889" s="2">
        <v>5</v>
      </c>
      <c r="C889" s="2">
        <v>-5075020.92</v>
      </c>
      <c r="D889" s="2">
        <v>0</v>
      </c>
      <c r="E889" s="2">
        <v>6772251.5250000004</v>
      </c>
      <c r="F889" s="2">
        <v>15995293.4</v>
      </c>
      <c r="G889" s="2">
        <v>5</v>
      </c>
      <c r="H889" s="2">
        <v>1</v>
      </c>
      <c r="I889" s="2">
        <v>3</v>
      </c>
      <c r="J889" s="2">
        <v>3.4</v>
      </c>
      <c r="K889" s="2" t="s">
        <v>306</v>
      </c>
      <c r="L889" s="2" t="str">
        <f t="shared" si="78"/>
        <v>Loss Making</v>
      </c>
      <c r="M889" s="2" t="str">
        <f t="shared" si="79"/>
        <v>Stable Earnings</v>
      </c>
      <c r="N889" s="2" t="str">
        <f t="shared" si="80"/>
        <v>Moderate</v>
      </c>
      <c r="O889" s="4" t="str">
        <f t="shared" si="81"/>
        <v>Accounting Risk</v>
      </c>
      <c r="P889" s="4" t="str">
        <f t="shared" si="82"/>
        <v>Moderate</v>
      </c>
      <c r="Q889" s="4" t="str">
        <f t="shared" si="83"/>
        <v>Moderate Growth</v>
      </c>
    </row>
    <row r="890" spans="1:17" x14ac:dyDescent="0.35">
      <c r="A890" s="2" t="s">
        <v>900</v>
      </c>
      <c r="B890" s="2">
        <v>5</v>
      </c>
      <c r="C890" s="2">
        <v>-7549636.9000000004</v>
      </c>
      <c r="D890" s="2">
        <v>0</v>
      </c>
      <c r="E890" s="2">
        <v>5950189.9979999997</v>
      </c>
      <c r="F890" s="2">
        <v>15466967.199999999</v>
      </c>
      <c r="G890" s="2">
        <v>5</v>
      </c>
      <c r="H890" s="2">
        <v>1</v>
      </c>
      <c r="I890" s="2">
        <v>3</v>
      </c>
      <c r="J890" s="2">
        <v>3.4</v>
      </c>
      <c r="K890" s="2" t="s">
        <v>306</v>
      </c>
      <c r="L890" s="2" t="str">
        <f t="shared" si="78"/>
        <v>Loss Making</v>
      </c>
      <c r="M890" s="2" t="str">
        <f t="shared" si="79"/>
        <v>Stable Earnings</v>
      </c>
      <c r="N890" s="2" t="str">
        <f t="shared" si="80"/>
        <v>Moderate</v>
      </c>
      <c r="O890" s="4" t="str">
        <f t="shared" si="81"/>
        <v>Accounting Risk</v>
      </c>
      <c r="P890" s="4" t="str">
        <f t="shared" si="82"/>
        <v>Moderate</v>
      </c>
      <c r="Q890" s="4" t="str">
        <f t="shared" si="83"/>
        <v>Moderate Growth</v>
      </c>
    </row>
    <row r="891" spans="1:17" x14ac:dyDescent="0.35">
      <c r="A891" s="2" t="s">
        <v>901</v>
      </c>
      <c r="B891" s="2">
        <v>5</v>
      </c>
      <c r="C891" s="2">
        <v>-50977737</v>
      </c>
      <c r="D891" s="2">
        <v>0</v>
      </c>
      <c r="E891" s="2">
        <v>9379408.4489999991</v>
      </c>
      <c r="F891" s="2">
        <v>18099604.300000001</v>
      </c>
      <c r="G891" s="2">
        <v>5</v>
      </c>
      <c r="H891" s="2">
        <v>1</v>
      </c>
      <c r="I891" s="2">
        <v>3</v>
      </c>
      <c r="J891" s="2">
        <v>3.4</v>
      </c>
      <c r="K891" s="2" t="s">
        <v>306</v>
      </c>
      <c r="L891" s="2" t="str">
        <f t="shared" si="78"/>
        <v>Loss Making</v>
      </c>
      <c r="M891" s="2" t="str">
        <f t="shared" si="79"/>
        <v>Stable Earnings</v>
      </c>
      <c r="N891" s="2" t="str">
        <f t="shared" si="80"/>
        <v>Moderate</v>
      </c>
      <c r="O891" s="4" t="str">
        <f t="shared" si="81"/>
        <v>Accounting Risk</v>
      </c>
      <c r="P891" s="4" t="str">
        <f t="shared" si="82"/>
        <v>Moderate</v>
      </c>
      <c r="Q891" s="4" t="str">
        <f t="shared" si="83"/>
        <v>Moderate Growth</v>
      </c>
    </row>
    <row r="892" spans="1:17" x14ac:dyDescent="0.35">
      <c r="A892" s="2" t="s">
        <v>902</v>
      </c>
      <c r="B892" s="2">
        <v>5</v>
      </c>
      <c r="C892" s="2">
        <v>-13030720.560000001</v>
      </c>
      <c r="D892" s="2">
        <v>0</v>
      </c>
      <c r="E892" s="2">
        <v>8285813.6689999998</v>
      </c>
      <c r="F892" s="2">
        <v>19226103</v>
      </c>
      <c r="G892" s="2">
        <v>5</v>
      </c>
      <c r="H892" s="2">
        <v>1</v>
      </c>
      <c r="I892" s="2">
        <v>3</v>
      </c>
      <c r="J892" s="2">
        <v>3.4</v>
      </c>
      <c r="K892" s="2" t="s">
        <v>306</v>
      </c>
      <c r="L892" s="2" t="str">
        <f t="shared" si="78"/>
        <v>Loss Making</v>
      </c>
      <c r="M892" s="2" t="str">
        <f t="shared" si="79"/>
        <v>Stable Earnings</v>
      </c>
      <c r="N892" s="2" t="str">
        <f t="shared" si="80"/>
        <v>Moderate</v>
      </c>
      <c r="O892" s="4" t="str">
        <f t="shared" si="81"/>
        <v>Accounting Risk</v>
      </c>
      <c r="P892" s="4" t="str">
        <f t="shared" si="82"/>
        <v>Moderate</v>
      </c>
      <c r="Q892" s="4" t="str">
        <f t="shared" si="83"/>
        <v>Moderate Growth</v>
      </c>
    </row>
    <row r="893" spans="1:17" x14ac:dyDescent="0.35">
      <c r="A893" s="2" t="s">
        <v>903</v>
      </c>
      <c r="B893" s="2">
        <v>5</v>
      </c>
      <c r="C893" s="2">
        <v>-47238117.880000003</v>
      </c>
      <c r="D893" s="2">
        <v>0</v>
      </c>
      <c r="E893" s="2">
        <v>9707825.0779999997</v>
      </c>
      <c r="F893" s="2">
        <v>18948323.600000001</v>
      </c>
      <c r="G893" s="2">
        <v>5</v>
      </c>
      <c r="H893" s="2">
        <v>1</v>
      </c>
      <c r="I893" s="2">
        <v>3</v>
      </c>
      <c r="J893" s="2">
        <v>3.4</v>
      </c>
      <c r="K893" s="2" t="s">
        <v>306</v>
      </c>
      <c r="L893" s="2" t="str">
        <f t="shared" si="78"/>
        <v>Loss Making</v>
      </c>
      <c r="M893" s="2" t="str">
        <f t="shared" si="79"/>
        <v>Stable Earnings</v>
      </c>
      <c r="N893" s="2" t="str">
        <f t="shared" si="80"/>
        <v>Moderate</v>
      </c>
      <c r="O893" s="4" t="str">
        <f t="shared" si="81"/>
        <v>Accounting Risk</v>
      </c>
      <c r="P893" s="4" t="str">
        <f t="shared" si="82"/>
        <v>Moderate</v>
      </c>
      <c r="Q893" s="4" t="str">
        <f t="shared" si="83"/>
        <v>Moderate Growth</v>
      </c>
    </row>
    <row r="894" spans="1:17" x14ac:dyDescent="0.35">
      <c r="A894" s="2" t="s">
        <v>904</v>
      </c>
      <c r="B894" s="2">
        <v>5</v>
      </c>
      <c r="C894" s="2">
        <v>-5632801.4800000004</v>
      </c>
      <c r="D894" s="2">
        <v>0</v>
      </c>
      <c r="E894" s="2">
        <v>7847887.6100000003</v>
      </c>
      <c r="F894" s="2">
        <v>18690761.5</v>
      </c>
      <c r="G894" s="2">
        <v>5</v>
      </c>
      <c r="H894" s="2">
        <v>1</v>
      </c>
      <c r="I894" s="2">
        <v>3</v>
      </c>
      <c r="J894" s="2">
        <v>3.4</v>
      </c>
      <c r="K894" s="2" t="s">
        <v>306</v>
      </c>
      <c r="L894" s="2" t="str">
        <f t="shared" si="78"/>
        <v>Loss Making</v>
      </c>
      <c r="M894" s="2" t="str">
        <f t="shared" si="79"/>
        <v>Stable Earnings</v>
      </c>
      <c r="N894" s="2" t="str">
        <f t="shared" si="80"/>
        <v>Moderate</v>
      </c>
      <c r="O894" s="4" t="str">
        <f t="shared" si="81"/>
        <v>Accounting Risk</v>
      </c>
      <c r="P894" s="4" t="str">
        <f t="shared" si="82"/>
        <v>Moderate</v>
      </c>
      <c r="Q894" s="4" t="str">
        <f t="shared" si="83"/>
        <v>Moderate Growth</v>
      </c>
    </row>
    <row r="895" spans="1:17" x14ac:dyDescent="0.35">
      <c r="A895" s="2" t="s">
        <v>905</v>
      </c>
      <c r="B895" s="2">
        <v>5</v>
      </c>
      <c r="C895" s="2">
        <v>-41452979.380000003</v>
      </c>
      <c r="D895" s="2">
        <v>0</v>
      </c>
      <c r="E895" s="2">
        <v>13104390.99</v>
      </c>
      <c r="F895" s="2">
        <v>10315405</v>
      </c>
      <c r="G895" s="2">
        <v>5</v>
      </c>
      <c r="H895" s="2">
        <v>1</v>
      </c>
      <c r="I895" s="2">
        <v>3</v>
      </c>
      <c r="J895" s="2">
        <v>3.4</v>
      </c>
      <c r="K895" s="2" t="s">
        <v>306</v>
      </c>
      <c r="L895" s="2" t="str">
        <f t="shared" si="78"/>
        <v>Loss Making</v>
      </c>
      <c r="M895" s="2" t="str">
        <f t="shared" si="79"/>
        <v>Stable Earnings</v>
      </c>
      <c r="N895" s="2" t="str">
        <f t="shared" si="80"/>
        <v>Moderate</v>
      </c>
      <c r="O895" s="4" t="str">
        <f t="shared" si="81"/>
        <v>Accounting Risk</v>
      </c>
      <c r="P895" s="4" t="str">
        <f t="shared" si="82"/>
        <v>Moderate</v>
      </c>
      <c r="Q895" s="4" t="str">
        <f t="shared" si="83"/>
        <v>Moderate Growth</v>
      </c>
    </row>
    <row r="896" spans="1:17" x14ac:dyDescent="0.35">
      <c r="A896" s="2" t="s">
        <v>906</v>
      </c>
      <c r="B896" s="2">
        <v>5</v>
      </c>
      <c r="C896" s="2">
        <v>-71738846.040000007</v>
      </c>
      <c r="D896" s="2">
        <v>0</v>
      </c>
      <c r="E896" s="2">
        <v>9123248.0439999998</v>
      </c>
      <c r="F896" s="2">
        <v>12022351.6</v>
      </c>
      <c r="G896" s="2">
        <v>5</v>
      </c>
      <c r="H896" s="2">
        <v>1</v>
      </c>
      <c r="I896" s="2">
        <v>3</v>
      </c>
      <c r="J896" s="2">
        <v>3.4</v>
      </c>
      <c r="K896" s="2" t="s">
        <v>306</v>
      </c>
      <c r="L896" s="2" t="str">
        <f t="shared" si="78"/>
        <v>Loss Making</v>
      </c>
      <c r="M896" s="2" t="str">
        <f t="shared" si="79"/>
        <v>Stable Earnings</v>
      </c>
      <c r="N896" s="2" t="str">
        <f t="shared" si="80"/>
        <v>Moderate</v>
      </c>
      <c r="O896" s="4" t="str">
        <f t="shared" si="81"/>
        <v>Accounting Risk</v>
      </c>
      <c r="P896" s="4" t="str">
        <f t="shared" si="82"/>
        <v>Moderate</v>
      </c>
      <c r="Q896" s="4" t="str">
        <f t="shared" si="83"/>
        <v>Moderate Growth</v>
      </c>
    </row>
    <row r="897" spans="1:17" x14ac:dyDescent="0.35">
      <c r="A897" s="2" t="s">
        <v>907</v>
      </c>
      <c r="B897" s="2">
        <v>5</v>
      </c>
      <c r="C897" s="2">
        <v>-19929914.920000002</v>
      </c>
      <c r="D897" s="2">
        <v>0</v>
      </c>
      <c r="E897" s="2">
        <v>9149914.7670000009</v>
      </c>
      <c r="F897" s="2">
        <v>8193251.5999999996</v>
      </c>
      <c r="G897" s="2">
        <v>5</v>
      </c>
      <c r="H897" s="2">
        <v>1</v>
      </c>
      <c r="I897" s="2">
        <v>3</v>
      </c>
      <c r="J897" s="2">
        <v>3.4</v>
      </c>
      <c r="K897" s="2" t="s">
        <v>306</v>
      </c>
      <c r="L897" s="2" t="str">
        <f t="shared" si="78"/>
        <v>Loss Making</v>
      </c>
      <c r="M897" s="2" t="str">
        <f t="shared" si="79"/>
        <v>Stable Earnings</v>
      </c>
      <c r="N897" s="2" t="str">
        <f t="shared" si="80"/>
        <v>Moderate</v>
      </c>
      <c r="O897" s="4" t="str">
        <f t="shared" si="81"/>
        <v>Accounting Risk</v>
      </c>
      <c r="P897" s="4" t="str">
        <f t="shared" si="82"/>
        <v>Moderate</v>
      </c>
      <c r="Q897" s="4" t="str">
        <f t="shared" si="83"/>
        <v>Moderate Growth</v>
      </c>
    </row>
    <row r="898" spans="1:17" x14ac:dyDescent="0.35">
      <c r="A898" s="2" t="s">
        <v>908</v>
      </c>
      <c r="B898" s="2">
        <v>5</v>
      </c>
      <c r="C898" s="2">
        <v>-17041068.359999999</v>
      </c>
      <c r="D898" s="2">
        <v>0</v>
      </c>
      <c r="E898" s="2">
        <v>8780852.1349999998</v>
      </c>
      <c r="F898" s="2">
        <v>9127770.4000000004</v>
      </c>
      <c r="G898" s="2">
        <v>5</v>
      </c>
      <c r="H898" s="2">
        <v>1</v>
      </c>
      <c r="I898" s="2">
        <v>3</v>
      </c>
      <c r="J898" s="2">
        <v>3.4</v>
      </c>
      <c r="K898" s="2" t="s">
        <v>306</v>
      </c>
      <c r="L898" s="2" t="str">
        <f t="shared" ref="L898:L961" si="84">IF(C898&gt;0,"Profitable","Loss Making")</f>
        <v>Loss Making</v>
      </c>
      <c r="M898" s="2" t="str">
        <f t="shared" ref="M898:M961" si="85">IF(C898&gt;500000000,"High Volatility","Stable Earnings")</f>
        <v>Stable Earnings</v>
      </c>
      <c r="N898" s="2" t="str">
        <f t="shared" ref="N898:N961" si="86">IF(G898&gt;=7,"High Quality",IF(G898&gt;=4,"Moderate","Low Quality"))</f>
        <v>Moderate</v>
      </c>
      <c r="O898" s="4" t="str">
        <f t="shared" ref="O898:O961" si="87">IF(AND(F898&gt;0,D898&gt;0.6),"Operational Growth","Accounting Risk")</f>
        <v>Accounting Risk</v>
      </c>
      <c r="P898" s="4" t="str">
        <f t="shared" ref="P898:P961" si="88">IF(G898&gt;=7,"High Quality", IF(G898&gt;=4,"Moderate","Low Quality"))</f>
        <v>Moderate</v>
      </c>
      <c r="Q898" s="4" t="str">
        <f t="shared" ref="Q898:Q961" si="89">IF(I898&gt;=4,"Strong Long-Term Growth",IF(I898&gt;=2,"Moderate Growth","Weak Growth"))</f>
        <v>Moderate Growth</v>
      </c>
    </row>
    <row r="899" spans="1:17" x14ac:dyDescent="0.35">
      <c r="A899" s="2" t="s">
        <v>909</v>
      </c>
      <c r="B899" s="2">
        <v>5</v>
      </c>
      <c r="C899" s="2">
        <v>-80427780.019999996</v>
      </c>
      <c r="D899" s="2">
        <v>0</v>
      </c>
      <c r="E899" s="2">
        <v>4366557.9029999999</v>
      </c>
      <c r="F899" s="2">
        <v>8719025.1999999993</v>
      </c>
      <c r="G899" s="2">
        <v>5</v>
      </c>
      <c r="H899" s="2">
        <v>1</v>
      </c>
      <c r="I899" s="2">
        <v>3</v>
      </c>
      <c r="J899" s="2">
        <v>3.4</v>
      </c>
      <c r="K899" s="2" t="s">
        <v>306</v>
      </c>
      <c r="L899" s="2" t="str">
        <f t="shared" si="84"/>
        <v>Loss Making</v>
      </c>
      <c r="M899" s="2" t="str">
        <f t="shared" si="85"/>
        <v>Stable Earnings</v>
      </c>
      <c r="N899" s="2" t="str">
        <f t="shared" si="86"/>
        <v>Moderate</v>
      </c>
      <c r="O899" s="4" t="str">
        <f t="shared" si="87"/>
        <v>Accounting Risk</v>
      </c>
      <c r="P899" s="4" t="str">
        <f t="shared" si="88"/>
        <v>Moderate</v>
      </c>
      <c r="Q899" s="4" t="str">
        <f t="shared" si="89"/>
        <v>Moderate Growth</v>
      </c>
    </row>
    <row r="900" spans="1:17" x14ac:dyDescent="0.35">
      <c r="A900" s="2" t="s">
        <v>910</v>
      </c>
      <c r="B900" s="2">
        <v>5</v>
      </c>
      <c r="C900" s="2">
        <v>-26381280.859999999</v>
      </c>
      <c r="D900" s="2">
        <v>0</v>
      </c>
      <c r="E900" s="2">
        <v>3853529.6660000002</v>
      </c>
      <c r="F900" s="2">
        <v>8674445.9000000004</v>
      </c>
      <c r="G900" s="2">
        <v>5</v>
      </c>
      <c r="H900" s="2">
        <v>1</v>
      </c>
      <c r="I900" s="2">
        <v>3</v>
      </c>
      <c r="J900" s="2">
        <v>3.4</v>
      </c>
      <c r="K900" s="2" t="s">
        <v>306</v>
      </c>
      <c r="L900" s="2" t="str">
        <f t="shared" si="84"/>
        <v>Loss Making</v>
      </c>
      <c r="M900" s="2" t="str">
        <f t="shared" si="85"/>
        <v>Stable Earnings</v>
      </c>
      <c r="N900" s="2" t="str">
        <f t="shared" si="86"/>
        <v>Moderate</v>
      </c>
      <c r="O900" s="4" t="str">
        <f t="shared" si="87"/>
        <v>Accounting Risk</v>
      </c>
      <c r="P900" s="4" t="str">
        <f t="shared" si="88"/>
        <v>Moderate</v>
      </c>
      <c r="Q900" s="4" t="str">
        <f t="shared" si="89"/>
        <v>Moderate Growth</v>
      </c>
    </row>
    <row r="901" spans="1:17" x14ac:dyDescent="0.35">
      <c r="A901" s="2" t="s">
        <v>911</v>
      </c>
      <c r="B901" s="2">
        <v>5</v>
      </c>
      <c r="C901" s="2">
        <v>18375852.280000001</v>
      </c>
      <c r="D901" s="2">
        <v>0.6</v>
      </c>
      <c r="E901" s="2">
        <v>1240544694</v>
      </c>
      <c r="F901" s="2">
        <v>38258797.899999999</v>
      </c>
      <c r="G901" s="2">
        <v>3</v>
      </c>
      <c r="H901" s="2">
        <v>5</v>
      </c>
      <c r="I901" s="2">
        <v>2</v>
      </c>
      <c r="J901" s="2">
        <v>3.4</v>
      </c>
      <c r="K901" s="2" t="s">
        <v>306</v>
      </c>
      <c r="L901" s="2" t="str">
        <f t="shared" si="84"/>
        <v>Profitable</v>
      </c>
      <c r="M901" s="2" t="str">
        <f t="shared" si="85"/>
        <v>Stable Earnings</v>
      </c>
      <c r="N901" s="2" t="str">
        <f t="shared" si="86"/>
        <v>Low Quality</v>
      </c>
      <c r="O901" s="4" t="str">
        <f t="shared" si="87"/>
        <v>Accounting Risk</v>
      </c>
      <c r="P901" s="4" t="str">
        <f t="shared" si="88"/>
        <v>Low Quality</v>
      </c>
      <c r="Q901" s="4" t="str">
        <f t="shared" si="89"/>
        <v>Moderate Growth</v>
      </c>
    </row>
    <row r="902" spans="1:17" x14ac:dyDescent="0.35">
      <c r="A902" s="2" t="s">
        <v>912</v>
      </c>
      <c r="B902" s="2">
        <v>5</v>
      </c>
      <c r="C902" s="2">
        <v>-72784376.739999995</v>
      </c>
      <c r="D902" s="2">
        <v>0</v>
      </c>
      <c r="E902" s="2">
        <v>10616350.75</v>
      </c>
      <c r="F902" s="2">
        <v>26023173.300000001</v>
      </c>
      <c r="G902" s="2">
        <v>5</v>
      </c>
      <c r="H902" s="2">
        <v>1</v>
      </c>
      <c r="I902" s="2">
        <v>3</v>
      </c>
      <c r="J902" s="2">
        <v>3.4</v>
      </c>
      <c r="K902" s="2" t="s">
        <v>306</v>
      </c>
      <c r="L902" s="2" t="str">
        <f t="shared" si="84"/>
        <v>Loss Making</v>
      </c>
      <c r="M902" s="2" t="str">
        <f t="shared" si="85"/>
        <v>Stable Earnings</v>
      </c>
      <c r="N902" s="2" t="str">
        <f t="shared" si="86"/>
        <v>Moderate</v>
      </c>
      <c r="O902" s="4" t="str">
        <f t="shared" si="87"/>
        <v>Accounting Risk</v>
      </c>
      <c r="P902" s="4" t="str">
        <f t="shared" si="88"/>
        <v>Moderate</v>
      </c>
      <c r="Q902" s="4" t="str">
        <f t="shared" si="89"/>
        <v>Moderate Growth</v>
      </c>
    </row>
    <row r="903" spans="1:17" x14ac:dyDescent="0.35">
      <c r="A903" s="2" t="s">
        <v>913</v>
      </c>
      <c r="B903" s="2">
        <v>5</v>
      </c>
      <c r="C903" s="2">
        <v>-10658760.119999999</v>
      </c>
      <c r="D903" s="2">
        <v>0</v>
      </c>
      <c r="E903" s="2">
        <v>12734785.77</v>
      </c>
      <c r="F903" s="2">
        <v>24074663.199999999</v>
      </c>
      <c r="G903" s="2">
        <v>5</v>
      </c>
      <c r="H903" s="2">
        <v>1</v>
      </c>
      <c r="I903" s="2">
        <v>3</v>
      </c>
      <c r="J903" s="2">
        <v>3.4</v>
      </c>
      <c r="K903" s="2" t="s">
        <v>306</v>
      </c>
      <c r="L903" s="2" t="str">
        <f t="shared" si="84"/>
        <v>Loss Making</v>
      </c>
      <c r="M903" s="2" t="str">
        <f t="shared" si="85"/>
        <v>Stable Earnings</v>
      </c>
      <c r="N903" s="2" t="str">
        <f t="shared" si="86"/>
        <v>Moderate</v>
      </c>
      <c r="O903" s="4" t="str">
        <f t="shared" si="87"/>
        <v>Accounting Risk</v>
      </c>
      <c r="P903" s="4" t="str">
        <f t="shared" si="88"/>
        <v>Moderate</v>
      </c>
      <c r="Q903" s="4" t="str">
        <f t="shared" si="89"/>
        <v>Moderate Growth</v>
      </c>
    </row>
    <row r="904" spans="1:17" x14ac:dyDescent="0.35">
      <c r="A904" s="2" t="s">
        <v>914</v>
      </c>
      <c r="B904" s="2">
        <v>5</v>
      </c>
      <c r="C904" s="2">
        <v>-12460515.939999999</v>
      </c>
      <c r="D904" s="2">
        <v>0</v>
      </c>
      <c r="E904" s="2">
        <v>9014022.7740000002</v>
      </c>
      <c r="F904" s="2">
        <v>20571514.199999999</v>
      </c>
      <c r="G904" s="2">
        <v>5</v>
      </c>
      <c r="H904" s="2">
        <v>1</v>
      </c>
      <c r="I904" s="2">
        <v>3</v>
      </c>
      <c r="J904" s="2">
        <v>3.4</v>
      </c>
      <c r="K904" s="2" t="s">
        <v>306</v>
      </c>
      <c r="L904" s="2" t="str">
        <f t="shared" si="84"/>
        <v>Loss Making</v>
      </c>
      <c r="M904" s="2" t="str">
        <f t="shared" si="85"/>
        <v>Stable Earnings</v>
      </c>
      <c r="N904" s="2" t="str">
        <f t="shared" si="86"/>
        <v>Moderate</v>
      </c>
      <c r="O904" s="4" t="str">
        <f t="shared" si="87"/>
        <v>Accounting Risk</v>
      </c>
      <c r="P904" s="4" t="str">
        <f t="shared" si="88"/>
        <v>Moderate</v>
      </c>
      <c r="Q904" s="4" t="str">
        <f t="shared" si="89"/>
        <v>Moderate Growth</v>
      </c>
    </row>
    <row r="905" spans="1:17" x14ac:dyDescent="0.35">
      <c r="A905" s="2" t="s">
        <v>915</v>
      </c>
      <c r="B905" s="2">
        <v>5</v>
      </c>
      <c r="C905" s="2">
        <v>-25621502.699999999</v>
      </c>
      <c r="D905" s="2">
        <v>0</v>
      </c>
      <c r="E905" s="2">
        <v>11690652.32</v>
      </c>
      <c r="F905" s="2">
        <v>22074481</v>
      </c>
      <c r="G905" s="2">
        <v>5</v>
      </c>
      <c r="H905" s="2">
        <v>1</v>
      </c>
      <c r="I905" s="2">
        <v>3</v>
      </c>
      <c r="J905" s="2">
        <v>3.4</v>
      </c>
      <c r="K905" s="2" t="s">
        <v>306</v>
      </c>
      <c r="L905" s="2" t="str">
        <f t="shared" si="84"/>
        <v>Loss Making</v>
      </c>
      <c r="M905" s="2" t="str">
        <f t="shared" si="85"/>
        <v>Stable Earnings</v>
      </c>
      <c r="N905" s="2" t="str">
        <f t="shared" si="86"/>
        <v>Moderate</v>
      </c>
      <c r="O905" s="4" t="str">
        <f t="shared" si="87"/>
        <v>Accounting Risk</v>
      </c>
      <c r="P905" s="4" t="str">
        <f t="shared" si="88"/>
        <v>Moderate</v>
      </c>
      <c r="Q905" s="4" t="str">
        <f t="shared" si="89"/>
        <v>Moderate Growth</v>
      </c>
    </row>
    <row r="906" spans="1:17" x14ac:dyDescent="0.35">
      <c r="A906" s="2" t="s">
        <v>916</v>
      </c>
      <c r="B906" s="2">
        <v>5</v>
      </c>
      <c r="C906" s="2">
        <v>48868196.280000001</v>
      </c>
      <c r="D906" s="2">
        <v>0.6</v>
      </c>
      <c r="E906" s="2">
        <v>470427673.60000002</v>
      </c>
      <c r="F906" s="2">
        <v>120048572.8</v>
      </c>
      <c r="G906" s="2">
        <v>3</v>
      </c>
      <c r="H906" s="2">
        <v>5</v>
      </c>
      <c r="I906" s="2">
        <v>2</v>
      </c>
      <c r="J906" s="2">
        <v>3.4</v>
      </c>
      <c r="K906" s="2" t="s">
        <v>306</v>
      </c>
      <c r="L906" s="2" t="str">
        <f t="shared" si="84"/>
        <v>Profitable</v>
      </c>
      <c r="M906" s="2" t="str">
        <f t="shared" si="85"/>
        <v>Stable Earnings</v>
      </c>
      <c r="N906" s="2" t="str">
        <f t="shared" si="86"/>
        <v>Low Quality</v>
      </c>
      <c r="O906" s="4" t="str">
        <f t="shared" si="87"/>
        <v>Accounting Risk</v>
      </c>
      <c r="P906" s="4" t="str">
        <f t="shared" si="88"/>
        <v>Low Quality</v>
      </c>
      <c r="Q906" s="4" t="str">
        <f t="shared" si="89"/>
        <v>Moderate Growth</v>
      </c>
    </row>
    <row r="907" spans="1:17" x14ac:dyDescent="0.35">
      <c r="A907" s="2" t="s">
        <v>917</v>
      </c>
      <c r="B907" s="2">
        <v>5</v>
      </c>
      <c r="C907" s="2">
        <v>221790307.5</v>
      </c>
      <c r="D907" s="2">
        <v>0.6</v>
      </c>
      <c r="E907" s="2">
        <v>513700498.19999999</v>
      </c>
      <c r="F907" s="2">
        <v>109316313</v>
      </c>
      <c r="G907" s="2">
        <v>3</v>
      </c>
      <c r="H907" s="2">
        <v>5</v>
      </c>
      <c r="I907" s="2">
        <v>2</v>
      </c>
      <c r="J907" s="2">
        <v>3.4</v>
      </c>
      <c r="K907" s="2" t="s">
        <v>306</v>
      </c>
      <c r="L907" s="2" t="str">
        <f t="shared" si="84"/>
        <v>Profitable</v>
      </c>
      <c r="M907" s="2" t="str">
        <f t="shared" si="85"/>
        <v>Stable Earnings</v>
      </c>
      <c r="N907" s="2" t="str">
        <f t="shared" si="86"/>
        <v>Low Quality</v>
      </c>
      <c r="O907" s="4" t="str">
        <f t="shared" si="87"/>
        <v>Accounting Risk</v>
      </c>
      <c r="P907" s="4" t="str">
        <f t="shared" si="88"/>
        <v>Low Quality</v>
      </c>
      <c r="Q907" s="4" t="str">
        <f t="shared" si="89"/>
        <v>Moderate Growth</v>
      </c>
    </row>
    <row r="908" spans="1:17" x14ac:dyDescent="0.35">
      <c r="A908" s="2" t="s">
        <v>918</v>
      </c>
      <c r="B908" s="2">
        <v>5</v>
      </c>
      <c r="C908" s="2">
        <v>708243039.39999998</v>
      </c>
      <c r="D908" s="2">
        <v>0.8</v>
      </c>
      <c r="E908" s="2">
        <v>889505619.70000005</v>
      </c>
      <c r="F908" s="2">
        <v>108812704.90000001</v>
      </c>
      <c r="G908" s="2">
        <v>3</v>
      </c>
      <c r="H908" s="2">
        <v>5</v>
      </c>
      <c r="I908" s="2">
        <v>2</v>
      </c>
      <c r="J908" s="2">
        <v>3.4</v>
      </c>
      <c r="K908" s="2" t="s">
        <v>306</v>
      </c>
      <c r="L908" s="2" t="str">
        <f t="shared" si="84"/>
        <v>Profitable</v>
      </c>
      <c r="M908" s="2" t="str">
        <f t="shared" si="85"/>
        <v>High Volatility</v>
      </c>
      <c r="N908" s="2" t="str">
        <f t="shared" si="86"/>
        <v>Low Quality</v>
      </c>
      <c r="O908" s="4" t="str">
        <f t="shared" si="87"/>
        <v>Operational Growth</v>
      </c>
      <c r="P908" s="4" t="str">
        <f t="shared" si="88"/>
        <v>Low Quality</v>
      </c>
      <c r="Q908" s="4" t="str">
        <f t="shared" si="89"/>
        <v>Moderate Growth</v>
      </c>
    </row>
    <row r="909" spans="1:17" x14ac:dyDescent="0.35">
      <c r="A909" s="2" t="s">
        <v>919</v>
      </c>
      <c r="B909" s="2">
        <v>5</v>
      </c>
      <c r="C909" s="2">
        <v>946028851.20000005</v>
      </c>
      <c r="D909" s="2">
        <v>0.8</v>
      </c>
      <c r="E909" s="2">
        <v>1185706558</v>
      </c>
      <c r="F909" s="2">
        <v>107338855.3</v>
      </c>
      <c r="G909" s="2">
        <v>3</v>
      </c>
      <c r="H909" s="2">
        <v>5</v>
      </c>
      <c r="I909" s="2">
        <v>2</v>
      </c>
      <c r="J909" s="2">
        <v>3.4</v>
      </c>
      <c r="K909" s="2" t="s">
        <v>306</v>
      </c>
      <c r="L909" s="2" t="str">
        <f t="shared" si="84"/>
        <v>Profitable</v>
      </c>
      <c r="M909" s="2" t="str">
        <f t="shared" si="85"/>
        <v>High Volatility</v>
      </c>
      <c r="N909" s="2" t="str">
        <f t="shared" si="86"/>
        <v>Low Quality</v>
      </c>
      <c r="O909" s="4" t="str">
        <f t="shared" si="87"/>
        <v>Operational Growth</v>
      </c>
      <c r="P909" s="4" t="str">
        <f t="shared" si="88"/>
        <v>Low Quality</v>
      </c>
      <c r="Q909" s="4" t="str">
        <f t="shared" si="89"/>
        <v>Moderate Growth</v>
      </c>
    </row>
    <row r="910" spans="1:17" x14ac:dyDescent="0.35">
      <c r="A910" s="2" t="s">
        <v>920</v>
      </c>
      <c r="B910" s="2">
        <v>5</v>
      </c>
      <c r="C910" s="2">
        <v>-106543414.40000001</v>
      </c>
      <c r="D910" s="2">
        <v>0.2</v>
      </c>
      <c r="E910" s="2">
        <v>141105548.59999999</v>
      </c>
      <c r="F910" s="2">
        <v>234700737.19999999</v>
      </c>
      <c r="G910" s="2">
        <v>4</v>
      </c>
      <c r="H910" s="2">
        <v>4</v>
      </c>
      <c r="I910" s="2">
        <v>1</v>
      </c>
      <c r="J910" s="2">
        <v>3.4</v>
      </c>
      <c r="K910" s="2" t="s">
        <v>306</v>
      </c>
      <c r="L910" s="2" t="str">
        <f t="shared" si="84"/>
        <v>Loss Making</v>
      </c>
      <c r="M910" s="2" t="str">
        <f t="shared" si="85"/>
        <v>Stable Earnings</v>
      </c>
      <c r="N910" s="2" t="str">
        <f t="shared" si="86"/>
        <v>Moderate</v>
      </c>
      <c r="O910" s="4" t="str">
        <f t="shared" si="87"/>
        <v>Accounting Risk</v>
      </c>
      <c r="P910" s="4" t="str">
        <f t="shared" si="88"/>
        <v>Moderate</v>
      </c>
      <c r="Q910" s="4" t="str">
        <f t="shared" si="89"/>
        <v>Weak Growth</v>
      </c>
    </row>
    <row r="911" spans="1:17" x14ac:dyDescent="0.35">
      <c r="A911" s="2" t="s">
        <v>921</v>
      </c>
      <c r="B911" s="2">
        <v>5</v>
      </c>
      <c r="C911" s="2">
        <v>-113795496.09999999</v>
      </c>
      <c r="D911" s="2">
        <v>0.2</v>
      </c>
      <c r="E911" s="2">
        <v>124518449.3</v>
      </c>
      <c r="F911" s="2">
        <v>227571790.59999999</v>
      </c>
      <c r="G911" s="2">
        <v>4</v>
      </c>
      <c r="H911" s="2">
        <v>4</v>
      </c>
      <c r="I911" s="2">
        <v>1</v>
      </c>
      <c r="J911" s="2">
        <v>3.4</v>
      </c>
      <c r="K911" s="2" t="s">
        <v>306</v>
      </c>
      <c r="L911" s="2" t="str">
        <f t="shared" si="84"/>
        <v>Loss Making</v>
      </c>
      <c r="M911" s="2" t="str">
        <f t="shared" si="85"/>
        <v>Stable Earnings</v>
      </c>
      <c r="N911" s="2" t="str">
        <f t="shared" si="86"/>
        <v>Moderate</v>
      </c>
      <c r="O911" s="4" t="str">
        <f t="shared" si="87"/>
        <v>Accounting Risk</v>
      </c>
      <c r="P911" s="4" t="str">
        <f t="shared" si="88"/>
        <v>Moderate</v>
      </c>
      <c r="Q911" s="4" t="str">
        <f t="shared" si="89"/>
        <v>Weak Growth</v>
      </c>
    </row>
    <row r="912" spans="1:17" x14ac:dyDescent="0.35">
      <c r="A912" s="2" t="s">
        <v>922</v>
      </c>
      <c r="B912" s="2">
        <v>5</v>
      </c>
      <c r="C912" s="2">
        <v>-127512650.90000001</v>
      </c>
      <c r="D912" s="2">
        <v>0.2</v>
      </c>
      <c r="E912" s="2">
        <v>124358190.09999999</v>
      </c>
      <c r="F912" s="2">
        <v>218493094.09999999</v>
      </c>
      <c r="G912" s="2">
        <v>4</v>
      </c>
      <c r="H912" s="2">
        <v>4</v>
      </c>
      <c r="I912" s="2">
        <v>1</v>
      </c>
      <c r="J912" s="2">
        <v>3.4</v>
      </c>
      <c r="K912" s="2" t="s">
        <v>306</v>
      </c>
      <c r="L912" s="2" t="str">
        <f t="shared" si="84"/>
        <v>Loss Making</v>
      </c>
      <c r="M912" s="2" t="str">
        <f t="shared" si="85"/>
        <v>Stable Earnings</v>
      </c>
      <c r="N912" s="2" t="str">
        <f t="shared" si="86"/>
        <v>Moderate</v>
      </c>
      <c r="O912" s="4" t="str">
        <f t="shared" si="87"/>
        <v>Accounting Risk</v>
      </c>
      <c r="P912" s="4" t="str">
        <f t="shared" si="88"/>
        <v>Moderate</v>
      </c>
      <c r="Q912" s="4" t="str">
        <f t="shared" si="89"/>
        <v>Weak Growth</v>
      </c>
    </row>
    <row r="913" spans="1:17" x14ac:dyDescent="0.35">
      <c r="A913" s="2" t="s">
        <v>923</v>
      </c>
      <c r="B913" s="2">
        <v>5</v>
      </c>
      <c r="C913" s="2">
        <v>154028427</v>
      </c>
      <c r="D913" s="2">
        <v>0.6</v>
      </c>
      <c r="E913" s="2">
        <v>431842750.30000001</v>
      </c>
      <c r="F913" s="2">
        <v>186568225.40000001</v>
      </c>
      <c r="G913" s="2">
        <v>3</v>
      </c>
      <c r="H913" s="2">
        <v>5</v>
      </c>
      <c r="I913" s="2">
        <v>2</v>
      </c>
      <c r="J913" s="2">
        <v>3.4</v>
      </c>
      <c r="K913" s="2" t="s">
        <v>306</v>
      </c>
      <c r="L913" s="2" t="str">
        <f t="shared" si="84"/>
        <v>Profitable</v>
      </c>
      <c r="M913" s="2" t="str">
        <f t="shared" si="85"/>
        <v>Stable Earnings</v>
      </c>
      <c r="N913" s="2" t="str">
        <f t="shared" si="86"/>
        <v>Low Quality</v>
      </c>
      <c r="O913" s="4" t="str">
        <f t="shared" si="87"/>
        <v>Accounting Risk</v>
      </c>
      <c r="P913" s="4" t="str">
        <f t="shared" si="88"/>
        <v>Low Quality</v>
      </c>
      <c r="Q913" s="4" t="str">
        <f t="shared" si="89"/>
        <v>Moderate Growth</v>
      </c>
    </row>
    <row r="914" spans="1:17" x14ac:dyDescent="0.35">
      <c r="A914" s="2" t="s">
        <v>924</v>
      </c>
      <c r="B914" s="2">
        <v>5</v>
      </c>
      <c r="C914" s="2">
        <v>221056404.30000001</v>
      </c>
      <c r="D914" s="2">
        <v>0.6</v>
      </c>
      <c r="E914" s="2">
        <v>378679466.60000002</v>
      </c>
      <c r="F914" s="2">
        <v>191779545.80000001</v>
      </c>
      <c r="G914" s="2">
        <v>3</v>
      </c>
      <c r="H914" s="2">
        <v>5</v>
      </c>
      <c r="I914" s="2">
        <v>2</v>
      </c>
      <c r="J914" s="2">
        <v>3.4</v>
      </c>
      <c r="K914" s="2" t="s">
        <v>306</v>
      </c>
      <c r="L914" s="2" t="str">
        <f t="shared" si="84"/>
        <v>Profitable</v>
      </c>
      <c r="M914" s="2" t="str">
        <f t="shared" si="85"/>
        <v>Stable Earnings</v>
      </c>
      <c r="N914" s="2" t="str">
        <f t="shared" si="86"/>
        <v>Low Quality</v>
      </c>
      <c r="O914" s="4" t="str">
        <f t="shared" si="87"/>
        <v>Accounting Risk</v>
      </c>
      <c r="P914" s="4" t="str">
        <f t="shared" si="88"/>
        <v>Low Quality</v>
      </c>
      <c r="Q914" s="4" t="str">
        <f t="shared" si="89"/>
        <v>Moderate Growth</v>
      </c>
    </row>
    <row r="915" spans="1:17" x14ac:dyDescent="0.35">
      <c r="A915" s="2" t="s">
        <v>925</v>
      </c>
      <c r="B915" s="2">
        <v>5</v>
      </c>
      <c r="C915" s="2">
        <v>406171907.19999999</v>
      </c>
      <c r="D915" s="2">
        <v>0.8</v>
      </c>
      <c r="E915" s="2">
        <v>452012571.89999998</v>
      </c>
      <c r="F915" s="2">
        <v>157353181.40000001</v>
      </c>
      <c r="G915" s="2">
        <v>3</v>
      </c>
      <c r="H915" s="2">
        <v>5</v>
      </c>
      <c r="I915" s="2">
        <v>2</v>
      </c>
      <c r="J915" s="2">
        <v>3.4</v>
      </c>
      <c r="K915" s="2" t="s">
        <v>306</v>
      </c>
      <c r="L915" s="2" t="str">
        <f t="shared" si="84"/>
        <v>Profitable</v>
      </c>
      <c r="M915" s="2" t="str">
        <f t="shared" si="85"/>
        <v>Stable Earnings</v>
      </c>
      <c r="N915" s="2" t="str">
        <f t="shared" si="86"/>
        <v>Low Quality</v>
      </c>
      <c r="O915" s="4" t="str">
        <f t="shared" si="87"/>
        <v>Operational Growth</v>
      </c>
      <c r="P915" s="4" t="str">
        <f t="shared" si="88"/>
        <v>Low Quality</v>
      </c>
      <c r="Q915" s="4" t="str">
        <f t="shared" si="89"/>
        <v>Moderate Growth</v>
      </c>
    </row>
    <row r="916" spans="1:17" x14ac:dyDescent="0.35">
      <c r="A916" s="2" t="s">
        <v>926</v>
      </c>
      <c r="B916" s="2">
        <v>5</v>
      </c>
      <c r="C916" s="2">
        <v>475239733.89999998</v>
      </c>
      <c r="D916" s="2">
        <v>0.8</v>
      </c>
      <c r="E916" s="2">
        <v>381357399.69999999</v>
      </c>
      <c r="F916" s="2">
        <v>147480092.09999999</v>
      </c>
      <c r="G916" s="2">
        <v>3</v>
      </c>
      <c r="H916" s="2">
        <v>5</v>
      </c>
      <c r="I916" s="2">
        <v>2</v>
      </c>
      <c r="J916" s="2">
        <v>3.4</v>
      </c>
      <c r="K916" s="2" t="s">
        <v>306</v>
      </c>
      <c r="L916" s="2" t="str">
        <f t="shared" si="84"/>
        <v>Profitable</v>
      </c>
      <c r="M916" s="2" t="str">
        <f t="shared" si="85"/>
        <v>Stable Earnings</v>
      </c>
      <c r="N916" s="2" t="str">
        <f t="shared" si="86"/>
        <v>Low Quality</v>
      </c>
      <c r="O916" s="4" t="str">
        <f t="shared" si="87"/>
        <v>Operational Growth</v>
      </c>
      <c r="P916" s="4" t="str">
        <f t="shared" si="88"/>
        <v>Low Quality</v>
      </c>
      <c r="Q916" s="4" t="str">
        <f t="shared" si="89"/>
        <v>Moderate Growth</v>
      </c>
    </row>
    <row r="917" spans="1:17" x14ac:dyDescent="0.35">
      <c r="A917" s="2" t="s">
        <v>927</v>
      </c>
      <c r="B917" s="2">
        <v>5</v>
      </c>
      <c r="C917" s="2">
        <v>-89296717.900000006</v>
      </c>
      <c r="D917" s="2">
        <v>0.8</v>
      </c>
      <c r="E917" s="2">
        <v>861289512.60000002</v>
      </c>
      <c r="F917" s="2">
        <v>144573656.30000001</v>
      </c>
      <c r="G917" s="2">
        <v>3</v>
      </c>
      <c r="H917" s="2">
        <v>5</v>
      </c>
      <c r="I917" s="2">
        <v>2</v>
      </c>
      <c r="J917" s="2">
        <v>3.4</v>
      </c>
      <c r="K917" s="2" t="s">
        <v>306</v>
      </c>
      <c r="L917" s="2" t="str">
        <f t="shared" si="84"/>
        <v>Loss Making</v>
      </c>
      <c r="M917" s="2" t="str">
        <f t="shared" si="85"/>
        <v>Stable Earnings</v>
      </c>
      <c r="N917" s="2" t="str">
        <f t="shared" si="86"/>
        <v>Low Quality</v>
      </c>
      <c r="O917" s="4" t="str">
        <f t="shared" si="87"/>
        <v>Operational Growth</v>
      </c>
      <c r="P917" s="4" t="str">
        <f t="shared" si="88"/>
        <v>Low Quality</v>
      </c>
      <c r="Q917" s="4" t="str">
        <f t="shared" si="89"/>
        <v>Moderate Growth</v>
      </c>
    </row>
    <row r="918" spans="1:17" x14ac:dyDescent="0.35">
      <c r="A918" s="2" t="s">
        <v>928</v>
      </c>
      <c r="B918" s="2">
        <v>5</v>
      </c>
      <c r="C918" s="2">
        <v>-5351735.16</v>
      </c>
      <c r="D918" s="2">
        <v>0.6</v>
      </c>
      <c r="E918" s="2">
        <v>341678749.69999999</v>
      </c>
      <c r="F918" s="2">
        <v>132156871.8</v>
      </c>
      <c r="G918" s="2">
        <v>3</v>
      </c>
      <c r="H918" s="2">
        <v>5</v>
      </c>
      <c r="I918" s="2">
        <v>2</v>
      </c>
      <c r="J918" s="2">
        <v>3.4</v>
      </c>
      <c r="K918" s="2" t="s">
        <v>306</v>
      </c>
      <c r="L918" s="2" t="str">
        <f t="shared" si="84"/>
        <v>Loss Making</v>
      </c>
      <c r="M918" s="2" t="str">
        <f t="shared" si="85"/>
        <v>Stable Earnings</v>
      </c>
      <c r="N918" s="2" t="str">
        <f t="shared" si="86"/>
        <v>Low Quality</v>
      </c>
      <c r="O918" s="4" t="str">
        <f t="shared" si="87"/>
        <v>Accounting Risk</v>
      </c>
      <c r="P918" s="4" t="str">
        <f t="shared" si="88"/>
        <v>Low Quality</v>
      </c>
      <c r="Q918" s="4" t="str">
        <f t="shared" si="89"/>
        <v>Moderate Growth</v>
      </c>
    </row>
    <row r="919" spans="1:17" x14ac:dyDescent="0.35">
      <c r="A919" s="2" t="s">
        <v>929</v>
      </c>
      <c r="B919" s="2">
        <v>5</v>
      </c>
      <c r="C919" s="2">
        <v>-22571904.239999998</v>
      </c>
      <c r="D919" s="2">
        <v>0.4</v>
      </c>
      <c r="E919" s="2">
        <v>311042947.10000002</v>
      </c>
      <c r="F919" s="2">
        <v>419293840.80000001</v>
      </c>
      <c r="G919" s="2">
        <v>4</v>
      </c>
      <c r="H919" s="2">
        <v>4</v>
      </c>
      <c r="I919" s="2">
        <v>1</v>
      </c>
      <c r="J919" s="2">
        <v>3.4</v>
      </c>
      <c r="K919" s="2" t="s">
        <v>306</v>
      </c>
      <c r="L919" s="2" t="str">
        <f t="shared" si="84"/>
        <v>Loss Making</v>
      </c>
      <c r="M919" s="2" t="str">
        <f t="shared" si="85"/>
        <v>Stable Earnings</v>
      </c>
      <c r="N919" s="2" t="str">
        <f t="shared" si="86"/>
        <v>Moderate</v>
      </c>
      <c r="O919" s="4" t="str">
        <f t="shared" si="87"/>
        <v>Accounting Risk</v>
      </c>
      <c r="P919" s="4" t="str">
        <f t="shared" si="88"/>
        <v>Moderate</v>
      </c>
      <c r="Q919" s="4" t="str">
        <f t="shared" si="89"/>
        <v>Weak Growth</v>
      </c>
    </row>
    <row r="920" spans="1:17" x14ac:dyDescent="0.35">
      <c r="A920" s="2" t="s">
        <v>930</v>
      </c>
      <c r="B920" s="2">
        <v>5</v>
      </c>
      <c r="C920" s="2">
        <v>44766710</v>
      </c>
      <c r="D920" s="2">
        <v>0.4</v>
      </c>
      <c r="E920" s="2">
        <v>172950644.40000001</v>
      </c>
      <c r="F920" s="2">
        <v>433969617.60000002</v>
      </c>
      <c r="G920" s="2">
        <v>4</v>
      </c>
      <c r="H920" s="2">
        <v>4</v>
      </c>
      <c r="I920" s="2">
        <v>1</v>
      </c>
      <c r="J920" s="2">
        <v>3.4</v>
      </c>
      <c r="K920" s="2" t="s">
        <v>306</v>
      </c>
      <c r="L920" s="2" t="str">
        <f t="shared" si="84"/>
        <v>Profitable</v>
      </c>
      <c r="M920" s="2" t="str">
        <f t="shared" si="85"/>
        <v>Stable Earnings</v>
      </c>
      <c r="N920" s="2" t="str">
        <f t="shared" si="86"/>
        <v>Moderate</v>
      </c>
      <c r="O920" s="4" t="str">
        <f t="shared" si="87"/>
        <v>Accounting Risk</v>
      </c>
      <c r="P920" s="4" t="str">
        <f t="shared" si="88"/>
        <v>Moderate</v>
      </c>
      <c r="Q920" s="4" t="str">
        <f t="shared" si="89"/>
        <v>Weak Growth</v>
      </c>
    </row>
    <row r="921" spans="1:17" x14ac:dyDescent="0.35">
      <c r="A921" s="2" t="s">
        <v>931</v>
      </c>
      <c r="B921" s="2">
        <v>5</v>
      </c>
      <c r="C921" s="2">
        <v>-261847296.69999999</v>
      </c>
      <c r="D921" s="2">
        <v>0</v>
      </c>
      <c r="E921" s="2">
        <v>179693288.69999999</v>
      </c>
      <c r="F921" s="2">
        <v>381960198</v>
      </c>
      <c r="G921" s="2">
        <v>4</v>
      </c>
      <c r="H921" s="2">
        <v>4</v>
      </c>
      <c r="I921" s="2">
        <v>1</v>
      </c>
      <c r="J921" s="2">
        <v>3.4</v>
      </c>
      <c r="K921" s="2" t="s">
        <v>306</v>
      </c>
      <c r="L921" s="2" t="str">
        <f t="shared" si="84"/>
        <v>Loss Making</v>
      </c>
      <c r="M921" s="2" t="str">
        <f t="shared" si="85"/>
        <v>Stable Earnings</v>
      </c>
      <c r="N921" s="2" t="str">
        <f t="shared" si="86"/>
        <v>Moderate</v>
      </c>
      <c r="O921" s="4" t="str">
        <f t="shared" si="87"/>
        <v>Accounting Risk</v>
      </c>
      <c r="P921" s="4" t="str">
        <f t="shared" si="88"/>
        <v>Moderate</v>
      </c>
      <c r="Q921" s="4" t="str">
        <f t="shared" si="89"/>
        <v>Weak Growth</v>
      </c>
    </row>
    <row r="922" spans="1:17" x14ac:dyDescent="0.35">
      <c r="A922" s="2" t="s">
        <v>932</v>
      </c>
      <c r="B922" s="2">
        <v>5</v>
      </c>
      <c r="C922" s="2">
        <v>-82849154.920000002</v>
      </c>
      <c r="D922" s="2">
        <v>0.2</v>
      </c>
      <c r="E922" s="2">
        <v>161421209.30000001</v>
      </c>
      <c r="F922" s="2">
        <v>340842837.39999998</v>
      </c>
      <c r="G922" s="2">
        <v>4</v>
      </c>
      <c r="H922" s="2">
        <v>4</v>
      </c>
      <c r="I922" s="2">
        <v>1</v>
      </c>
      <c r="J922" s="2">
        <v>3.4</v>
      </c>
      <c r="K922" s="2" t="s">
        <v>306</v>
      </c>
      <c r="L922" s="2" t="str">
        <f t="shared" si="84"/>
        <v>Loss Making</v>
      </c>
      <c r="M922" s="2" t="str">
        <f t="shared" si="85"/>
        <v>Stable Earnings</v>
      </c>
      <c r="N922" s="2" t="str">
        <f t="shared" si="86"/>
        <v>Moderate</v>
      </c>
      <c r="O922" s="4" t="str">
        <f t="shared" si="87"/>
        <v>Accounting Risk</v>
      </c>
      <c r="P922" s="4" t="str">
        <f t="shared" si="88"/>
        <v>Moderate</v>
      </c>
      <c r="Q922" s="4" t="str">
        <f t="shared" si="89"/>
        <v>Weak Growth</v>
      </c>
    </row>
    <row r="923" spans="1:17" x14ac:dyDescent="0.35">
      <c r="A923" s="2" t="s">
        <v>933</v>
      </c>
      <c r="B923" s="2">
        <v>5</v>
      </c>
      <c r="C923" s="2">
        <v>-110415388.59999999</v>
      </c>
      <c r="D923" s="2">
        <v>0.2</v>
      </c>
      <c r="E923" s="2">
        <v>126982136.5</v>
      </c>
      <c r="F923" s="2">
        <v>287880653.19999999</v>
      </c>
      <c r="G923" s="2">
        <v>4</v>
      </c>
      <c r="H923" s="2">
        <v>4</v>
      </c>
      <c r="I923" s="2">
        <v>1</v>
      </c>
      <c r="J923" s="2">
        <v>3.4</v>
      </c>
      <c r="K923" s="2" t="s">
        <v>306</v>
      </c>
      <c r="L923" s="2" t="str">
        <f t="shared" si="84"/>
        <v>Loss Making</v>
      </c>
      <c r="M923" s="2" t="str">
        <f t="shared" si="85"/>
        <v>Stable Earnings</v>
      </c>
      <c r="N923" s="2" t="str">
        <f t="shared" si="86"/>
        <v>Moderate</v>
      </c>
      <c r="O923" s="4" t="str">
        <f t="shared" si="87"/>
        <v>Accounting Risk</v>
      </c>
      <c r="P923" s="4" t="str">
        <f t="shared" si="88"/>
        <v>Moderate</v>
      </c>
      <c r="Q923" s="4" t="str">
        <f t="shared" si="89"/>
        <v>Weak Growth</v>
      </c>
    </row>
    <row r="924" spans="1:17" x14ac:dyDescent="0.35">
      <c r="A924" s="2" t="s">
        <v>934</v>
      </c>
      <c r="B924" s="2">
        <v>5</v>
      </c>
      <c r="C924" s="2">
        <v>-63090235.539999999</v>
      </c>
      <c r="D924" s="2">
        <v>0.4</v>
      </c>
      <c r="E924" s="2">
        <v>117840567.3</v>
      </c>
      <c r="F924" s="2">
        <v>278052970.10000002</v>
      </c>
      <c r="G924" s="2">
        <v>4</v>
      </c>
      <c r="H924" s="2">
        <v>4</v>
      </c>
      <c r="I924" s="2">
        <v>1</v>
      </c>
      <c r="J924" s="2">
        <v>3.4</v>
      </c>
      <c r="K924" s="2" t="s">
        <v>306</v>
      </c>
      <c r="L924" s="2" t="str">
        <f t="shared" si="84"/>
        <v>Loss Making</v>
      </c>
      <c r="M924" s="2" t="str">
        <f t="shared" si="85"/>
        <v>Stable Earnings</v>
      </c>
      <c r="N924" s="2" t="str">
        <f t="shared" si="86"/>
        <v>Moderate</v>
      </c>
      <c r="O924" s="4" t="str">
        <f t="shared" si="87"/>
        <v>Accounting Risk</v>
      </c>
      <c r="P924" s="4" t="str">
        <f t="shared" si="88"/>
        <v>Moderate</v>
      </c>
      <c r="Q924" s="4" t="str">
        <f t="shared" si="89"/>
        <v>Weak Growth</v>
      </c>
    </row>
    <row r="925" spans="1:17" x14ac:dyDescent="0.35">
      <c r="A925" s="2" t="s">
        <v>935</v>
      </c>
      <c r="B925" s="2">
        <v>5</v>
      </c>
      <c r="C925" s="2">
        <v>-50636902.740000002</v>
      </c>
      <c r="D925" s="2">
        <v>0.4</v>
      </c>
      <c r="E925" s="2">
        <v>125670254</v>
      </c>
      <c r="F925" s="2">
        <v>237151287.5</v>
      </c>
      <c r="G925" s="2">
        <v>4</v>
      </c>
      <c r="H925" s="2">
        <v>4</v>
      </c>
      <c r="I925" s="2">
        <v>1</v>
      </c>
      <c r="J925" s="2">
        <v>3.4</v>
      </c>
      <c r="K925" s="2" t="s">
        <v>306</v>
      </c>
      <c r="L925" s="2" t="str">
        <f t="shared" si="84"/>
        <v>Loss Making</v>
      </c>
      <c r="M925" s="2" t="str">
        <f t="shared" si="85"/>
        <v>Stable Earnings</v>
      </c>
      <c r="N925" s="2" t="str">
        <f t="shared" si="86"/>
        <v>Moderate</v>
      </c>
      <c r="O925" s="4" t="str">
        <f t="shared" si="87"/>
        <v>Accounting Risk</v>
      </c>
      <c r="P925" s="4" t="str">
        <f t="shared" si="88"/>
        <v>Moderate</v>
      </c>
      <c r="Q925" s="4" t="str">
        <f t="shared" si="89"/>
        <v>Weak Growth</v>
      </c>
    </row>
    <row r="926" spans="1:17" x14ac:dyDescent="0.35">
      <c r="A926" s="2" t="s">
        <v>936</v>
      </c>
      <c r="B926" s="2">
        <v>5</v>
      </c>
      <c r="C926" s="2">
        <v>-18659498.48</v>
      </c>
      <c r="D926" s="2">
        <v>0.4</v>
      </c>
      <c r="E926" s="2">
        <v>257987845.59999999</v>
      </c>
      <c r="F926" s="2">
        <v>267340741.80000001</v>
      </c>
      <c r="G926" s="2">
        <v>4</v>
      </c>
      <c r="H926" s="2">
        <v>4</v>
      </c>
      <c r="I926" s="2">
        <v>1</v>
      </c>
      <c r="J926" s="2">
        <v>3.4</v>
      </c>
      <c r="K926" s="2" t="s">
        <v>306</v>
      </c>
      <c r="L926" s="2" t="str">
        <f t="shared" si="84"/>
        <v>Loss Making</v>
      </c>
      <c r="M926" s="2" t="str">
        <f t="shared" si="85"/>
        <v>Stable Earnings</v>
      </c>
      <c r="N926" s="2" t="str">
        <f t="shared" si="86"/>
        <v>Moderate</v>
      </c>
      <c r="O926" s="4" t="str">
        <f t="shared" si="87"/>
        <v>Accounting Risk</v>
      </c>
      <c r="P926" s="4" t="str">
        <f t="shared" si="88"/>
        <v>Moderate</v>
      </c>
      <c r="Q926" s="4" t="str">
        <f t="shared" si="89"/>
        <v>Weak Growth</v>
      </c>
    </row>
    <row r="927" spans="1:17" x14ac:dyDescent="0.35">
      <c r="A927" s="2" t="s">
        <v>937</v>
      </c>
      <c r="B927" s="2">
        <v>5</v>
      </c>
      <c r="C927" s="2">
        <v>-81788665.219999999</v>
      </c>
      <c r="D927" s="2">
        <v>0.4</v>
      </c>
      <c r="E927" s="2">
        <v>138572981.30000001</v>
      </c>
      <c r="F927" s="2">
        <v>253356232.80000001</v>
      </c>
      <c r="G927" s="2">
        <v>4</v>
      </c>
      <c r="H927" s="2">
        <v>4</v>
      </c>
      <c r="I927" s="2">
        <v>1</v>
      </c>
      <c r="J927" s="2">
        <v>3.4</v>
      </c>
      <c r="K927" s="2" t="s">
        <v>306</v>
      </c>
      <c r="L927" s="2" t="str">
        <f t="shared" si="84"/>
        <v>Loss Making</v>
      </c>
      <c r="M927" s="2" t="str">
        <f t="shared" si="85"/>
        <v>Stable Earnings</v>
      </c>
      <c r="N927" s="2" t="str">
        <f t="shared" si="86"/>
        <v>Moderate</v>
      </c>
      <c r="O927" s="4" t="str">
        <f t="shared" si="87"/>
        <v>Accounting Risk</v>
      </c>
      <c r="P927" s="4" t="str">
        <f t="shared" si="88"/>
        <v>Moderate</v>
      </c>
      <c r="Q927" s="4" t="str">
        <f t="shared" si="89"/>
        <v>Weak Growth</v>
      </c>
    </row>
    <row r="928" spans="1:17" x14ac:dyDescent="0.35">
      <c r="A928" s="2" t="s">
        <v>938</v>
      </c>
      <c r="B928" s="2">
        <v>5</v>
      </c>
      <c r="C928" s="2">
        <v>-157378064.40000001</v>
      </c>
      <c r="D928" s="2">
        <v>0.2</v>
      </c>
      <c r="E928" s="2">
        <v>208810825.69999999</v>
      </c>
      <c r="F928" s="2">
        <v>251773625.69999999</v>
      </c>
      <c r="G928" s="2">
        <v>4</v>
      </c>
      <c r="H928" s="2">
        <v>4</v>
      </c>
      <c r="I928" s="2">
        <v>1</v>
      </c>
      <c r="J928" s="2">
        <v>3.4</v>
      </c>
      <c r="K928" s="2" t="s">
        <v>306</v>
      </c>
      <c r="L928" s="2" t="str">
        <f t="shared" si="84"/>
        <v>Loss Making</v>
      </c>
      <c r="M928" s="2" t="str">
        <f t="shared" si="85"/>
        <v>Stable Earnings</v>
      </c>
      <c r="N928" s="2" t="str">
        <f t="shared" si="86"/>
        <v>Moderate</v>
      </c>
      <c r="O928" s="4" t="str">
        <f t="shared" si="87"/>
        <v>Accounting Risk</v>
      </c>
      <c r="P928" s="4" t="str">
        <f t="shared" si="88"/>
        <v>Moderate</v>
      </c>
      <c r="Q928" s="4" t="str">
        <f t="shared" si="89"/>
        <v>Weak Growth</v>
      </c>
    </row>
    <row r="929" spans="1:17" x14ac:dyDescent="0.35">
      <c r="A929" s="2" t="s">
        <v>939</v>
      </c>
      <c r="B929" s="2">
        <v>5</v>
      </c>
      <c r="C929" s="2">
        <v>21270004.48</v>
      </c>
      <c r="D929" s="2">
        <v>0.4</v>
      </c>
      <c r="E929" s="2">
        <v>304776325.89999998</v>
      </c>
      <c r="F929" s="2">
        <v>646139962.39999998</v>
      </c>
      <c r="G929" s="2">
        <v>4</v>
      </c>
      <c r="H929" s="2">
        <v>4</v>
      </c>
      <c r="I929" s="2">
        <v>1</v>
      </c>
      <c r="J929" s="2">
        <v>3.4</v>
      </c>
      <c r="K929" s="2" t="s">
        <v>306</v>
      </c>
      <c r="L929" s="2" t="str">
        <f t="shared" si="84"/>
        <v>Profitable</v>
      </c>
      <c r="M929" s="2" t="str">
        <f t="shared" si="85"/>
        <v>Stable Earnings</v>
      </c>
      <c r="N929" s="2" t="str">
        <f t="shared" si="86"/>
        <v>Moderate</v>
      </c>
      <c r="O929" s="4" t="str">
        <f t="shared" si="87"/>
        <v>Accounting Risk</v>
      </c>
      <c r="P929" s="4" t="str">
        <f t="shared" si="88"/>
        <v>Moderate</v>
      </c>
      <c r="Q929" s="4" t="str">
        <f t="shared" si="89"/>
        <v>Weak Growth</v>
      </c>
    </row>
    <row r="930" spans="1:17" x14ac:dyDescent="0.35">
      <c r="A930" s="2" t="s">
        <v>940</v>
      </c>
      <c r="B930" s="2">
        <v>5</v>
      </c>
      <c r="C930" s="2">
        <v>122692387.8</v>
      </c>
      <c r="D930" s="2">
        <v>0.4</v>
      </c>
      <c r="E930" s="2">
        <v>325502311</v>
      </c>
      <c r="F930" s="2">
        <v>666229948.29999995</v>
      </c>
      <c r="G930" s="2">
        <v>4</v>
      </c>
      <c r="H930" s="2">
        <v>4</v>
      </c>
      <c r="I930" s="2">
        <v>1</v>
      </c>
      <c r="J930" s="2">
        <v>3.4</v>
      </c>
      <c r="K930" s="2" t="s">
        <v>306</v>
      </c>
      <c r="L930" s="2" t="str">
        <f t="shared" si="84"/>
        <v>Profitable</v>
      </c>
      <c r="M930" s="2" t="str">
        <f t="shared" si="85"/>
        <v>Stable Earnings</v>
      </c>
      <c r="N930" s="2" t="str">
        <f t="shared" si="86"/>
        <v>Moderate</v>
      </c>
      <c r="O930" s="4" t="str">
        <f t="shared" si="87"/>
        <v>Accounting Risk</v>
      </c>
      <c r="P930" s="4" t="str">
        <f t="shared" si="88"/>
        <v>Moderate</v>
      </c>
      <c r="Q930" s="4" t="str">
        <f t="shared" si="89"/>
        <v>Weak Growth</v>
      </c>
    </row>
    <row r="931" spans="1:17" x14ac:dyDescent="0.35">
      <c r="A931" s="2" t="s">
        <v>941</v>
      </c>
      <c r="B931" s="2">
        <v>5</v>
      </c>
      <c r="C931" s="2">
        <v>-33992210.799999997</v>
      </c>
      <c r="D931" s="2">
        <v>0.2</v>
      </c>
      <c r="E931" s="2">
        <v>218916903</v>
      </c>
      <c r="F931" s="2">
        <v>539190872.29999995</v>
      </c>
      <c r="G931" s="2">
        <v>4</v>
      </c>
      <c r="H931" s="2">
        <v>4</v>
      </c>
      <c r="I931" s="2">
        <v>1</v>
      </c>
      <c r="J931" s="2">
        <v>3.4</v>
      </c>
      <c r="K931" s="2" t="s">
        <v>306</v>
      </c>
      <c r="L931" s="2" t="str">
        <f t="shared" si="84"/>
        <v>Loss Making</v>
      </c>
      <c r="M931" s="2" t="str">
        <f t="shared" si="85"/>
        <v>Stable Earnings</v>
      </c>
      <c r="N931" s="2" t="str">
        <f t="shared" si="86"/>
        <v>Moderate</v>
      </c>
      <c r="O931" s="4" t="str">
        <f t="shared" si="87"/>
        <v>Accounting Risk</v>
      </c>
      <c r="P931" s="4" t="str">
        <f t="shared" si="88"/>
        <v>Moderate</v>
      </c>
      <c r="Q931" s="4" t="str">
        <f t="shared" si="89"/>
        <v>Weak Growth</v>
      </c>
    </row>
    <row r="932" spans="1:17" x14ac:dyDescent="0.35">
      <c r="A932" s="2" t="s">
        <v>942</v>
      </c>
      <c r="B932" s="2">
        <v>5</v>
      </c>
      <c r="C932" s="2">
        <v>1484986.92</v>
      </c>
      <c r="D932" s="2">
        <v>0.2</v>
      </c>
      <c r="E932" s="2">
        <v>298609398.80000001</v>
      </c>
      <c r="F932" s="2">
        <v>539091295.60000002</v>
      </c>
      <c r="G932" s="2">
        <v>4</v>
      </c>
      <c r="H932" s="2">
        <v>4</v>
      </c>
      <c r="I932" s="2">
        <v>1</v>
      </c>
      <c r="J932" s="2">
        <v>3.4</v>
      </c>
      <c r="K932" s="2" t="s">
        <v>306</v>
      </c>
      <c r="L932" s="2" t="str">
        <f t="shared" si="84"/>
        <v>Profitable</v>
      </c>
      <c r="M932" s="2" t="str">
        <f t="shared" si="85"/>
        <v>Stable Earnings</v>
      </c>
      <c r="N932" s="2" t="str">
        <f t="shared" si="86"/>
        <v>Moderate</v>
      </c>
      <c r="O932" s="4" t="str">
        <f t="shared" si="87"/>
        <v>Accounting Risk</v>
      </c>
      <c r="P932" s="4" t="str">
        <f t="shared" si="88"/>
        <v>Moderate</v>
      </c>
      <c r="Q932" s="4" t="str">
        <f t="shared" si="89"/>
        <v>Weak Growth</v>
      </c>
    </row>
    <row r="933" spans="1:17" x14ac:dyDescent="0.35">
      <c r="A933" s="2" t="s">
        <v>943</v>
      </c>
      <c r="B933" s="2">
        <v>5</v>
      </c>
      <c r="C933" s="2">
        <v>-49719103.240000002</v>
      </c>
      <c r="D933" s="2">
        <v>0.4</v>
      </c>
      <c r="E933" s="2">
        <v>179068961.09999999</v>
      </c>
      <c r="F933" s="2">
        <v>459248898.39999998</v>
      </c>
      <c r="G933" s="2">
        <v>4</v>
      </c>
      <c r="H933" s="2">
        <v>4</v>
      </c>
      <c r="I933" s="2">
        <v>1</v>
      </c>
      <c r="J933" s="2">
        <v>3.4</v>
      </c>
      <c r="K933" s="2" t="s">
        <v>306</v>
      </c>
      <c r="L933" s="2" t="str">
        <f t="shared" si="84"/>
        <v>Loss Making</v>
      </c>
      <c r="M933" s="2" t="str">
        <f t="shared" si="85"/>
        <v>Stable Earnings</v>
      </c>
      <c r="N933" s="2" t="str">
        <f t="shared" si="86"/>
        <v>Moderate</v>
      </c>
      <c r="O933" s="4" t="str">
        <f t="shared" si="87"/>
        <v>Accounting Risk</v>
      </c>
      <c r="P933" s="4" t="str">
        <f t="shared" si="88"/>
        <v>Moderate</v>
      </c>
      <c r="Q933" s="4" t="str">
        <f t="shared" si="89"/>
        <v>Weak Growth</v>
      </c>
    </row>
    <row r="934" spans="1:17" x14ac:dyDescent="0.35">
      <c r="A934" s="2" t="s">
        <v>944</v>
      </c>
      <c r="B934" s="2">
        <v>5</v>
      </c>
      <c r="C934" s="2">
        <v>-275365028.19999999</v>
      </c>
      <c r="D934" s="2">
        <v>0.2</v>
      </c>
      <c r="E934" s="2">
        <v>183580462.5</v>
      </c>
      <c r="F934" s="2">
        <v>481899339.30000001</v>
      </c>
      <c r="G934" s="2">
        <v>4</v>
      </c>
      <c r="H934" s="2">
        <v>4</v>
      </c>
      <c r="I934" s="2">
        <v>1</v>
      </c>
      <c r="J934" s="2">
        <v>3.4</v>
      </c>
      <c r="K934" s="2" t="s">
        <v>306</v>
      </c>
      <c r="L934" s="2" t="str">
        <f t="shared" si="84"/>
        <v>Loss Making</v>
      </c>
      <c r="M934" s="2" t="str">
        <f t="shared" si="85"/>
        <v>Stable Earnings</v>
      </c>
      <c r="N934" s="2" t="str">
        <f t="shared" si="86"/>
        <v>Moderate</v>
      </c>
      <c r="O934" s="4" t="str">
        <f t="shared" si="87"/>
        <v>Accounting Risk</v>
      </c>
      <c r="P934" s="4" t="str">
        <f t="shared" si="88"/>
        <v>Moderate</v>
      </c>
      <c r="Q934" s="4" t="str">
        <f t="shared" si="89"/>
        <v>Weak Growth</v>
      </c>
    </row>
    <row r="935" spans="1:17" x14ac:dyDescent="0.35">
      <c r="A935" s="2" t="s">
        <v>945</v>
      </c>
      <c r="B935" s="2">
        <v>5</v>
      </c>
      <c r="C935" s="2">
        <v>-150496567.30000001</v>
      </c>
      <c r="D935" s="2">
        <v>0.4</v>
      </c>
      <c r="E935" s="2">
        <v>251097452.40000001</v>
      </c>
      <c r="F935" s="2">
        <v>457234999</v>
      </c>
      <c r="G935" s="2">
        <v>4</v>
      </c>
      <c r="H935" s="2">
        <v>4</v>
      </c>
      <c r="I935" s="2">
        <v>1</v>
      </c>
      <c r="J935" s="2">
        <v>3.4</v>
      </c>
      <c r="K935" s="2" t="s">
        <v>306</v>
      </c>
      <c r="L935" s="2" t="str">
        <f t="shared" si="84"/>
        <v>Loss Making</v>
      </c>
      <c r="M935" s="2" t="str">
        <f t="shared" si="85"/>
        <v>Stable Earnings</v>
      </c>
      <c r="N935" s="2" t="str">
        <f t="shared" si="86"/>
        <v>Moderate</v>
      </c>
      <c r="O935" s="4" t="str">
        <f t="shared" si="87"/>
        <v>Accounting Risk</v>
      </c>
      <c r="P935" s="4" t="str">
        <f t="shared" si="88"/>
        <v>Moderate</v>
      </c>
      <c r="Q935" s="4" t="str">
        <f t="shared" si="89"/>
        <v>Weak Growth</v>
      </c>
    </row>
    <row r="936" spans="1:17" x14ac:dyDescent="0.35">
      <c r="A936" s="2" t="s">
        <v>946</v>
      </c>
      <c r="B936" s="2">
        <v>5</v>
      </c>
      <c r="C936" s="2">
        <v>-201521139.30000001</v>
      </c>
      <c r="D936" s="2">
        <v>0.4</v>
      </c>
      <c r="E936" s="2">
        <v>295769264.19999999</v>
      </c>
      <c r="F936" s="2">
        <v>447587023.10000002</v>
      </c>
      <c r="G936" s="2">
        <v>4</v>
      </c>
      <c r="H936" s="2">
        <v>4</v>
      </c>
      <c r="I936" s="2">
        <v>1</v>
      </c>
      <c r="J936" s="2">
        <v>3.4</v>
      </c>
      <c r="K936" s="2" t="s">
        <v>306</v>
      </c>
      <c r="L936" s="2" t="str">
        <f t="shared" si="84"/>
        <v>Loss Making</v>
      </c>
      <c r="M936" s="2" t="str">
        <f t="shared" si="85"/>
        <v>Stable Earnings</v>
      </c>
      <c r="N936" s="2" t="str">
        <f t="shared" si="86"/>
        <v>Moderate</v>
      </c>
      <c r="O936" s="4" t="str">
        <f t="shared" si="87"/>
        <v>Accounting Risk</v>
      </c>
      <c r="P936" s="4" t="str">
        <f t="shared" si="88"/>
        <v>Moderate</v>
      </c>
      <c r="Q936" s="4" t="str">
        <f t="shared" si="89"/>
        <v>Weak Growth</v>
      </c>
    </row>
    <row r="937" spans="1:17" x14ac:dyDescent="0.35">
      <c r="A937" s="2" t="s">
        <v>947</v>
      </c>
      <c r="B937" s="2">
        <v>5</v>
      </c>
      <c r="C937" s="2">
        <v>-68841014.180000007</v>
      </c>
      <c r="D937" s="2">
        <v>0.4</v>
      </c>
      <c r="E937" s="2">
        <v>186565267.5</v>
      </c>
      <c r="F937" s="2">
        <v>506597391.39999998</v>
      </c>
      <c r="G937" s="2">
        <v>4</v>
      </c>
      <c r="H937" s="2">
        <v>4</v>
      </c>
      <c r="I937" s="2">
        <v>1</v>
      </c>
      <c r="J937" s="2">
        <v>3.4</v>
      </c>
      <c r="K937" s="2" t="s">
        <v>306</v>
      </c>
      <c r="L937" s="2" t="str">
        <f t="shared" si="84"/>
        <v>Loss Making</v>
      </c>
      <c r="M937" s="2" t="str">
        <f t="shared" si="85"/>
        <v>Stable Earnings</v>
      </c>
      <c r="N937" s="2" t="str">
        <f t="shared" si="86"/>
        <v>Moderate</v>
      </c>
      <c r="O937" s="4" t="str">
        <f t="shared" si="87"/>
        <v>Accounting Risk</v>
      </c>
      <c r="P937" s="4" t="str">
        <f t="shared" si="88"/>
        <v>Moderate</v>
      </c>
      <c r="Q937" s="4" t="str">
        <f t="shared" si="89"/>
        <v>Weak Growth</v>
      </c>
    </row>
    <row r="938" spans="1:17" x14ac:dyDescent="0.35">
      <c r="A938" s="2" t="s">
        <v>948</v>
      </c>
      <c r="B938" s="2">
        <v>5</v>
      </c>
      <c r="C938" s="2">
        <v>-147846113.59999999</v>
      </c>
      <c r="D938" s="2">
        <v>0.2</v>
      </c>
      <c r="E938" s="2">
        <v>226595147.80000001</v>
      </c>
      <c r="F938" s="2">
        <v>526593484.30000001</v>
      </c>
      <c r="G938" s="2">
        <v>4</v>
      </c>
      <c r="H938" s="2">
        <v>4</v>
      </c>
      <c r="I938" s="2">
        <v>1</v>
      </c>
      <c r="J938" s="2">
        <v>3.4</v>
      </c>
      <c r="K938" s="2" t="s">
        <v>306</v>
      </c>
      <c r="L938" s="2" t="str">
        <f t="shared" si="84"/>
        <v>Loss Making</v>
      </c>
      <c r="M938" s="2" t="str">
        <f t="shared" si="85"/>
        <v>Stable Earnings</v>
      </c>
      <c r="N938" s="2" t="str">
        <f t="shared" si="86"/>
        <v>Moderate</v>
      </c>
      <c r="O938" s="4" t="str">
        <f t="shared" si="87"/>
        <v>Accounting Risk</v>
      </c>
      <c r="P938" s="4" t="str">
        <f t="shared" si="88"/>
        <v>Moderate</v>
      </c>
      <c r="Q938" s="4" t="str">
        <f t="shared" si="89"/>
        <v>Weak Growth</v>
      </c>
    </row>
    <row r="939" spans="1:17" x14ac:dyDescent="0.35">
      <c r="A939" s="2" t="s">
        <v>949</v>
      </c>
      <c r="B939" s="2">
        <v>5</v>
      </c>
      <c r="C939" s="2">
        <v>-94343862.079999998</v>
      </c>
      <c r="D939" s="2">
        <v>0.4</v>
      </c>
      <c r="E939" s="2">
        <v>253031237.80000001</v>
      </c>
      <c r="F939" s="2">
        <v>509128392.60000002</v>
      </c>
      <c r="G939" s="2">
        <v>4</v>
      </c>
      <c r="H939" s="2">
        <v>4</v>
      </c>
      <c r="I939" s="2">
        <v>1</v>
      </c>
      <c r="J939" s="2">
        <v>3.4</v>
      </c>
      <c r="K939" s="2" t="s">
        <v>306</v>
      </c>
      <c r="L939" s="2" t="str">
        <f t="shared" si="84"/>
        <v>Loss Making</v>
      </c>
      <c r="M939" s="2" t="str">
        <f t="shared" si="85"/>
        <v>Stable Earnings</v>
      </c>
      <c r="N939" s="2" t="str">
        <f t="shared" si="86"/>
        <v>Moderate</v>
      </c>
      <c r="O939" s="4" t="str">
        <f t="shared" si="87"/>
        <v>Accounting Risk</v>
      </c>
      <c r="P939" s="4" t="str">
        <f t="shared" si="88"/>
        <v>Moderate</v>
      </c>
      <c r="Q939" s="4" t="str">
        <f t="shared" si="89"/>
        <v>Weak Growth</v>
      </c>
    </row>
    <row r="940" spans="1:17" x14ac:dyDescent="0.35">
      <c r="A940" s="2" t="s">
        <v>950</v>
      </c>
      <c r="B940" s="2">
        <v>5</v>
      </c>
      <c r="C940" s="2">
        <v>-138481659</v>
      </c>
      <c r="D940" s="2">
        <v>0</v>
      </c>
      <c r="E940" s="2">
        <v>52005201.549999997</v>
      </c>
      <c r="F940" s="2">
        <v>140867842.40000001</v>
      </c>
      <c r="G940" s="2">
        <v>4</v>
      </c>
      <c r="H940" s="2">
        <v>3</v>
      </c>
      <c r="I940" s="2">
        <v>2</v>
      </c>
      <c r="J940" s="2">
        <v>3.3</v>
      </c>
      <c r="K940" s="2" t="s">
        <v>306</v>
      </c>
      <c r="L940" s="2" t="str">
        <f t="shared" si="84"/>
        <v>Loss Making</v>
      </c>
      <c r="M940" s="2" t="str">
        <f t="shared" si="85"/>
        <v>Stable Earnings</v>
      </c>
      <c r="N940" s="2" t="str">
        <f t="shared" si="86"/>
        <v>Moderate</v>
      </c>
      <c r="O940" s="4" t="str">
        <f t="shared" si="87"/>
        <v>Accounting Risk</v>
      </c>
      <c r="P940" s="4" t="str">
        <f t="shared" si="88"/>
        <v>Moderate</v>
      </c>
      <c r="Q940" s="4" t="str">
        <f t="shared" si="89"/>
        <v>Moderate Growth</v>
      </c>
    </row>
    <row r="941" spans="1:17" x14ac:dyDescent="0.35">
      <c r="A941" s="2" t="s">
        <v>951</v>
      </c>
      <c r="B941" s="2">
        <v>5</v>
      </c>
      <c r="C941" s="2">
        <v>8483312.7400000002</v>
      </c>
      <c r="D941" s="2">
        <v>0.4</v>
      </c>
      <c r="E941" s="2">
        <v>68102560.560000002</v>
      </c>
      <c r="F941" s="2">
        <v>140775214</v>
      </c>
      <c r="G941" s="2">
        <v>4</v>
      </c>
      <c r="H941" s="2">
        <v>3</v>
      </c>
      <c r="I941" s="2">
        <v>2</v>
      </c>
      <c r="J941" s="2">
        <v>3.3</v>
      </c>
      <c r="K941" s="2" t="s">
        <v>306</v>
      </c>
      <c r="L941" s="2" t="str">
        <f t="shared" si="84"/>
        <v>Profitable</v>
      </c>
      <c r="M941" s="2" t="str">
        <f t="shared" si="85"/>
        <v>Stable Earnings</v>
      </c>
      <c r="N941" s="2" t="str">
        <f t="shared" si="86"/>
        <v>Moderate</v>
      </c>
      <c r="O941" s="4" t="str">
        <f t="shared" si="87"/>
        <v>Accounting Risk</v>
      </c>
      <c r="P941" s="4" t="str">
        <f t="shared" si="88"/>
        <v>Moderate</v>
      </c>
      <c r="Q941" s="4" t="str">
        <f t="shared" si="89"/>
        <v>Moderate Growth</v>
      </c>
    </row>
    <row r="942" spans="1:17" x14ac:dyDescent="0.35">
      <c r="A942" s="2" t="s">
        <v>952</v>
      </c>
      <c r="B942" s="2">
        <v>5</v>
      </c>
      <c r="C942" s="2">
        <v>-40215409.539999999</v>
      </c>
      <c r="D942" s="2">
        <v>0.2</v>
      </c>
      <c r="E942" s="2">
        <v>72718222.400000006</v>
      </c>
      <c r="F942" s="2">
        <v>150660412.59999999</v>
      </c>
      <c r="G942" s="2">
        <v>4</v>
      </c>
      <c r="H942" s="2">
        <v>3</v>
      </c>
      <c r="I942" s="2">
        <v>2</v>
      </c>
      <c r="J942" s="2">
        <v>3.3</v>
      </c>
      <c r="K942" s="2" t="s">
        <v>306</v>
      </c>
      <c r="L942" s="2" t="str">
        <f t="shared" si="84"/>
        <v>Loss Making</v>
      </c>
      <c r="M942" s="2" t="str">
        <f t="shared" si="85"/>
        <v>Stable Earnings</v>
      </c>
      <c r="N942" s="2" t="str">
        <f t="shared" si="86"/>
        <v>Moderate</v>
      </c>
      <c r="O942" s="4" t="str">
        <f t="shared" si="87"/>
        <v>Accounting Risk</v>
      </c>
      <c r="P942" s="4" t="str">
        <f t="shared" si="88"/>
        <v>Moderate</v>
      </c>
      <c r="Q942" s="4" t="str">
        <f t="shared" si="89"/>
        <v>Moderate Growth</v>
      </c>
    </row>
    <row r="943" spans="1:17" x14ac:dyDescent="0.35">
      <c r="A943" s="2" t="s">
        <v>953</v>
      </c>
      <c r="B943" s="2">
        <v>5</v>
      </c>
      <c r="C943" s="2">
        <v>38546156.039999999</v>
      </c>
      <c r="D943" s="2">
        <v>0.4</v>
      </c>
      <c r="E943" s="2">
        <v>83402505.849999994</v>
      </c>
      <c r="F943" s="2">
        <v>144952627.59999999</v>
      </c>
      <c r="G943" s="2">
        <v>4</v>
      </c>
      <c r="H943" s="2">
        <v>3</v>
      </c>
      <c r="I943" s="2">
        <v>2</v>
      </c>
      <c r="J943" s="2">
        <v>3.3</v>
      </c>
      <c r="K943" s="2" t="s">
        <v>306</v>
      </c>
      <c r="L943" s="2" t="str">
        <f t="shared" si="84"/>
        <v>Profitable</v>
      </c>
      <c r="M943" s="2" t="str">
        <f t="shared" si="85"/>
        <v>Stable Earnings</v>
      </c>
      <c r="N943" s="2" t="str">
        <f t="shared" si="86"/>
        <v>Moderate</v>
      </c>
      <c r="O943" s="4" t="str">
        <f t="shared" si="87"/>
        <v>Accounting Risk</v>
      </c>
      <c r="P943" s="4" t="str">
        <f t="shared" si="88"/>
        <v>Moderate</v>
      </c>
      <c r="Q943" s="4" t="str">
        <f t="shared" si="89"/>
        <v>Moderate Growth</v>
      </c>
    </row>
    <row r="944" spans="1:17" x14ac:dyDescent="0.35">
      <c r="A944" s="2" t="s">
        <v>954</v>
      </c>
      <c r="B944" s="2">
        <v>5</v>
      </c>
      <c r="C944" s="2">
        <v>-43484340.880000003</v>
      </c>
      <c r="D944" s="2">
        <v>0.4</v>
      </c>
      <c r="E944" s="2">
        <v>86482256.030000001</v>
      </c>
      <c r="F944" s="2">
        <v>159495989.09999999</v>
      </c>
      <c r="G944" s="2">
        <v>4</v>
      </c>
      <c r="H944" s="2">
        <v>3</v>
      </c>
      <c r="I944" s="2">
        <v>2</v>
      </c>
      <c r="J944" s="2">
        <v>3.3</v>
      </c>
      <c r="K944" s="2" t="s">
        <v>306</v>
      </c>
      <c r="L944" s="2" t="str">
        <f t="shared" si="84"/>
        <v>Loss Making</v>
      </c>
      <c r="M944" s="2" t="str">
        <f t="shared" si="85"/>
        <v>Stable Earnings</v>
      </c>
      <c r="N944" s="2" t="str">
        <f t="shared" si="86"/>
        <v>Moderate</v>
      </c>
      <c r="O944" s="4" t="str">
        <f t="shared" si="87"/>
        <v>Accounting Risk</v>
      </c>
      <c r="P944" s="4" t="str">
        <f t="shared" si="88"/>
        <v>Moderate</v>
      </c>
      <c r="Q944" s="4" t="str">
        <f t="shared" si="89"/>
        <v>Moderate Growth</v>
      </c>
    </row>
    <row r="945" spans="1:17" x14ac:dyDescent="0.35">
      <c r="A945" s="2" t="s">
        <v>955</v>
      </c>
      <c r="B945" s="2">
        <v>5</v>
      </c>
      <c r="C945" s="2">
        <v>-41462293.600000001</v>
      </c>
      <c r="D945" s="2">
        <v>0.4</v>
      </c>
      <c r="E945" s="2">
        <v>73913712.319999993</v>
      </c>
      <c r="F945" s="2">
        <v>178159086.80000001</v>
      </c>
      <c r="G945" s="2">
        <v>4</v>
      </c>
      <c r="H945" s="2">
        <v>3</v>
      </c>
      <c r="I945" s="2">
        <v>2</v>
      </c>
      <c r="J945" s="2">
        <v>3.3</v>
      </c>
      <c r="K945" s="2" t="s">
        <v>306</v>
      </c>
      <c r="L945" s="2" t="str">
        <f t="shared" si="84"/>
        <v>Loss Making</v>
      </c>
      <c r="M945" s="2" t="str">
        <f t="shared" si="85"/>
        <v>Stable Earnings</v>
      </c>
      <c r="N945" s="2" t="str">
        <f t="shared" si="86"/>
        <v>Moderate</v>
      </c>
      <c r="O945" s="4" t="str">
        <f t="shared" si="87"/>
        <v>Accounting Risk</v>
      </c>
      <c r="P945" s="4" t="str">
        <f t="shared" si="88"/>
        <v>Moderate</v>
      </c>
      <c r="Q945" s="4" t="str">
        <f t="shared" si="89"/>
        <v>Moderate Growth</v>
      </c>
    </row>
    <row r="946" spans="1:17" x14ac:dyDescent="0.35">
      <c r="A946" s="2" t="s">
        <v>956</v>
      </c>
      <c r="B946" s="2">
        <v>5</v>
      </c>
      <c r="C946" s="2">
        <v>-57358812.219999999</v>
      </c>
      <c r="D946" s="2">
        <v>0.4</v>
      </c>
      <c r="E946" s="2">
        <v>83965444.969999999</v>
      </c>
      <c r="F946" s="2">
        <v>103846384.59999999</v>
      </c>
      <c r="G946" s="2">
        <v>4</v>
      </c>
      <c r="H946" s="2">
        <v>3</v>
      </c>
      <c r="I946" s="2">
        <v>2</v>
      </c>
      <c r="J946" s="2">
        <v>3.3</v>
      </c>
      <c r="K946" s="2" t="s">
        <v>306</v>
      </c>
      <c r="L946" s="2" t="str">
        <f t="shared" si="84"/>
        <v>Loss Making</v>
      </c>
      <c r="M946" s="2" t="str">
        <f t="shared" si="85"/>
        <v>Stable Earnings</v>
      </c>
      <c r="N946" s="2" t="str">
        <f t="shared" si="86"/>
        <v>Moderate</v>
      </c>
      <c r="O946" s="4" t="str">
        <f t="shared" si="87"/>
        <v>Accounting Risk</v>
      </c>
      <c r="P946" s="4" t="str">
        <f t="shared" si="88"/>
        <v>Moderate</v>
      </c>
      <c r="Q946" s="4" t="str">
        <f t="shared" si="89"/>
        <v>Moderate Growth</v>
      </c>
    </row>
    <row r="947" spans="1:17" x14ac:dyDescent="0.35">
      <c r="A947" s="2" t="s">
        <v>957</v>
      </c>
      <c r="B947" s="2">
        <v>5</v>
      </c>
      <c r="C947" s="2">
        <v>-12389569.279999999</v>
      </c>
      <c r="D947" s="2">
        <v>0.4</v>
      </c>
      <c r="E947" s="2">
        <v>76236717.430000007</v>
      </c>
      <c r="F947" s="2">
        <v>119649455.2</v>
      </c>
      <c r="G947" s="2">
        <v>4</v>
      </c>
      <c r="H947" s="2">
        <v>3</v>
      </c>
      <c r="I947" s="2">
        <v>2</v>
      </c>
      <c r="J947" s="2">
        <v>3.3</v>
      </c>
      <c r="K947" s="2" t="s">
        <v>306</v>
      </c>
      <c r="L947" s="2" t="str">
        <f t="shared" si="84"/>
        <v>Loss Making</v>
      </c>
      <c r="M947" s="2" t="str">
        <f t="shared" si="85"/>
        <v>Stable Earnings</v>
      </c>
      <c r="N947" s="2" t="str">
        <f t="shared" si="86"/>
        <v>Moderate</v>
      </c>
      <c r="O947" s="4" t="str">
        <f t="shared" si="87"/>
        <v>Accounting Risk</v>
      </c>
      <c r="P947" s="4" t="str">
        <f t="shared" si="88"/>
        <v>Moderate</v>
      </c>
      <c r="Q947" s="4" t="str">
        <f t="shared" si="89"/>
        <v>Moderate Growth</v>
      </c>
    </row>
    <row r="948" spans="1:17" x14ac:dyDescent="0.35">
      <c r="A948" s="2" t="s">
        <v>958</v>
      </c>
      <c r="B948" s="2">
        <v>5</v>
      </c>
      <c r="C948" s="2">
        <v>-23444221.199999999</v>
      </c>
      <c r="D948" s="2">
        <v>0.2</v>
      </c>
      <c r="E948" s="2">
        <v>57204264.859999999</v>
      </c>
      <c r="F948" s="2">
        <v>119244282.59999999</v>
      </c>
      <c r="G948" s="2">
        <v>4</v>
      </c>
      <c r="H948" s="2">
        <v>3</v>
      </c>
      <c r="I948" s="2">
        <v>2</v>
      </c>
      <c r="J948" s="2">
        <v>3.3</v>
      </c>
      <c r="K948" s="2" t="s">
        <v>306</v>
      </c>
      <c r="L948" s="2" t="str">
        <f t="shared" si="84"/>
        <v>Loss Making</v>
      </c>
      <c r="M948" s="2" t="str">
        <f t="shared" si="85"/>
        <v>Stable Earnings</v>
      </c>
      <c r="N948" s="2" t="str">
        <f t="shared" si="86"/>
        <v>Moderate</v>
      </c>
      <c r="O948" s="4" t="str">
        <f t="shared" si="87"/>
        <v>Accounting Risk</v>
      </c>
      <c r="P948" s="4" t="str">
        <f t="shared" si="88"/>
        <v>Moderate</v>
      </c>
      <c r="Q948" s="4" t="str">
        <f t="shared" si="89"/>
        <v>Moderate Growth</v>
      </c>
    </row>
    <row r="949" spans="1:17" x14ac:dyDescent="0.35">
      <c r="A949" s="2" t="s">
        <v>959</v>
      </c>
      <c r="B949" s="2">
        <v>5</v>
      </c>
      <c r="C949" s="2">
        <v>-26686602.18</v>
      </c>
      <c r="D949" s="2">
        <v>0.2</v>
      </c>
      <c r="E949" s="2">
        <v>55453386.479999997</v>
      </c>
      <c r="F949" s="2">
        <v>122350747.90000001</v>
      </c>
      <c r="G949" s="2">
        <v>4</v>
      </c>
      <c r="H949" s="2">
        <v>3</v>
      </c>
      <c r="I949" s="2">
        <v>2</v>
      </c>
      <c r="J949" s="2">
        <v>3.3</v>
      </c>
      <c r="K949" s="2" t="s">
        <v>306</v>
      </c>
      <c r="L949" s="2" t="str">
        <f t="shared" si="84"/>
        <v>Loss Making</v>
      </c>
      <c r="M949" s="2" t="str">
        <f t="shared" si="85"/>
        <v>Stable Earnings</v>
      </c>
      <c r="N949" s="2" t="str">
        <f t="shared" si="86"/>
        <v>Moderate</v>
      </c>
      <c r="O949" s="4" t="str">
        <f t="shared" si="87"/>
        <v>Accounting Risk</v>
      </c>
      <c r="P949" s="4" t="str">
        <f t="shared" si="88"/>
        <v>Moderate</v>
      </c>
      <c r="Q949" s="4" t="str">
        <f t="shared" si="89"/>
        <v>Moderate Growth</v>
      </c>
    </row>
    <row r="950" spans="1:17" x14ac:dyDescent="0.35">
      <c r="A950" s="2" t="s">
        <v>960</v>
      </c>
      <c r="B950" s="2">
        <v>5</v>
      </c>
      <c r="C950" s="2">
        <v>-57503998.340000004</v>
      </c>
      <c r="D950" s="2">
        <v>0.2</v>
      </c>
      <c r="E950" s="2">
        <v>73570569.959999993</v>
      </c>
      <c r="F950" s="2">
        <v>117893667.40000001</v>
      </c>
      <c r="G950" s="2">
        <v>4</v>
      </c>
      <c r="H950" s="2">
        <v>3</v>
      </c>
      <c r="I950" s="2">
        <v>2</v>
      </c>
      <c r="J950" s="2">
        <v>3.3</v>
      </c>
      <c r="K950" s="2" t="s">
        <v>306</v>
      </c>
      <c r="L950" s="2" t="str">
        <f t="shared" si="84"/>
        <v>Loss Making</v>
      </c>
      <c r="M950" s="2" t="str">
        <f t="shared" si="85"/>
        <v>Stable Earnings</v>
      </c>
      <c r="N950" s="2" t="str">
        <f t="shared" si="86"/>
        <v>Moderate</v>
      </c>
      <c r="O950" s="4" t="str">
        <f t="shared" si="87"/>
        <v>Accounting Risk</v>
      </c>
      <c r="P950" s="4" t="str">
        <f t="shared" si="88"/>
        <v>Moderate</v>
      </c>
      <c r="Q950" s="4" t="str">
        <f t="shared" si="89"/>
        <v>Moderate Growth</v>
      </c>
    </row>
    <row r="951" spans="1:17" x14ac:dyDescent="0.35">
      <c r="A951" s="2" t="s">
        <v>961</v>
      </c>
      <c r="B951" s="2">
        <v>5</v>
      </c>
      <c r="C951" s="2">
        <v>-79361823.260000005</v>
      </c>
      <c r="D951" s="2">
        <v>0.2</v>
      </c>
      <c r="E951" s="2">
        <v>54119392.469999999</v>
      </c>
      <c r="F951" s="2">
        <v>84879640.799999997</v>
      </c>
      <c r="G951" s="2">
        <v>4</v>
      </c>
      <c r="H951" s="2">
        <v>3</v>
      </c>
      <c r="I951" s="2">
        <v>2</v>
      </c>
      <c r="J951" s="2">
        <v>3.3</v>
      </c>
      <c r="K951" s="2" t="s">
        <v>306</v>
      </c>
      <c r="L951" s="2" t="str">
        <f t="shared" si="84"/>
        <v>Loss Making</v>
      </c>
      <c r="M951" s="2" t="str">
        <f t="shared" si="85"/>
        <v>Stable Earnings</v>
      </c>
      <c r="N951" s="2" t="str">
        <f t="shared" si="86"/>
        <v>Moderate</v>
      </c>
      <c r="O951" s="4" t="str">
        <f t="shared" si="87"/>
        <v>Accounting Risk</v>
      </c>
      <c r="P951" s="4" t="str">
        <f t="shared" si="88"/>
        <v>Moderate</v>
      </c>
      <c r="Q951" s="4" t="str">
        <f t="shared" si="89"/>
        <v>Moderate Growth</v>
      </c>
    </row>
    <row r="952" spans="1:17" x14ac:dyDescent="0.35">
      <c r="A952" s="2" t="s">
        <v>962</v>
      </c>
      <c r="B952" s="2">
        <v>5</v>
      </c>
      <c r="C952" s="2">
        <v>-34343402.159999996</v>
      </c>
      <c r="D952" s="2">
        <v>0.2</v>
      </c>
      <c r="E952" s="2">
        <v>60038049.25</v>
      </c>
      <c r="F952" s="2">
        <v>87472855.599999994</v>
      </c>
      <c r="G952" s="2">
        <v>4</v>
      </c>
      <c r="H952" s="2">
        <v>3</v>
      </c>
      <c r="I952" s="2">
        <v>2</v>
      </c>
      <c r="J952" s="2">
        <v>3.3</v>
      </c>
      <c r="K952" s="2" t="s">
        <v>306</v>
      </c>
      <c r="L952" s="2" t="str">
        <f t="shared" si="84"/>
        <v>Loss Making</v>
      </c>
      <c r="M952" s="2" t="str">
        <f t="shared" si="85"/>
        <v>Stable Earnings</v>
      </c>
      <c r="N952" s="2" t="str">
        <f t="shared" si="86"/>
        <v>Moderate</v>
      </c>
      <c r="O952" s="4" t="str">
        <f t="shared" si="87"/>
        <v>Accounting Risk</v>
      </c>
      <c r="P952" s="4" t="str">
        <f t="shared" si="88"/>
        <v>Moderate</v>
      </c>
      <c r="Q952" s="4" t="str">
        <f t="shared" si="89"/>
        <v>Moderate Growth</v>
      </c>
    </row>
    <row r="953" spans="1:17" x14ac:dyDescent="0.35">
      <c r="A953" s="2" t="s">
        <v>963</v>
      </c>
      <c r="B953" s="2">
        <v>5</v>
      </c>
      <c r="C953" s="2">
        <v>10426850.380000001</v>
      </c>
      <c r="D953" s="2">
        <v>0.4</v>
      </c>
      <c r="E953" s="2">
        <v>54727719.310000002</v>
      </c>
      <c r="F953" s="2">
        <v>93165045.5</v>
      </c>
      <c r="G953" s="2">
        <v>4</v>
      </c>
      <c r="H953" s="2">
        <v>3</v>
      </c>
      <c r="I953" s="2">
        <v>2</v>
      </c>
      <c r="J953" s="2">
        <v>3.3</v>
      </c>
      <c r="K953" s="2" t="s">
        <v>306</v>
      </c>
      <c r="L953" s="2" t="str">
        <f t="shared" si="84"/>
        <v>Profitable</v>
      </c>
      <c r="M953" s="2" t="str">
        <f t="shared" si="85"/>
        <v>Stable Earnings</v>
      </c>
      <c r="N953" s="2" t="str">
        <f t="shared" si="86"/>
        <v>Moderate</v>
      </c>
      <c r="O953" s="4" t="str">
        <f t="shared" si="87"/>
        <v>Accounting Risk</v>
      </c>
      <c r="P953" s="4" t="str">
        <f t="shared" si="88"/>
        <v>Moderate</v>
      </c>
      <c r="Q953" s="4" t="str">
        <f t="shared" si="89"/>
        <v>Moderate Growth</v>
      </c>
    </row>
    <row r="954" spans="1:17" x14ac:dyDescent="0.35">
      <c r="A954" s="2" t="s">
        <v>964</v>
      </c>
      <c r="B954" s="2">
        <v>5</v>
      </c>
      <c r="C954" s="2">
        <v>-35588606.060000002</v>
      </c>
      <c r="D954" s="2">
        <v>0.4</v>
      </c>
      <c r="E954" s="2">
        <v>57361998.560000002</v>
      </c>
      <c r="F954" s="2">
        <v>75038197.099999994</v>
      </c>
      <c r="G954" s="2">
        <v>4</v>
      </c>
      <c r="H954" s="2">
        <v>3</v>
      </c>
      <c r="I954" s="2">
        <v>2</v>
      </c>
      <c r="J954" s="2">
        <v>3.3</v>
      </c>
      <c r="K954" s="2" t="s">
        <v>306</v>
      </c>
      <c r="L954" s="2" t="str">
        <f t="shared" si="84"/>
        <v>Loss Making</v>
      </c>
      <c r="M954" s="2" t="str">
        <f t="shared" si="85"/>
        <v>Stable Earnings</v>
      </c>
      <c r="N954" s="2" t="str">
        <f t="shared" si="86"/>
        <v>Moderate</v>
      </c>
      <c r="O954" s="4" t="str">
        <f t="shared" si="87"/>
        <v>Accounting Risk</v>
      </c>
      <c r="P954" s="4" t="str">
        <f t="shared" si="88"/>
        <v>Moderate</v>
      </c>
      <c r="Q954" s="4" t="str">
        <f t="shared" si="89"/>
        <v>Moderate Growth</v>
      </c>
    </row>
    <row r="955" spans="1:17" x14ac:dyDescent="0.35">
      <c r="A955" s="2" t="s">
        <v>965</v>
      </c>
      <c r="B955" s="2">
        <v>5</v>
      </c>
      <c r="C955" s="2">
        <v>-58535188.299999997</v>
      </c>
      <c r="D955" s="2">
        <v>0</v>
      </c>
      <c r="E955" s="2">
        <v>52759309.780000001</v>
      </c>
      <c r="F955" s="2">
        <v>77324026.200000003</v>
      </c>
      <c r="G955" s="2">
        <v>4</v>
      </c>
      <c r="H955" s="2">
        <v>3</v>
      </c>
      <c r="I955" s="2">
        <v>2</v>
      </c>
      <c r="J955" s="2">
        <v>3.3</v>
      </c>
      <c r="K955" s="2" t="s">
        <v>306</v>
      </c>
      <c r="L955" s="2" t="str">
        <f t="shared" si="84"/>
        <v>Loss Making</v>
      </c>
      <c r="M955" s="2" t="str">
        <f t="shared" si="85"/>
        <v>Stable Earnings</v>
      </c>
      <c r="N955" s="2" t="str">
        <f t="shared" si="86"/>
        <v>Moderate</v>
      </c>
      <c r="O955" s="4" t="str">
        <f t="shared" si="87"/>
        <v>Accounting Risk</v>
      </c>
      <c r="P955" s="4" t="str">
        <f t="shared" si="88"/>
        <v>Moderate</v>
      </c>
      <c r="Q955" s="4" t="str">
        <f t="shared" si="89"/>
        <v>Moderate Growth</v>
      </c>
    </row>
    <row r="956" spans="1:17" x14ac:dyDescent="0.35">
      <c r="A956" s="2" t="s">
        <v>966</v>
      </c>
      <c r="B956" s="2">
        <v>5</v>
      </c>
      <c r="C956" s="2">
        <v>-43049978.079999998</v>
      </c>
      <c r="D956" s="2">
        <v>0.2</v>
      </c>
      <c r="E956" s="2">
        <v>53351670.740000002</v>
      </c>
      <c r="F956" s="2">
        <v>81682906</v>
      </c>
      <c r="G956" s="2">
        <v>4</v>
      </c>
      <c r="H956" s="2">
        <v>3</v>
      </c>
      <c r="I956" s="2">
        <v>2</v>
      </c>
      <c r="J956" s="2">
        <v>3.3</v>
      </c>
      <c r="K956" s="2" t="s">
        <v>306</v>
      </c>
      <c r="L956" s="2" t="str">
        <f t="shared" si="84"/>
        <v>Loss Making</v>
      </c>
      <c r="M956" s="2" t="str">
        <f t="shared" si="85"/>
        <v>Stable Earnings</v>
      </c>
      <c r="N956" s="2" t="str">
        <f t="shared" si="86"/>
        <v>Moderate</v>
      </c>
      <c r="O956" s="4" t="str">
        <f t="shared" si="87"/>
        <v>Accounting Risk</v>
      </c>
      <c r="P956" s="4" t="str">
        <f t="shared" si="88"/>
        <v>Moderate</v>
      </c>
      <c r="Q956" s="4" t="str">
        <f t="shared" si="89"/>
        <v>Moderate Growth</v>
      </c>
    </row>
    <row r="957" spans="1:17" x14ac:dyDescent="0.35">
      <c r="A957" s="2" t="s">
        <v>967</v>
      </c>
      <c r="B957" s="2">
        <v>5</v>
      </c>
      <c r="C957" s="2">
        <v>-27554347.98</v>
      </c>
      <c r="D957" s="2">
        <v>0.4</v>
      </c>
      <c r="E957" s="2">
        <v>92791671.670000002</v>
      </c>
      <c r="F957" s="2">
        <v>79275782.900000006</v>
      </c>
      <c r="G957" s="2">
        <v>4</v>
      </c>
      <c r="H957" s="2">
        <v>3</v>
      </c>
      <c r="I957" s="2">
        <v>2</v>
      </c>
      <c r="J957" s="2">
        <v>3.3</v>
      </c>
      <c r="K957" s="2" t="s">
        <v>306</v>
      </c>
      <c r="L957" s="2" t="str">
        <f t="shared" si="84"/>
        <v>Loss Making</v>
      </c>
      <c r="M957" s="2" t="str">
        <f t="shared" si="85"/>
        <v>Stable Earnings</v>
      </c>
      <c r="N957" s="2" t="str">
        <f t="shared" si="86"/>
        <v>Moderate</v>
      </c>
      <c r="O957" s="4" t="str">
        <f t="shared" si="87"/>
        <v>Accounting Risk</v>
      </c>
      <c r="P957" s="4" t="str">
        <f t="shared" si="88"/>
        <v>Moderate</v>
      </c>
      <c r="Q957" s="4" t="str">
        <f t="shared" si="89"/>
        <v>Moderate Growth</v>
      </c>
    </row>
    <row r="958" spans="1:17" x14ac:dyDescent="0.35">
      <c r="A958" s="2" t="s">
        <v>968</v>
      </c>
      <c r="B958" s="2">
        <v>5</v>
      </c>
      <c r="C958" s="2">
        <v>-78617967.879999995</v>
      </c>
      <c r="D958" s="2">
        <v>0.2</v>
      </c>
      <c r="E958" s="2">
        <v>104059804.09999999</v>
      </c>
      <c r="F958" s="2">
        <v>66928685.399999999</v>
      </c>
      <c r="G958" s="2">
        <v>4</v>
      </c>
      <c r="H958" s="2">
        <v>3</v>
      </c>
      <c r="I958" s="2">
        <v>2</v>
      </c>
      <c r="J958" s="2">
        <v>3.3</v>
      </c>
      <c r="K958" s="2" t="s">
        <v>306</v>
      </c>
      <c r="L958" s="2" t="str">
        <f t="shared" si="84"/>
        <v>Loss Making</v>
      </c>
      <c r="M958" s="2" t="str">
        <f t="shared" si="85"/>
        <v>Stable Earnings</v>
      </c>
      <c r="N958" s="2" t="str">
        <f t="shared" si="86"/>
        <v>Moderate</v>
      </c>
      <c r="O958" s="4" t="str">
        <f t="shared" si="87"/>
        <v>Accounting Risk</v>
      </c>
      <c r="P958" s="4" t="str">
        <f t="shared" si="88"/>
        <v>Moderate</v>
      </c>
      <c r="Q958" s="4" t="str">
        <f t="shared" si="89"/>
        <v>Moderate Growth</v>
      </c>
    </row>
    <row r="959" spans="1:17" x14ac:dyDescent="0.35">
      <c r="A959" s="2" t="s">
        <v>969</v>
      </c>
      <c r="B959" s="2">
        <v>5</v>
      </c>
      <c r="C959" s="2">
        <v>-28509387.68</v>
      </c>
      <c r="D959" s="2">
        <v>0.2</v>
      </c>
      <c r="E959" s="2">
        <v>50849191.579999998</v>
      </c>
      <c r="F959" s="2">
        <v>62065464.5</v>
      </c>
      <c r="G959" s="2">
        <v>4</v>
      </c>
      <c r="H959" s="2">
        <v>3</v>
      </c>
      <c r="I959" s="2">
        <v>2</v>
      </c>
      <c r="J959" s="2">
        <v>3.3</v>
      </c>
      <c r="K959" s="2" t="s">
        <v>306</v>
      </c>
      <c r="L959" s="2" t="str">
        <f t="shared" si="84"/>
        <v>Loss Making</v>
      </c>
      <c r="M959" s="2" t="str">
        <f t="shared" si="85"/>
        <v>Stable Earnings</v>
      </c>
      <c r="N959" s="2" t="str">
        <f t="shared" si="86"/>
        <v>Moderate</v>
      </c>
      <c r="O959" s="4" t="str">
        <f t="shared" si="87"/>
        <v>Accounting Risk</v>
      </c>
      <c r="P959" s="4" t="str">
        <f t="shared" si="88"/>
        <v>Moderate</v>
      </c>
      <c r="Q959" s="4" t="str">
        <f t="shared" si="89"/>
        <v>Moderate Growth</v>
      </c>
    </row>
    <row r="960" spans="1:17" x14ac:dyDescent="0.35">
      <c r="A960" s="2" t="s">
        <v>970</v>
      </c>
      <c r="B960" s="2">
        <v>5</v>
      </c>
      <c r="C960" s="2">
        <v>-25573609.280000001</v>
      </c>
      <c r="D960" s="2">
        <v>0.2</v>
      </c>
      <c r="E960" s="2">
        <v>48141384.409999996</v>
      </c>
      <c r="F960" s="2">
        <v>58721864</v>
      </c>
      <c r="G960" s="2">
        <v>4</v>
      </c>
      <c r="H960" s="2">
        <v>3</v>
      </c>
      <c r="I960" s="2">
        <v>2</v>
      </c>
      <c r="J960" s="2">
        <v>3.3</v>
      </c>
      <c r="K960" s="2" t="s">
        <v>306</v>
      </c>
      <c r="L960" s="2" t="str">
        <f t="shared" si="84"/>
        <v>Loss Making</v>
      </c>
      <c r="M960" s="2" t="str">
        <f t="shared" si="85"/>
        <v>Stable Earnings</v>
      </c>
      <c r="N960" s="2" t="str">
        <f t="shared" si="86"/>
        <v>Moderate</v>
      </c>
      <c r="O960" s="4" t="str">
        <f t="shared" si="87"/>
        <v>Accounting Risk</v>
      </c>
      <c r="P960" s="4" t="str">
        <f t="shared" si="88"/>
        <v>Moderate</v>
      </c>
      <c r="Q960" s="4" t="str">
        <f t="shared" si="89"/>
        <v>Moderate Growth</v>
      </c>
    </row>
    <row r="961" spans="1:17" x14ac:dyDescent="0.35">
      <c r="A961" s="2" t="s">
        <v>971</v>
      </c>
      <c r="B961" s="2">
        <v>5</v>
      </c>
      <c r="C961" s="2">
        <v>-41726804.939999998</v>
      </c>
      <c r="D961" s="2">
        <v>0.2</v>
      </c>
      <c r="E961" s="2">
        <v>56031539.799999997</v>
      </c>
      <c r="F961" s="2">
        <v>58251787.5</v>
      </c>
      <c r="G961" s="2">
        <v>4</v>
      </c>
      <c r="H961" s="2">
        <v>3</v>
      </c>
      <c r="I961" s="2">
        <v>2</v>
      </c>
      <c r="J961" s="2">
        <v>3.3</v>
      </c>
      <c r="K961" s="2" t="s">
        <v>306</v>
      </c>
      <c r="L961" s="2" t="str">
        <f t="shared" si="84"/>
        <v>Loss Making</v>
      </c>
      <c r="M961" s="2" t="str">
        <f t="shared" si="85"/>
        <v>Stable Earnings</v>
      </c>
      <c r="N961" s="2" t="str">
        <f t="shared" si="86"/>
        <v>Moderate</v>
      </c>
      <c r="O961" s="4" t="str">
        <f t="shared" si="87"/>
        <v>Accounting Risk</v>
      </c>
      <c r="P961" s="4" t="str">
        <f t="shared" si="88"/>
        <v>Moderate</v>
      </c>
      <c r="Q961" s="4" t="str">
        <f t="shared" si="89"/>
        <v>Moderate Growth</v>
      </c>
    </row>
    <row r="962" spans="1:17" x14ac:dyDescent="0.35">
      <c r="A962" s="2" t="s">
        <v>972</v>
      </c>
      <c r="B962" s="2">
        <v>5</v>
      </c>
      <c r="C962" s="2">
        <v>-674471.28</v>
      </c>
      <c r="D962" s="2">
        <v>0.4</v>
      </c>
      <c r="E962" s="2">
        <v>72867487.870000005</v>
      </c>
      <c r="F962" s="2">
        <v>45784819.899999999</v>
      </c>
      <c r="G962" s="2">
        <v>4</v>
      </c>
      <c r="H962" s="2">
        <v>3</v>
      </c>
      <c r="I962" s="2">
        <v>2</v>
      </c>
      <c r="J962" s="2">
        <v>3.3</v>
      </c>
      <c r="K962" s="2" t="s">
        <v>306</v>
      </c>
      <c r="L962" s="2" t="str">
        <f t="shared" ref="L962:L1025" si="90">IF(C962&gt;0,"Profitable","Loss Making")</f>
        <v>Loss Making</v>
      </c>
      <c r="M962" s="2" t="str">
        <f t="shared" ref="M962:M1025" si="91">IF(C962&gt;500000000,"High Volatility","Stable Earnings")</f>
        <v>Stable Earnings</v>
      </c>
      <c r="N962" s="2" t="str">
        <f t="shared" ref="N962:N1025" si="92">IF(G962&gt;=7,"High Quality",IF(G962&gt;=4,"Moderate","Low Quality"))</f>
        <v>Moderate</v>
      </c>
      <c r="O962" s="4" t="str">
        <f t="shared" ref="O962:O1025" si="93">IF(AND(F962&gt;0,D962&gt;0.6),"Operational Growth","Accounting Risk")</f>
        <v>Accounting Risk</v>
      </c>
      <c r="P962" s="4" t="str">
        <f t="shared" ref="P962:P1025" si="94">IF(G962&gt;=7,"High Quality", IF(G962&gt;=4,"Moderate","Low Quality"))</f>
        <v>Moderate</v>
      </c>
      <c r="Q962" s="4" t="str">
        <f t="shared" ref="Q962:Q1025" si="95">IF(I962&gt;=4,"Strong Long-Term Growth",IF(I962&gt;=2,"Moderate Growth","Weak Growth"))</f>
        <v>Moderate Growth</v>
      </c>
    </row>
    <row r="963" spans="1:17" x14ac:dyDescent="0.35">
      <c r="A963" s="2" t="s">
        <v>973</v>
      </c>
      <c r="B963" s="2">
        <v>5</v>
      </c>
      <c r="C963" s="2">
        <v>-13300979.720000001</v>
      </c>
      <c r="D963" s="2">
        <v>0.2</v>
      </c>
      <c r="E963" s="2">
        <v>47722039.299999997</v>
      </c>
      <c r="F963" s="2">
        <v>48812626.100000001</v>
      </c>
      <c r="G963" s="2">
        <v>4</v>
      </c>
      <c r="H963" s="2">
        <v>3</v>
      </c>
      <c r="I963" s="2">
        <v>2</v>
      </c>
      <c r="J963" s="2">
        <v>3.3</v>
      </c>
      <c r="K963" s="2" t="s">
        <v>306</v>
      </c>
      <c r="L963" s="2" t="str">
        <f t="shared" si="90"/>
        <v>Loss Making</v>
      </c>
      <c r="M963" s="2" t="str">
        <f t="shared" si="91"/>
        <v>Stable Earnings</v>
      </c>
      <c r="N963" s="2" t="str">
        <f t="shared" si="92"/>
        <v>Moderate</v>
      </c>
      <c r="O963" s="4" t="str">
        <f t="shared" si="93"/>
        <v>Accounting Risk</v>
      </c>
      <c r="P963" s="4" t="str">
        <f t="shared" si="94"/>
        <v>Moderate</v>
      </c>
      <c r="Q963" s="4" t="str">
        <f t="shared" si="95"/>
        <v>Moderate Growth</v>
      </c>
    </row>
    <row r="964" spans="1:17" x14ac:dyDescent="0.35">
      <c r="A964" s="2" t="s">
        <v>974</v>
      </c>
      <c r="B964" s="2">
        <v>5</v>
      </c>
      <c r="C964" s="2">
        <v>-30001887.079999998</v>
      </c>
      <c r="D964" s="2">
        <v>0.8</v>
      </c>
      <c r="E964" s="2">
        <v>224615989.40000001</v>
      </c>
      <c r="F964" s="2">
        <v>23208096.300000001</v>
      </c>
      <c r="G964" s="2">
        <v>3</v>
      </c>
      <c r="H964" s="2">
        <v>4</v>
      </c>
      <c r="I964" s="2">
        <v>3</v>
      </c>
      <c r="J964" s="2">
        <v>3.3</v>
      </c>
      <c r="K964" s="2" t="s">
        <v>306</v>
      </c>
      <c r="L964" s="2" t="str">
        <f t="shared" si="90"/>
        <v>Loss Making</v>
      </c>
      <c r="M964" s="2" t="str">
        <f t="shared" si="91"/>
        <v>Stable Earnings</v>
      </c>
      <c r="N964" s="2" t="str">
        <f t="shared" si="92"/>
        <v>Low Quality</v>
      </c>
      <c r="O964" s="4" t="str">
        <f t="shared" si="93"/>
        <v>Operational Growth</v>
      </c>
      <c r="P964" s="4" t="str">
        <f t="shared" si="94"/>
        <v>Low Quality</v>
      </c>
      <c r="Q964" s="4" t="str">
        <f t="shared" si="95"/>
        <v>Moderate Growth</v>
      </c>
    </row>
    <row r="965" spans="1:17" x14ac:dyDescent="0.35">
      <c r="A965" s="2" t="s">
        <v>975</v>
      </c>
      <c r="B965" s="2">
        <v>5</v>
      </c>
      <c r="C965" s="2">
        <v>107848195.8</v>
      </c>
      <c r="D965" s="2">
        <v>0.8</v>
      </c>
      <c r="E965" s="2">
        <v>167066800.5</v>
      </c>
      <c r="F965" s="2">
        <v>22954260.800000001</v>
      </c>
      <c r="G965" s="2">
        <v>3</v>
      </c>
      <c r="H965" s="2">
        <v>4</v>
      </c>
      <c r="I965" s="2">
        <v>3</v>
      </c>
      <c r="J965" s="2">
        <v>3.3</v>
      </c>
      <c r="K965" s="2" t="s">
        <v>306</v>
      </c>
      <c r="L965" s="2" t="str">
        <f t="shared" si="90"/>
        <v>Profitable</v>
      </c>
      <c r="M965" s="2" t="str">
        <f t="shared" si="91"/>
        <v>Stable Earnings</v>
      </c>
      <c r="N965" s="2" t="str">
        <f t="shared" si="92"/>
        <v>Low Quality</v>
      </c>
      <c r="O965" s="4" t="str">
        <f t="shared" si="93"/>
        <v>Operational Growth</v>
      </c>
      <c r="P965" s="4" t="str">
        <f t="shared" si="94"/>
        <v>Low Quality</v>
      </c>
      <c r="Q965" s="4" t="str">
        <f t="shared" si="95"/>
        <v>Moderate Growth</v>
      </c>
    </row>
    <row r="966" spans="1:17" x14ac:dyDescent="0.35">
      <c r="A966" s="2" t="s">
        <v>976</v>
      </c>
      <c r="B966" s="2">
        <v>5</v>
      </c>
      <c r="C966" s="2">
        <v>-56716493.560000002</v>
      </c>
      <c r="D966" s="2">
        <v>0.6</v>
      </c>
      <c r="E966" s="2">
        <v>227950912.59999999</v>
      </c>
      <c r="F966" s="2">
        <v>25055080.399999999</v>
      </c>
      <c r="G966" s="2">
        <v>3</v>
      </c>
      <c r="H966" s="2">
        <v>4</v>
      </c>
      <c r="I966" s="2">
        <v>3</v>
      </c>
      <c r="J966" s="2">
        <v>3.3</v>
      </c>
      <c r="K966" s="2" t="s">
        <v>306</v>
      </c>
      <c r="L966" s="2" t="str">
        <f t="shared" si="90"/>
        <v>Loss Making</v>
      </c>
      <c r="M966" s="2" t="str">
        <f t="shared" si="91"/>
        <v>Stable Earnings</v>
      </c>
      <c r="N966" s="2" t="str">
        <f t="shared" si="92"/>
        <v>Low Quality</v>
      </c>
      <c r="O966" s="4" t="str">
        <f t="shared" si="93"/>
        <v>Accounting Risk</v>
      </c>
      <c r="P966" s="4" t="str">
        <f t="shared" si="94"/>
        <v>Low Quality</v>
      </c>
      <c r="Q966" s="4" t="str">
        <f t="shared" si="95"/>
        <v>Moderate Growth</v>
      </c>
    </row>
    <row r="967" spans="1:17" x14ac:dyDescent="0.35">
      <c r="A967" s="2" t="s">
        <v>977</v>
      </c>
      <c r="B967" s="2">
        <v>5</v>
      </c>
      <c r="C967" s="2">
        <v>-48953865.579999998</v>
      </c>
      <c r="D967" s="2">
        <v>0.2</v>
      </c>
      <c r="E967" s="2">
        <v>55332188.57</v>
      </c>
      <c r="F967" s="2">
        <v>30621113.899999999</v>
      </c>
      <c r="G967" s="2">
        <v>4</v>
      </c>
      <c r="H967" s="2">
        <v>3</v>
      </c>
      <c r="I967" s="2">
        <v>2</v>
      </c>
      <c r="J967" s="2">
        <v>3.3</v>
      </c>
      <c r="K967" s="2" t="s">
        <v>306</v>
      </c>
      <c r="L967" s="2" t="str">
        <f t="shared" si="90"/>
        <v>Loss Making</v>
      </c>
      <c r="M967" s="2" t="str">
        <f t="shared" si="91"/>
        <v>Stable Earnings</v>
      </c>
      <c r="N967" s="2" t="str">
        <f t="shared" si="92"/>
        <v>Moderate</v>
      </c>
      <c r="O967" s="4" t="str">
        <f t="shared" si="93"/>
        <v>Accounting Risk</v>
      </c>
      <c r="P967" s="4" t="str">
        <f t="shared" si="94"/>
        <v>Moderate</v>
      </c>
      <c r="Q967" s="4" t="str">
        <f t="shared" si="95"/>
        <v>Moderate Growth</v>
      </c>
    </row>
    <row r="968" spans="1:17" x14ac:dyDescent="0.35">
      <c r="A968" s="2" t="s">
        <v>978</v>
      </c>
      <c r="B968" s="2">
        <v>5</v>
      </c>
      <c r="C968" s="2">
        <v>104275040.7</v>
      </c>
      <c r="D968" s="2">
        <v>0.8</v>
      </c>
      <c r="E968" s="2">
        <v>197482869.59999999</v>
      </c>
      <c r="F968" s="2">
        <v>10658547.9</v>
      </c>
      <c r="G968" s="2">
        <v>3</v>
      </c>
      <c r="H968" s="2">
        <v>4</v>
      </c>
      <c r="I968" s="2">
        <v>3</v>
      </c>
      <c r="J968" s="2">
        <v>3.3</v>
      </c>
      <c r="K968" s="2" t="s">
        <v>306</v>
      </c>
      <c r="L968" s="2" t="str">
        <f t="shared" si="90"/>
        <v>Profitable</v>
      </c>
      <c r="M968" s="2" t="str">
        <f t="shared" si="91"/>
        <v>Stable Earnings</v>
      </c>
      <c r="N968" s="2" t="str">
        <f t="shared" si="92"/>
        <v>Low Quality</v>
      </c>
      <c r="O968" s="4" t="str">
        <f t="shared" si="93"/>
        <v>Operational Growth</v>
      </c>
      <c r="P968" s="4" t="str">
        <f t="shared" si="94"/>
        <v>Low Quality</v>
      </c>
      <c r="Q968" s="4" t="str">
        <f t="shared" si="95"/>
        <v>Moderate Growth</v>
      </c>
    </row>
    <row r="969" spans="1:17" x14ac:dyDescent="0.35">
      <c r="A969" s="2" t="s">
        <v>979</v>
      </c>
      <c r="B969" s="2">
        <v>5</v>
      </c>
      <c r="C969" s="2">
        <v>13453343284</v>
      </c>
      <c r="D969" s="2">
        <v>1</v>
      </c>
      <c r="E969" s="2">
        <v>1639286694</v>
      </c>
      <c r="F969" s="2">
        <v>-35052393</v>
      </c>
      <c r="G969" s="2">
        <v>2</v>
      </c>
      <c r="H969" s="2">
        <v>5</v>
      </c>
      <c r="I969" s="2">
        <v>4</v>
      </c>
      <c r="J969" s="2">
        <v>3.3</v>
      </c>
      <c r="K969" s="2" t="s">
        <v>306</v>
      </c>
      <c r="L969" s="2" t="str">
        <f t="shared" si="90"/>
        <v>Profitable</v>
      </c>
      <c r="M969" s="2" t="str">
        <f t="shared" si="91"/>
        <v>High Volatility</v>
      </c>
      <c r="N969" s="2" t="str">
        <f t="shared" si="92"/>
        <v>Low Quality</v>
      </c>
      <c r="O969" s="4" t="str">
        <f t="shared" si="93"/>
        <v>Accounting Risk</v>
      </c>
      <c r="P969" s="4" t="str">
        <f t="shared" si="94"/>
        <v>Low Quality</v>
      </c>
      <c r="Q969" s="4" t="str">
        <f t="shared" si="95"/>
        <v>Strong Long-Term Growth</v>
      </c>
    </row>
    <row r="970" spans="1:17" x14ac:dyDescent="0.35">
      <c r="A970" s="2" t="s">
        <v>980</v>
      </c>
      <c r="B970" s="2">
        <v>5</v>
      </c>
      <c r="C970" s="2">
        <v>-11215218.640000001</v>
      </c>
      <c r="D970" s="2">
        <v>0.8</v>
      </c>
      <c r="E970" s="2">
        <v>752947607.89999998</v>
      </c>
      <c r="F970" s="2">
        <v>-6035877</v>
      </c>
      <c r="G970" s="2">
        <v>2</v>
      </c>
      <c r="H970" s="2">
        <v>5</v>
      </c>
      <c r="I970" s="2">
        <v>4</v>
      </c>
      <c r="J970" s="2">
        <v>3.3</v>
      </c>
      <c r="K970" s="2" t="s">
        <v>306</v>
      </c>
      <c r="L970" s="2" t="str">
        <f t="shared" si="90"/>
        <v>Loss Making</v>
      </c>
      <c r="M970" s="2" t="str">
        <f t="shared" si="91"/>
        <v>Stable Earnings</v>
      </c>
      <c r="N970" s="2" t="str">
        <f t="shared" si="92"/>
        <v>Low Quality</v>
      </c>
      <c r="O970" s="4" t="str">
        <f t="shared" si="93"/>
        <v>Accounting Risk</v>
      </c>
      <c r="P970" s="4" t="str">
        <f t="shared" si="94"/>
        <v>Low Quality</v>
      </c>
      <c r="Q970" s="4" t="str">
        <f t="shared" si="95"/>
        <v>Strong Long-Term Growth</v>
      </c>
    </row>
    <row r="971" spans="1:17" x14ac:dyDescent="0.35">
      <c r="A971" s="2" t="s">
        <v>981</v>
      </c>
      <c r="B971" s="2">
        <v>5</v>
      </c>
      <c r="C971" s="2">
        <v>139576723.80000001</v>
      </c>
      <c r="D971" s="2">
        <v>0.8</v>
      </c>
      <c r="E971" s="2">
        <v>223325324.40000001</v>
      </c>
      <c r="F971" s="2">
        <v>-4315718.4000000004</v>
      </c>
      <c r="G971" s="2">
        <v>3</v>
      </c>
      <c r="H971" s="2">
        <v>4</v>
      </c>
      <c r="I971" s="2">
        <v>3</v>
      </c>
      <c r="J971" s="2">
        <v>3.3</v>
      </c>
      <c r="K971" s="2" t="s">
        <v>306</v>
      </c>
      <c r="L971" s="2" t="str">
        <f t="shared" si="90"/>
        <v>Profitable</v>
      </c>
      <c r="M971" s="2" t="str">
        <f t="shared" si="91"/>
        <v>Stable Earnings</v>
      </c>
      <c r="N971" s="2" t="str">
        <f t="shared" si="92"/>
        <v>Low Quality</v>
      </c>
      <c r="O971" s="4" t="str">
        <f t="shared" si="93"/>
        <v>Accounting Risk</v>
      </c>
      <c r="P971" s="4" t="str">
        <f t="shared" si="94"/>
        <v>Low Quality</v>
      </c>
      <c r="Q971" s="4" t="str">
        <f t="shared" si="95"/>
        <v>Moderate Growth</v>
      </c>
    </row>
    <row r="972" spans="1:17" x14ac:dyDescent="0.35">
      <c r="A972" s="2" t="s">
        <v>982</v>
      </c>
      <c r="B972" s="2">
        <v>5</v>
      </c>
      <c r="C972" s="2">
        <v>460235081.5</v>
      </c>
      <c r="D972" s="2">
        <v>0.8</v>
      </c>
      <c r="E972" s="2">
        <v>977438347.10000002</v>
      </c>
      <c r="F972" s="2">
        <v>-53358081.600000001</v>
      </c>
      <c r="G972" s="2">
        <v>2</v>
      </c>
      <c r="H972" s="2">
        <v>5</v>
      </c>
      <c r="I972" s="2">
        <v>4</v>
      </c>
      <c r="J972" s="2">
        <v>3.3</v>
      </c>
      <c r="K972" s="2" t="s">
        <v>306</v>
      </c>
      <c r="L972" s="2" t="str">
        <f t="shared" si="90"/>
        <v>Profitable</v>
      </c>
      <c r="M972" s="2" t="str">
        <f t="shared" si="91"/>
        <v>Stable Earnings</v>
      </c>
      <c r="N972" s="2" t="str">
        <f t="shared" si="92"/>
        <v>Low Quality</v>
      </c>
      <c r="O972" s="4" t="str">
        <f t="shared" si="93"/>
        <v>Accounting Risk</v>
      </c>
      <c r="P972" s="4" t="str">
        <f t="shared" si="94"/>
        <v>Low Quality</v>
      </c>
      <c r="Q972" s="4" t="str">
        <f t="shared" si="95"/>
        <v>Strong Long-Term Growth</v>
      </c>
    </row>
    <row r="973" spans="1:17" x14ac:dyDescent="0.35">
      <c r="A973" s="2" t="s">
        <v>983</v>
      </c>
      <c r="B973" s="2">
        <v>5</v>
      </c>
      <c r="C973" s="2">
        <v>16626432.699999999</v>
      </c>
      <c r="D973" s="2">
        <v>0.8</v>
      </c>
      <c r="E973" s="2">
        <v>49789470.689999998</v>
      </c>
      <c r="F973" s="2">
        <v>-53562885.100000001</v>
      </c>
      <c r="G973" s="2">
        <v>3</v>
      </c>
      <c r="H973" s="2">
        <v>3</v>
      </c>
      <c r="I973" s="2">
        <v>4</v>
      </c>
      <c r="J973" s="2">
        <v>3.2</v>
      </c>
      <c r="K973" s="2" t="s">
        <v>306</v>
      </c>
      <c r="L973" s="2" t="str">
        <f t="shared" si="90"/>
        <v>Profitable</v>
      </c>
      <c r="M973" s="2" t="str">
        <f t="shared" si="91"/>
        <v>Stable Earnings</v>
      </c>
      <c r="N973" s="2" t="str">
        <f t="shared" si="92"/>
        <v>Low Quality</v>
      </c>
      <c r="O973" s="4" t="str">
        <f t="shared" si="93"/>
        <v>Accounting Risk</v>
      </c>
      <c r="P973" s="4" t="str">
        <f t="shared" si="94"/>
        <v>Low Quality</v>
      </c>
      <c r="Q973" s="4" t="str">
        <f t="shared" si="95"/>
        <v>Strong Long-Term Growth</v>
      </c>
    </row>
    <row r="974" spans="1:17" x14ac:dyDescent="0.35">
      <c r="A974" s="2" t="s">
        <v>984</v>
      </c>
      <c r="B974" s="2">
        <v>5</v>
      </c>
      <c r="C974" s="2">
        <v>-4159178.46</v>
      </c>
      <c r="D974" s="2">
        <v>0.6</v>
      </c>
      <c r="E974" s="2">
        <v>46518312.210000001</v>
      </c>
      <c r="F974" s="2">
        <v>-61936444.700000003</v>
      </c>
      <c r="G974" s="2">
        <v>3</v>
      </c>
      <c r="H974" s="2">
        <v>3</v>
      </c>
      <c r="I974" s="2">
        <v>4</v>
      </c>
      <c r="J974" s="2">
        <v>3.2</v>
      </c>
      <c r="K974" s="2" t="s">
        <v>306</v>
      </c>
      <c r="L974" s="2" t="str">
        <f t="shared" si="90"/>
        <v>Loss Making</v>
      </c>
      <c r="M974" s="2" t="str">
        <f t="shared" si="91"/>
        <v>Stable Earnings</v>
      </c>
      <c r="N974" s="2" t="str">
        <f t="shared" si="92"/>
        <v>Low Quality</v>
      </c>
      <c r="O974" s="4" t="str">
        <f t="shared" si="93"/>
        <v>Accounting Risk</v>
      </c>
      <c r="P974" s="4" t="str">
        <f t="shared" si="94"/>
        <v>Low Quality</v>
      </c>
      <c r="Q974" s="4" t="str">
        <f t="shared" si="95"/>
        <v>Strong Long-Term Growth</v>
      </c>
    </row>
    <row r="975" spans="1:17" x14ac:dyDescent="0.35">
      <c r="A975" s="2" t="s">
        <v>985</v>
      </c>
      <c r="B975" s="2">
        <v>5</v>
      </c>
      <c r="C975" s="2">
        <v>-22698297.859999999</v>
      </c>
      <c r="D975" s="2">
        <v>0.6</v>
      </c>
      <c r="E975" s="2">
        <v>57199800.539999999</v>
      </c>
      <c r="F975" s="2">
        <v>-59279373.899999999</v>
      </c>
      <c r="G975" s="2">
        <v>3</v>
      </c>
      <c r="H975" s="2">
        <v>3</v>
      </c>
      <c r="I975" s="2">
        <v>4</v>
      </c>
      <c r="J975" s="2">
        <v>3.2</v>
      </c>
      <c r="K975" s="2" t="s">
        <v>306</v>
      </c>
      <c r="L975" s="2" t="str">
        <f t="shared" si="90"/>
        <v>Loss Making</v>
      </c>
      <c r="M975" s="2" t="str">
        <f t="shared" si="91"/>
        <v>Stable Earnings</v>
      </c>
      <c r="N975" s="2" t="str">
        <f t="shared" si="92"/>
        <v>Low Quality</v>
      </c>
      <c r="O975" s="4" t="str">
        <f t="shared" si="93"/>
        <v>Accounting Risk</v>
      </c>
      <c r="P975" s="4" t="str">
        <f t="shared" si="94"/>
        <v>Low Quality</v>
      </c>
      <c r="Q975" s="4" t="str">
        <f t="shared" si="95"/>
        <v>Strong Long-Term Growth</v>
      </c>
    </row>
    <row r="976" spans="1:17" x14ac:dyDescent="0.35">
      <c r="A976" s="2" t="s">
        <v>986</v>
      </c>
      <c r="B976" s="2">
        <v>5</v>
      </c>
      <c r="C976" s="2">
        <v>5624086.8399999999</v>
      </c>
      <c r="D976" s="2">
        <v>0.6</v>
      </c>
      <c r="E976" s="2">
        <v>103434454.7</v>
      </c>
      <c r="F976" s="2">
        <v>-55705237.600000001</v>
      </c>
      <c r="G976" s="2">
        <v>3</v>
      </c>
      <c r="H976" s="2">
        <v>3</v>
      </c>
      <c r="I976" s="2">
        <v>4</v>
      </c>
      <c r="J976" s="2">
        <v>3.2</v>
      </c>
      <c r="K976" s="2" t="s">
        <v>306</v>
      </c>
      <c r="L976" s="2" t="str">
        <f t="shared" si="90"/>
        <v>Profitable</v>
      </c>
      <c r="M976" s="2" t="str">
        <f t="shared" si="91"/>
        <v>Stable Earnings</v>
      </c>
      <c r="N976" s="2" t="str">
        <f t="shared" si="92"/>
        <v>Low Quality</v>
      </c>
      <c r="O976" s="4" t="str">
        <f t="shared" si="93"/>
        <v>Accounting Risk</v>
      </c>
      <c r="P976" s="4" t="str">
        <f t="shared" si="94"/>
        <v>Low Quality</v>
      </c>
      <c r="Q976" s="4" t="str">
        <f t="shared" si="95"/>
        <v>Strong Long-Term Growth</v>
      </c>
    </row>
    <row r="977" spans="1:17" x14ac:dyDescent="0.35">
      <c r="A977" s="2" t="s">
        <v>987</v>
      </c>
      <c r="B977" s="2">
        <v>5</v>
      </c>
      <c r="C977" s="2">
        <v>41661837.100000001</v>
      </c>
      <c r="D977" s="2">
        <v>0.8</v>
      </c>
      <c r="E977" s="2">
        <v>50524031.450000003</v>
      </c>
      <c r="F977" s="2">
        <v>-63782493.299999997</v>
      </c>
      <c r="G977" s="2">
        <v>3</v>
      </c>
      <c r="H977" s="2">
        <v>3</v>
      </c>
      <c r="I977" s="2">
        <v>4</v>
      </c>
      <c r="J977" s="2">
        <v>3.2</v>
      </c>
      <c r="K977" s="2" t="s">
        <v>306</v>
      </c>
      <c r="L977" s="2" t="str">
        <f t="shared" si="90"/>
        <v>Profitable</v>
      </c>
      <c r="M977" s="2" t="str">
        <f t="shared" si="91"/>
        <v>Stable Earnings</v>
      </c>
      <c r="N977" s="2" t="str">
        <f t="shared" si="92"/>
        <v>Low Quality</v>
      </c>
      <c r="O977" s="4" t="str">
        <f t="shared" si="93"/>
        <v>Accounting Risk</v>
      </c>
      <c r="P977" s="4" t="str">
        <f t="shared" si="94"/>
        <v>Low Quality</v>
      </c>
      <c r="Q977" s="4" t="str">
        <f t="shared" si="95"/>
        <v>Strong Long-Term Growth</v>
      </c>
    </row>
    <row r="978" spans="1:17" x14ac:dyDescent="0.35">
      <c r="A978" s="2" t="s">
        <v>988</v>
      </c>
      <c r="B978" s="2">
        <v>5</v>
      </c>
      <c r="C978" s="2">
        <v>-39336294.399999999</v>
      </c>
      <c r="D978" s="2">
        <v>0.6</v>
      </c>
      <c r="E978" s="2">
        <v>77420335.200000003</v>
      </c>
      <c r="F978" s="2">
        <v>-46495138.600000001</v>
      </c>
      <c r="G978" s="2">
        <v>3</v>
      </c>
      <c r="H978" s="2">
        <v>3</v>
      </c>
      <c r="I978" s="2">
        <v>4</v>
      </c>
      <c r="J978" s="2">
        <v>3.2</v>
      </c>
      <c r="K978" s="2" t="s">
        <v>306</v>
      </c>
      <c r="L978" s="2" t="str">
        <f t="shared" si="90"/>
        <v>Loss Making</v>
      </c>
      <c r="M978" s="2" t="str">
        <f t="shared" si="91"/>
        <v>Stable Earnings</v>
      </c>
      <c r="N978" s="2" t="str">
        <f t="shared" si="92"/>
        <v>Low Quality</v>
      </c>
      <c r="O978" s="4" t="str">
        <f t="shared" si="93"/>
        <v>Accounting Risk</v>
      </c>
      <c r="P978" s="4" t="str">
        <f t="shared" si="94"/>
        <v>Low Quality</v>
      </c>
      <c r="Q978" s="4" t="str">
        <f t="shared" si="95"/>
        <v>Strong Long-Term Growth</v>
      </c>
    </row>
    <row r="979" spans="1:17" x14ac:dyDescent="0.35">
      <c r="A979" s="2" t="s">
        <v>989</v>
      </c>
      <c r="B979" s="2">
        <v>5</v>
      </c>
      <c r="C979" s="2">
        <v>39704196.359999999</v>
      </c>
      <c r="D979" s="2">
        <v>0.8</v>
      </c>
      <c r="E979" s="2">
        <v>91365756.180000007</v>
      </c>
      <c r="F979" s="2">
        <v>-41286175.799999997</v>
      </c>
      <c r="G979" s="2">
        <v>3</v>
      </c>
      <c r="H979" s="2">
        <v>3</v>
      </c>
      <c r="I979" s="2">
        <v>4</v>
      </c>
      <c r="J979" s="2">
        <v>3.2</v>
      </c>
      <c r="K979" s="2" t="s">
        <v>306</v>
      </c>
      <c r="L979" s="2" t="str">
        <f t="shared" si="90"/>
        <v>Profitable</v>
      </c>
      <c r="M979" s="2" t="str">
        <f t="shared" si="91"/>
        <v>Stable Earnings</v>
      </c>
      <c r="N979" s="2" t="str">
        <f t="shared" si="92"/>
        <v>Low Quality</v>
      </c>
      <c r="O979" s="4" t="str">
        <f t="shared" si="93"/>
        <v>Accounting Risk</v>
      </c>
      <c r="P979" s="4" t="str">
        <f t="shared" si="94"/>
        <v>Low Quality</v>
      </c>
      <c r="Q979" s="4" t="str">
        <f t="shared" si="95"/>
        <v>Strong Long-Term Growth</v>
      </c>
    </row>
    <row r="980" spans="1:17" x14ac:dyDescent="0.35">
      <c r="A980" s="2" t="s">
        <v>990</v>
      </c>
      <c r="B980" s="2">
        <v>5</v>
      </c>
      <c r="C980" s="2">
        <v>29456757.98</v>
      </c>
      <c r="D980" s="2">
        <v>0.8</v>
      </c>
      <c r="E980" s="2">
        <v>47606433.009999998</v>
      </c>
      <c r="F980" s="2">
        <v>-52024022.700000003</v>
      </c>
      <c r="G980" s="2">
        <v>3</v>
      </c>
      <c r="H980" s="2">
        <v>3</v>
      </c>
      <c r="I980" s="2">
        <v>4</v>
      </c>
      <c r="J980" s="2">
        <v>3.2</v>
      </c>
      <c r="K980" s="2" t="s">
        <v>306</v>
      </c>
      <c r="L980" s="2" t="str">
        <f t="shared" si="90"/>
        <v>Profitable</v>
      </c>
      <c r="M980" s="2" t="str">
        <f t="shared" si="91"/>
        <v>Stable Earnings</v>
      </c>
      <c r="N980" s="2" t="str">
        <f t="shared" si="92"/>
        <v>Low Quality</v>
      </c>
      <c r="O980" s="4" t="str">
        <f t="shared" si="93"/>
        <v>Accounting Risk</v>
      </c>
      <c r="P980" s="4" t="str">
        <f t="shared" si="94"/>
        <v>Low Quality</v>
      </c>
      <c r="Q980" s="4" t="str">
        <f t="shared" si="95"/>
        <v>Strong Long-Term Growth</v>
      </c>
    </row>
    <row r="981" spans="1:17" x14ac:dyDescent="0.35">
      <c r="A981" s="2" t="s">
        <v>991</v>
      </c>
      <c r="B981" s="2">
        <v>5</v>
      </c>
      <c r="C981" s="2">
        <v>16501861.02</v>
      </c>
      <c r="D981" s="2">
        <v>0.6</v>
      </c>
      <c r="E981" s="2">
        <v>105780972.8</v>
      </c>
      <c r="F981" s="2">
        <v>-76913199.200000003</v>
      </c>
      <c r="G981" s="2">
        <v>3</v>
      </c>
      <c r="H981" s="2">
        <v>3</v>
      </c>
      <c r="I981" s="2">
        <v>4</v>
      </c>
      <c r="J981" s="2">
        <v>3.2</v>
      </c>
      <c r="K981" s="2" t="s">
        <v>306</v>
      </c>
      <c r="L981" s="2" t="str">
        <f t="shared" si="90"/>
        <v>Profitable</v>
      </c>
      <c r="M981" s="2" t="str">
        <f t="shared" si="91"/>
        <v>Stable Earnings</v>
      </c>
      <c r="N981" s="2" t="str">
        <f t="shared" si="92"/>
        <v>Low Quality</v>
      </c>
      <c r="O981" s="4" t="str">
        <f t="shared" si="93"/>
        <v>Accounting Risk</v>
      </c>
      <c r="P981" s="4" t="str">
        <f t="shared" si="94"/>
        <v>Low Quality</v>
      </c>
      <c r="Q981" s="4" t="str">
        <f t="shared" si="95"/>
        <v>Strong Long-Term Growth</v>
      </c>
    </row>
    <row r="982" spans="1:17" x14ac:dyDescent="0.35">
      <c r="A982" s="2" t="s">
        <v>992</v>
      </c>
      <c r="B982" s="2">
        <v>5</v>
      </c>
      <c r="C982" s="2">
        <v>258322793.90000001</v>
      </c>
      <c r="D982" s="2">
        <v>0.8</v>
      </c>
      <c r="E982" s="2">
        <v>303075386.39999998</v>
      </c>
      <c r="F982" s="2">
        <v>-93616207.299999997</v>
      </c>
      <c r="G982" s="2">
        <v>2</v>
      </c>
      <c r="H982" s="2">
        <v>4</v>
      </c>
      <c r="I982" s="2">
        <v>5</v>
      </c>
      <c r="J982" s="2">
        <v>3.2</v>
      </c>
      <c r="K982" s="2" t="s">
        <v>306</v>
      </c>
      <c r="L982" s="2" t="str">
        <f t="shared" si="90"/>
        <v>Profitable</v>
      </c>
      <c r="M982" s="2" t="str">
        <f t="shared" si="91"/>
        <v>Stable Earnings</v>
      </c>
      <c r="N982" s="2" t="str">
        <f t="shared" si="92"/>
        <v>Low Quality</v>
      </c>
      <c r="O982" s="4" t="str">
        <f t="shared" si="93"/>
        <v>Accounting Risk</v>
      </c>
      <c r="P982" s="4" t="str">
        <f t="shared" si="94"/>
        <v>Low Quality</v>
      </c>
      <c r="Q982" s="4" t="str">
        <f t="shared" si="95"/>
        <v>Strong Long-Term Growth</v>
      </c>
    </row>
    <row r="983" spans="1:17" x14ac:dyDescent="0.35">
      <c r="A983" s="2" t="s">
        <v>993</v>
      </c>
      <c r="B983" s="2">
        <v>5</v>
      </c>
      <c r="C983" s="2">
        <v>320666009.60000002</v>
      </c>
      <c r="D983" s="2">
        <v>1</v>
      </c>
      <c r="E983" s="2">
        <v>119610767.8</v>
      </c>
      <c r="F983" s="2">
        <v>-97875044.400000006</v>
      </c>
      <c r="G983" s="2">
        <v>2</v>
      </c>
      <c r="H983" s="2">
        <v>4</v>
      </c>
      <c r="I983" s="2">
        <v>5</v>
      </c>
      <c r="J983" s="2">
        <v>3.2</v>
      </c>
      <c r="K983" s="2" t="s">
        <v>306</v>
      </c>
      <c r="L983" s="2" t="str">
        <f t="shared" si="90"/>
        <v>Profitable</v>
      </c>
      <c r="M983" s="2" t="str">
        <f t="shared" si="91"/>
        <v>Stable Earnings</v>
      </c>
      <c r="N983" s="2" t="str">
        <f t="shared" si="92"/>
        <v>Low Quality</v>
      </c>
      <c r="O983" s="4" t="str">
        <f t="shared" si="93"/>
        <v>Accounting Risk</v>
      </c>
      <c r="P983" s="4" t="str">
        <f t="shared" si="94"/>
        <v>Low Quality</v>
      </c>
      <c r="Q983" s="4" t="str">
        <f t="shared" si="95"/>
        <v>Strong Long-Term Growth</v>
      </c>
    </row>
    <row r="984" spans="1:17" x14ac:dyDescent="0.35">
      <c r="A984" s="2" t="s">
        <v>994</v>
      </c>
      <c r="B984" s="2">
        <v>5</v>
      </c>
      <c r="C984" s="2">
        <v>335664119.89999998</v>
      </c>
      <c r="D984" s="2">
        <v>1</v>
      </c>
      <c r="E984" s="2">
        <v>295851581.89999998</v>
      </c>
      <c r="F984" s="2">
        <v>-106871910.90000001</v>
      </c>
      <c r="G984" s="2">
        <v>2</v>
      </c>
      <c r="H984" s="2">
        <v>4</v>
      </c>
      <c r="I984" s="2">
        <v>5</v>
      </c>
      <c r="J984" s="2">
        <v>3.2</v>
      </c>
      <c r="K984" s="2" t="s">
        <v>306</v>
      </c>
      <c r="L984" s="2" t="str">
        <f t="shared" si="90"/>
        <v>Profitable</v>
      </c>
      <c r="M984" s="2" t="str">
        <f t="shared" si="91"/>
        <v>Stable Earnings</v>
      </c>
      <c r="N984" s="2" t="str">
        <f t="shared" si="92"/>
        <v>Low Quality</v>
      </c>
      <c r="O984" s="4" t="str">
        <f t="shared" si="93"/>
        <v>Accounting Risk</v>
      </c>
      <c r="P984" s="4" t="str">
        <f t="shared" si="94"/>
        <v>Low Quality</v>
      </c>
      <c r="Q984" s="4" t="str">
        <f t="shared" si="95"/>
        <v>Strong Long-Term Growth</v>
      </c>
    </row>
    <row r="985" spans="1:17" x14ac:dyDescent="0.35">
      <c r="A985" s="2" t="s">
        <v>995</v>
      </c>
      <c r="B985" s="2">
        <v>5</v>
      </c>
      <c r="C985" s="2">
        <v>828222040</v>
      </c>
      <c r="D985" s="2">
        <v>1</v>
      </c>
      <c r="E985" s="2">
        <v>135384731.19999999</v>
      </c>
      <c r="F985" s="2">
        <v>-117945142.90000001</v>
      </c>
      <c r="G985" s="2">
        <v>2</v>
      </c>
      <c r="H985" s="2">
        <v>4</v>
      </c>
      <c r="I985" s="2">
        <v>5</v>
      </c>
      <c r="J985" s="2">
        <v>3.2</v>
      </c>
      <c r="K985" s="2" t="s">
        <v>306</v>
      </c>
      <c r="L985" s="2" t="str">
        <f t="shared" si="90"/>
        <v>Profitable</v>
      </c>
      <c r="M985" s="2" t="str">
        <f t="shared" si="91"/>
        <v>High Volatility</v>
      </c>
      <c r="N985" s="2" t="str">
        <f t="shared" si="92"/>
        <v>Low Quality</v>
      </c>
      <c r="O985" s="4" t="str">
        <f t="shared" si="93"/>
        <v>Accounting Risk</v>
      </c>
      <c r="P985" s="4" t="str">
        <f t="shared" si="94"/>
        <v>Low Quality</v>
      </c>
      <c r="Q985" s="4" t="str">
        <f t="shared" si="95"/>
        <v>Strong Long-Term Growth</v>
      </c>
    </row>
    <row r="986" spans="1:17" x14ac:dyDescent="0.35">
      <c r="A986" s="2" t="s">
        <v>996</v>
      </c>
      <c r="B986" s="2">
        <v>5</v>
      </c>
      <c r="C986" s="2">
        <v>6575403.3799999999</v>
      </c>
      <c r="D986" s="2">
        <v>0.8</v>
      </c>
      <c r="E986" s="2">
        <v>245097051.80000001</v>
      </c>
      <c r="F986" s="2">
        <v>-141910957.09999999</v>
      </c>
      <c r="G986" s="2">
        <v>2</v>
      </c>
      <c r="H986" s="2">
        <v>4</v>
      </c>
      <c r="I986" s="2">
        <v>5</v>
      </c>
      <c r="J986" s="2">
        <v>3.2</v>
      </c>
      <c r="K986" s="2" t="s">
        <v>306</v>
      </c>
      <c r="L986" s="2" t="str">
        <f t="shared" si="90"/>
        <v>Profitable</v>
      </c>
      <c r="M986" s="2" t="str">
        <f t="shared" si="91"/>
        <v>Stable Earnings</v>
      </c>
      <c r="N986" s="2" t="str">
        <f t="shared" si="92"/>
        <v>Low Quality</v>
      </c>
      <c r="O986" s="4" t="str">
        <f t="shared" si="93"/>
        <v>Accounting Risk</v>
      </c>
      <c r="P986" s="4" t="str">
        <f t="shared" si="94"/>
        <v>Low Quality</v>
      </c>
      <c r="Q986" s="4" t="str">
        <f t="shared" si="95"/>
        <v>Strong Long-Term Growth</v>
      </c>
    </row>
    <row r="987" spans="1:17" x14ac:dyDescent="0.35">
      <c r="A987" s="2" t="s">
        <v>997</v>
      </c>
      <c r="B987" s="2">
        <v>5</v>
      </c>
      <c r="C987" s="2">
        <v>220551264.5</v>
      </c>
      <c r="D987" s="2">
        <v>0.8</v>
      </c>
      <c r="E987" s="2">
        <v>146617740.19999999</v>
      </c>
      <c r="F987" s="2">
        <v>-283010953.30000001</v>
      </c>
      <c r="G987" s="2">
        <v>2</v>
      </c>
      <c r="H987" s="2">
        <v>4</v>
      </c>
      <c r="I987" s="2">
        <v>5</v>
      </c>
      <c r="J987" s="2">
        <v>3.2</v>
      </c>
      <c r="K987" s="2" t="s">
        <v>306</v>
      </c>
      <c r="L987" s="2" t="str">
        <f t="shared" si="90"/>
        <v>Profitable</v>
      </c>
      <c r="M987" s="2" t="str">
        <f t="shared" si="91"/>
        <v>Stable Earnings</v>
      </c>
      <c r="N987" s="2" t="str">
        <f t="shared" si="92"/>
        <v>Low Quality</v>
      </c>
      <c r="O987" s="4" t="str">
        <f t="shared" si="93"/>
        <v>Accounting Risk</v>
      </c>
      <c r="P987" s="4" t="str">
        <f t="shared" si="94"/>
        <v>Low Quality</v>
      </c>
      <c r="Q987" s="4" t="str">
        <f t="shared" si="95"/>
        <v>Strong Long-Term Growth</v>
      </c>
    </row>
    <row r="988" spans="1:17" x14ac:dyDescent="0.35">
      <c r="A988" s="2" t="s">
        <v>998</v>
      </c>
      <c r="B988" s="2">
        <v>5</v>
      </c>
      <c r="C988" s="2">
        <v>347444090.60000002</v>
      </c>
      <c r="D988" s="2">
        <v>1</v>
      </c>
      <c r="E988" s="2">
        <v>216884402.19999999</v>
      </c>
      <c r="F988" s="2">
        <v>-254960388.09999999</v>
      </c>
      <c r="G988" s="2">
        <v>2</v>
      </c>
      <c r="H988" s="2">
        <v>4</v>
      </c>
      <c r="I988" s="2">
        <v>5</v>
      </c>
      <c r="J988" s="2">
        <v>3.2</v>
      </c>
      <c r="K988" s="2" t="s">
        <v>306</v>
      </c>
      <c r="L988" s="2" t="str">
        <f t="shared" si="90"/>
        <v>Profitable</v>
      </c>
      <c r="M988" s="2" t="str">
        <f t="shared" si="91"/>
        <v>Stable Earnings</v>
      </c>
      <c r="N988" s="2" t="str">
        <f t="shared" si="92"/>
        <v>Low Quality</v>
      </c>
      <c r="O988" s="4" t="str">
        <f t="shared" si="93"/>
        <v>Accounting Risk</v>
      </c>
      <c r="P988" s="4" t="str">
        <f t="shared" si="94"/>
        <v>Low Quality</v>
      </c>
      <c r="Q988" s="4" t="str">
        <f t="shared" si="95"/>
        <v>Strong Long-Term Growth</v>
      </c>
    </row>
    <row r="989" spans="1:17" x14ac:dyDescent="0.35">
      <c r="A989" s="2" t="s">
        <v>999</v>
      </c>
      <c r="B989" s="2">
        <v>5</v>
      </c>
      <c r="C989" s="2">
        <v>219440254</v>
      </c>
      <c r="D989" s="2">
        <v>1</v>
      </c>
      <c r="E989" s="2">
        <v>115443215.40000001</v>
      </c>
      <c r="F989" s="2">
        <v>-257465267.69999999</v>
      </c>
      <c r="G989" s="2">
        <v>2</v>
      </c>
      <c r="H989" s="2">
        <v>4</v>
      </c>
      <c r="I989" s="2">
        <v>5</v>
      </c>
      <c r="J989" s="2">
        <v>3.2</v>
      </c>
      <c r="K989" s="2" t="s">
        <v>306</v>
      </c>
      <c r="L989" s="2" t="str">
        <f t="shared" si="90"/>
        <v>Profitable</v>
      </c>
      <c r="M989" s="2" t="str">
        <f t="shared" si="91"/>
        <v>Stable Earnings</v>
      </c>
      <c r="N989" s="2" t="str">
        <f t="shared" si="92"/>
        <v>Low Quality</v>
      </c>
      <c r="O989" s="4" t="str">
        <f t="shared" si="93"/>
        <v>Accounting Risk</v>
      </c>
      <c r="P989" s="4" t="str">
        <f t="shared" si="94"/>
        <v>Low Quality</v>
      </c>
      <c r="Q989" s="4" t="str">
        <f t="shared" si="95"/>
        <v>Strong Long-Term Growth</v>
      </c>
    </row>
    <row r="990" spans="1:17" x14ac:dyDescent="0.35">
      <c r="A990" s="2" t="s">
        <v>1000</v>
      </c>
      <c r="B990" s="2">
        <v>5</v>
      </c>
      <c r="C990" s="2">
        <v>524399717.19999999</v>
      </c>
      <c r="D990" s="2">
        <v>1</v>
      </c>
      <c r="E990" s="2">
        <v>191756993.80000001</v>
      </c>
      <c r="F990" s="2">
        <v>-259046401.30000001</v>
      </c>
      <c r="G990" s="2">
        <v>2</v>
      </c>
      <c r="H990" s="2">
        <v>4</v>
      </c>
      <c r="I990" s="2">
        <v>5</v>
      </c>
      <c r="J990" s="2">
        <v>3.2</v>
      </c>
      <c r="K990" s="2" t="s">
        <v>306</v>
      </c>
      <c r="L990" s="2" t="str">
        <f t="shared" si="90"/>
        <v>Profitable</v>
      </c>
      <c r="M990" s="2" t="str">
        <f t="shared" si="91"/>
        <v>High Volatility</v>
      </c>
      <c r="N990" s="2" t="str">
        <f t="shared" si="92"/>
        <v>Low Quality</v>
      </c>
      <c r="O990" s="4" t="str">
        <f t="shared" si="93"/>
        <v>Accounting Risk</v>
      </c>
      <c r="P990" s="4" t="str">
        <f t="shared" si="94"/>
        <v>Low Quality</v>
      </c>
      <c r="Q990" s="4" t="str">
        <f t="shared" si="95"/>
        <v>Strong Long-Term Growth</v>
      </c>
    </row>
    <row r="991" spans="1:17" x14ac:dyDescent="0.35">
      <c r="A991" s="2" t="s">
        <v>1001</v>
      </c>
      <c r="B991" s="2">
        <v>5</v>
      </c>
      <c r="C991" s="2">
        <v>145445204.09999999</v>
      </c>
      <c r="D991" s="2">
        <v>0.8</v>
      </c>
      <c r="E991" s="2">
        <v>174377068.90000001</v>
      </c>
      <c r="F991" s="2">
        <v>-311494015.39999998</v>
      </c>
      <c r="G991" s="2">
        <v>2</v>
      </c>
      <c r="H991" s="2">
        <v>4</v>
      </c>
      <c r="I991" s="2">
        <v>5</v>
      </c>
      <c r="J991" s="2">
        <v>3.2</v>
      </c>
      <c r="K991" s="2" t="s">
        <v>306</v>
      </c>
      <c r="L991" s="2" t="str">
        <f t="shared" si="90"/>
        <v>Profitable</v>
      </c>
      <c r="M991" s="2" t="str">
        <f t="shared" si="91"/>
        <v>Stable Earnings</v>
      </c>
      <c r="N991" s="2" t="str">
        <f t="shared" si="92"/>
        <v>Low Quality</v>
      </c>
      <c r="O991" s="4" t="str">
        <f t="shared" si="93"/>
        <v>Accounting Risk</v>
      </c>
      <c r="P991" s="4" t="str">
        <f t="shared" si="94"/>
        <v>Low Quality</v>
      </c>
      <c r="Q991" s="4" t="str">
        <f t="shared" si="95"/>
        <v>Strong Long-Term Growth</v>
      </c>
    </row>
    <row r="992" spans="1:17" x14ac:dyDescent="0.35">
      <c r="A992" s="2" t="s">
        <v>1002</v>
      </c>
      <c r="B992" s="2">
        <v>5</v>
      </c>
      <c r="C992" s="2">
        <v>108823704</v>
      </c>
      <c r="D992" s="2">
        <v>0.8</v>
      </c>
      <c r="E992" s="2">
        <v>133628528.7</v>
      </c>
      <c r="F992" s="2">
        <v>-299561023.5</v>
      </c>
      <c r="G992" s="2">
        <v>2</v>
      </c>
      <c r="H992" s="2">
        <v>4</v>
      </c>
      <c r="I992" s="2">
        <v>5</v>
      </c>
      <c r="J992" s="2">
        <v>3.2</v>
      </c>
      <c r="K992" s="2" t="s">
        <v>306</v>
      </c>
      <c r="L992" s="2" t="str">
        <f t="shared" si="90"/>
        <v>Profitable</v>
      </c>
      <c r="M992" s="2" t="str">
        <f t="shared" si="91"/>
        <v>Stable Earnings</v>
      </c>
      <c r="N992" s="2" t="str">
        <f t="shared" si="92"/>
        <v>Low Quality</v>
      </c>
      <c r="O992" s="4" t="str">
        <f t="shared" si="93"/>
        <v>Accounting Risk</v>
      </c>
      <c r="P992" s="4" t="str">
        <f t="shared" si="94"/>
        <v>Low Quality</v>
      </c>
      <c r="Q992" s="4" t="str">
        <f t="shared" si="95"/>
        <v>Strong Long-Term Growth</v>
      </c>
    </row>
    <row r="993" spans="1:17" x14ac:dyDescent="0.35">
      <c r="A993" s="2" t="s">
        <v>1003</v>
      </c>
      <c r="B993" s="2">
        <v>5</v>
      </c>
      <c r="C993" s="2">
        <v>221964908.90000001</v>
      </c>
      <c r="D993" s="2">
        <v>0.8</v>
      </c>
      <c r="E993" s="2">
        <v>194867087.30000001</v>
      </c>
      <c r="F993" s="2">
        <v>-292753425.30000001</v>
      </c>
      <c r="G993" s="2">
        <v>2</v>
      </c>
      <c r="H993" s="2">
        <v>4</v>
      </c>
      <c r="I993" s="2">
        <v>5</v>
      </c>
      <c r="J993" s="2">
        <v>3.2</v>
      </c>
      <c r="K993" s="2" t="s">
        <v>306</v>
      </c>
      <c r="L993" s="2" t="str">
        <f t="shared" si="90"/>
        <v>Profitable</v>
      </c>
      <c r="M993" s="2" t="str">
        <f t="shared" si="91"/>
        <v>Stable Earnings</v>
      </c>
      <c r="N993" s="2" t="str">
        <f t="shared" si="92"/>
        <v>Low Quality</v>
      </c>
      <c r="O993" s="4" t="str">
        <f t="shared" si="93"/>
        <v>Accounting Risk</v>
      </c>
      <c r="P993" s="4" t="str">
        <f t="shared" si="94"/>
        <v>Low Quality</v>
      </c>
      <c r="Q993" s="4" t="str">
        <f t="shared" si="95"/>
        <v>Strong Long-Term Growth</v>
      </c>
    </row>
    <row r="994" spans="1:17" x14ac:dyDescent="0.35">
      <c r="A994" s="2" t="s">
        <v>1004</v>
      </c>
      <c r="B994" s="2">
        <v>5</v>
      </c>
      <c r="C994" s="2">
        <v>16770802</v>
      </c>
      <c r="D994" s="2">
        <v>0.8</v>
      </c>
      <c r="E994" s="2">
        <v>157148713.30000001</v>
      </c>
      <c r="F994" s="2">
        <v>-290098276.19999999</v>
      </c>
      <c r="G994" s="2">
        <v>2</v>
      </c>
      <c r="H994" s="2">
        <v>4</v>
      </c>
      <c r="I994" s="2">
        <v>5</v>
      </c>
      <c r="J994" s="2">
        <v>3.2</v>
      </c>
      <c r="K994" s="2" t="s">
        <v>306</v>
      </c>
      <c r="L994" s="2" t="str">
        <f t="shared" si="90"/>
        <v>Profitable</v>
      </c>
      <c r="M994" s="2" t="str">
        <f t="shared" si="91"/>
        <v>Stable Earnings</v>
      </c>
      <c r="N994" s="2" t="str">
        <f t="shared" si="92"/>
        <v>Low Quality</v>
      </c>
      <c r="O994" s="4" t="str">
        <f t="shared" si="93"/>
        <v>Accounting Risk</v>
      </c>
      <c r="P994" s="4" t="str">
        <f t="shared" si="94"/>
        <v>Low Quality</v>
      </c>
      <c r="Q994" s="4" t="str">
        <f t="shared" si="95"/>
        <v>Strong Long-Term Growth</v>
      </c>
    </row>
    <row r="995" spans="1:17" x14ac:dyDescent="0.35">
      <c r="A995" s="2" t="s">
        <v>1005</v>
      </c>
      <c r="B995" s="2">
        <v>5</v>
      </c>
      <c r="C995" s="2">
        <v>837233721.39999998</v>
      </c>
      <c r="D995" s="2">
        <v>1</v>
      </c>
      <c r="E995" s="2">
        <v>139409138.5</v>
      </c>
      <c r="F995" s="2">
        <v>-367685307.10000002</v>
      </c>
      <c r="G995" s="2">
        <v>2</v>
      </c>
      <c r="H995" s="2">
        <v>4</v>
      </c>
      <c r="I995" s="2">
        <v>5</v>
      </c>
      <c r="J995" s="2">
        <v>3.2</v>
      </c>
      <c r="K995" s="2" t="s">
        <v>306</v>
      </c>
      <c r="L995" s="2" t="str">
        <f t="shared" si="90"/>
        <v>Profitable</v>
      </c>
      <c r="M995" s="2" t="str">
        <f t="shared" si="91"/>
        <v>High Volatility</v>
      </c>
      <c r="N995" s="2" t="str">
        <f t="shared" si="92"/>
        <v>Low Quality</v>
      </c>
      <c r="O995" s="4" t="str">
        <f t="shared" si="93"/>
        <v>Accounting Risk</v>
      </c>
      <c r="P995" s="4" t="str">
        <f t="shared" si="94"/>
        <v>Low Quality</v>
      </c>
      <c r="Q995" s="4" t="str">
        <f t="shared" si="95"/>
        <v>Strong Long-Term Growth</v>
      </c>
    </row>
    <row r="996" spans="1:17" x14ac:dyDescent="0.35">
      <c r="A996" s="2" t="s">
        <v>1006</v>
      </c>
      <c r="B996" s="2">
        <v>5</v>
      </c>
      <c r="C996" s="2">
        <v>153370394.59999999</v>
      </c>
      <c r="D996" s="2">
        <v>0.8</v>
      </c>
      <c r="E996" s="2">
        <v>216135637.5</v>
      </c>
      <c r="F996" s="2">
        <v>-358518024</v>
      </c>
      <c r="G996" s="2">
        <v>2</v>
      </c>
      <c r="H996" s="2">
        <v>4</v>
      </c>
      <c r="I996" s="2">
        <v>5</v>
      </c>
      <c r="J996" s="2">
        <v>3.2</v>
      </c>
      <c r="K996" s="2" t="s">
        <v>306</v>
      </c>
      <c r="L996" s="2" t="str">
        <f t="shared" si="90"/>
        <v>Profitable</v>
      </c>
      <c r="M996" s="2" t="str">
        <f t="shared" si="91"/>
        <v>Stable Earnings</v>
      </c>
      <c r="N996" s="2" t="str">
        <f t="shared" si="92"/>
        <v>Low Quality</v>
      </c>
      <c r="O996" s="4" t="str">
        <f t="shared" si="93"/>
        <v>Accounting Risk</v>
      </c>
      <c r="P996" s="4" t="str">
        <f t="shared" si="94"/>
        <v>Low Quality</v>
      </c>
      <c r="Q996" s="4" t="str">
        <f t="shared" si="95"/>
        <v>Strong Long-Term Growth</v>
      </c>
    </row>
    <row r="997" spans="1:17" x14ac:dyDescent="0.35">
      <c r="A997" s="2" t="s">
        <v>1007</v>
      </c>
      <c r="B997" s="2">
        <v>5</v>
      </c>
      <c r="C997" s="2">
        <v>119371136.3</v>
      </c>
      <c r="D997" s="2">
        <v>1</v>
      </c>
      <c r="E997" s="2">
        <v>262169557.09999999</v>
      </c>
      <c r="F997" s="2">
        <v>-585368016.20000005</v>
      </c>
      <c r="G997" s="2">
        <v>2</v>
      </c>
      <c r="H997" s="2">
        <v>4</v>
      </c>
      <c r="I997" s="2">
        <v>5</v>
      </c>
      <c r="J997" s="2">
        <v>3.2</v>
      </c>
      <c r="K997" s="2" t="s">
        <v>306</v>
      </c>
      <c r="L997" s="2" t="str">
        <f t="shared" si="90"/>
        <v>Profitable</v>
      </c>
      <c r="M997" s="2" t="str">
        <f t="shared" si="91"/>
        <v>Stable Earnings</v>
      </c>
      <c r="N997" s="2" t="str">
        <f t="shared" si="92"/>
        <v>Low Quality</v>
      </c>
      <c r="O997" s="4" t="str">
        <f t="shared" si="93"/>
        <v>Accounting Risk</v>
      </c>
      <c r="P997" s="4" t="str">
        <f t="shared" si="94"/>
        <v>Low Quality</v>
      </c>
      <c r="Q997" s="4" t="str">
        <f t="shared" si="95"/>
        <v>Strong Long-Term Growth</v>
      </c>
    </row>
    <row r="998" spans="1:17" x14ac:dyDescent="0.35">
      <c r="A998" s="2" t="s">
        <v>1008</v>
      </c>
      <c r="B998" s="2">
        <v>5</v>
      </c>
      <c r="C998" s="2">
        <v>15645348.779999999</v>
      </c>
      <c r="D998" s="2">
        <v>0.8</v>
      </c>
      <c r="E998" s="2">
        <v>285929950.60000002</v>
      </c>
      <c r="F998" s="2">
        <v>-599830006.29999995</v>
      </c>
      <c r="G998" s="2">
        <v>2</v>
      </c>
      <c r="H998" s="2">
        <v>4</v>
      </c>
      <c r="I998" s="2">
        <v>5</v>
      </c>
      <c r="J998" s="2">
        <v>3.2</v>
      </c>
      <c r="K998" s="2" t="s">
        <v>306</v>
      </c>
      <c r="L998" s="2" t="str">
        <f t="shared" si="90"/>
        <v>Profitable</v>
      </c>
      <c r="M998" s="2" t="str">
        <f t="shared" si="91"/>
        <v>Stable Earnings</v>
      </c>
      <c r="N998" s="2" t="str">
        <f t="shared" si="92"/>
        <v>Low Quality</v>
      </c>
      <c r="O998" s="4" t="str">
        <f t="shared" si="93"/>
        <v>Accounting Risk</v>
      </c>
      <c r="P998" s="4" t="str">
        <f t="shared" si="94"/>
        <v>Low Quality</v>
      </c>
      <c r="Q998" s="4" t="str">
        <f t="shared" si="95"/>
        <v>Strong Long-Term Growth</v>
      </c>
    </row>
    <row r="999" spans="1:17" x14ac:dyDescent="0.35">
      <c r="A999" s="2" t="s">
        <v>1009</v>
      </c>
      <c r="B999" s="2">
        <v>5</v>
      </c>
      <c r="C999" s="2">
        <v>97848765.299999997</v>
      </c>
      <c r="D999" s="2">
        <v>1</v>
      </c>
      <c r="E999" s="2">
        <v>217160649.90000001</v>
      </c>
      <c r="F999" s="2">
        <v>-485799261.69999999</v>
      </c>
      <c r="G999" s="2">
        <v>2</v>
      </c>
      <c r="H999" s="2">
        <v>4</v>
      </c>
      <c r="I999" s="2">
        <v>5</v>
      </c>
      <c r="J999" s="2">
        <v>3.2</v>
      </c>
      <c r="K999" s="2" t="s">
        <v>306</v>
      </c>
      <c r="L999" s="2" t="str">
        <f t="shared" si="90"/>
        <v>Profitable</v>
      </c>
      <c r="M999" s="2" t="str">
        <f t="shared" si="91"/>
        <v>Stable Earnings</v>
      </c>
      <c r="N999" s="2" t="str">
        <f t="shared" si="92"/>
        <v>Low Quality</v>
      </c>
      <c r="O999" s="4" t="str">
        <f t="shared" si="93"/>
        <v>Accounting Risk</v>
      </c>
      <c r="P999" s="4" t="str">
        <f t="shared" si="94"/>
        <v>Low Quality</v>
      </c>
      <c r="Q999" s="4" t="str">
        <f t="shared" si="95"/>
        <v>Strong Long-Term Growth</v>
      </c>
    </row>
    <row r="1000" spans="1:17" x14ac:dyDescent="0.35">
      <c r="A1000" s="2" t="s">
        <v>1010</v>
      </c>
      <c r="B1000" s="2">
        <v>5</v>
      </c>
      <c r="C1000" s="2">
        <v>-19595696.420000002</v>
      </c>
      <c r="D1000" s="2">
        <v>0.2</v>
      </c>
      <c r="E1000" s="2">
        <v>31403694.530000001</v>
      </c>
      <c r="F1000" s="2">
        <v>-3302475.2</v>
      </c>
      <c r="G1000" s="2">
        <v>4</v>
      </c>
      <c r="H1000" s="2">
        <v>2</v>
      </c>
      <c r="I1000" s="2">
        <v>3</v>
      </c>
      <c r="J1000" s="2">
        <v>3.2</v>
      </c>
      <c r="K1000" s="2" t="s">
        <v>306</v>
      </c>
      <c r="L1000" s="2" t="str">
        <f t="shared" si="90"/>
        <v>Loss Making</v>
      </c>
      <c r="M1000" s="2" t="str">
        <f t="shared" si="91"/>
        <v>Stable Earnings</v>
      </c>
      <c r="N1000" s="2" t="str">
        <f t="shared" si="92"/>
        <v>Moderate</v>
      </c>
      <c r="O1000" s="4" t="str">
        <f t="shared" si="93"/>
        <v>Accounting Risk</v>
      </c>
      <c r="P1000" s="4" t="str">
        <f t="shared" si="94"/>
        <v>Moderate</v>
      </c>
      <c r="Q1000" s="4" t="str">
        <f t="shared" si="95"/>
        <v>Moderate Growth</v>
      </c>
    </row>
    <row r="1001" spans="1:17" x14ac:dyDescent="0.35">
      <c r="A1001" s="2" t="s">
        <v>1011</v>
      </c>
      <c r="B1001" s="2">
        <v>5</v>
      </c>
      <c r="C1001" s="2">
        <v>-1913648.84</v>
      </c>
      <c r="D1001" s="2">
        <v>0.4</v>
      </c>
      <c r="E1001" s="2">
        <v>17299114.030000001</v>
      </c>
      <c r="F1001" s="2">
        <v>-419600.9</v>
      </c>
      <c r="G1001" s="2">
        <v>4</v>
      </c>
      <c r="H1001" s="2">
        <v>2</v>
      </c>
      <c r="I1001" s="2">
        <v>3</v>
      </c>
      <c r="J1001" s="2">
        <v>3.2</v>
      </c>
      <c r="K1001" s="2" t="s">
        <v>306</v>
      </c>
      <c r="L1001" s="2" t="str">
        <f t="shared" si="90"/>
        <v>Loss Making</v>
      </c>
      <c r="M1001" s="2" t="str">
        <f t="shared" si="91"/>
        <v>Stable Earnings</v>
      </c>
      <c r="N1001" s="2" t="str">
        <f t="shared" si="92"/>
        <v>Moderate</v>
      </c>
      <c r="O1001" s="4" t="str">
        <f t="shared" si="93"/>
        <v>Accounting Risk</v>
      </c>
      <c r="P1001" s="4" t="str">
        <f t="shared" si="94"/>
        <v>Moderate</v>
      </c>
      <c r="Q1001" s="4" t="str">
        <f t="shared" si="95"/>
        <v>Moderate Growth</v>
      </c>
    </row>
    <row r="1002" spans="1:17" x14ac:dyDescent="0.35">
      <c r="A1002" s="2" t="s">
        <v>1012</v>
      </c>
      <c r="B1002" s="2">
        <v>5</v>
      </c>
      <c r="C1002" s="2">
        <v>-6017293.2999999998</v>
      </c>
      <c r="D1002" s="2">
        <v>0.4</v>
      </c>
      <c r="E1002" s="2">
        <v>17457587.870000001</v>
      </c>
      <c r="F1002" s="2">
        <v>-1537266.8</v>
      </c>
      <c r="G1002" s="2">
        <v>4</v>
      </c>
      <c r="H1002" s="2">
        <v>2</v>
      </c>
      <c r="I1002" s="2">
        <v>3</v>
      </c>
      <c r="J1002" s="2">
        <v>3.2</v>
      </c>
      <c r="K1002" s="2" t="s">
        <v>306</v>
      </c>
      <c r="L1002" s="2" t="str">
        <f t="shared" si="90"/>
        <v>Loss Making</v>
      </c>
      <c r="M1002" s="2" t="str">
        <f t="shared" si="91"/>
        <v>Stable Earnings</v>
      </c>
      <c r="N1002" s="2" t="str">
        <f t="shared" si="92"/>
        <v>Moderate</v>
      </c>
      <c r="O1002" s="4" t="str">
        <f t="shared" si="93"/>
        <v>Accounting Risk</v>
      </c>
      <c r="P1002" s="4" t="str">
        <f t="shared" si="94"/>
        <v>Moderate</v>
      </c>
      <c r="Q1002" s="4" t="str">
        <f t="shared" si="95"/>
        <v>Moderate Growth</v>
      </c>
    </row>
    <row r="1003" spans="1:17" x14ac:dyDescent="0.35">
      <c r="A1003" s="2" t="s">
        <v>1013</v>
      </c>
      <c r="B1003" s="2">
        <v>5</v>
      </c>
      <c r="C1003" s="2">
        <v>-36672133.159999996</v>
      </c>
      <c r="D1003" s="2">
        <v>0</v>
      </c>
      <c r="E1003" s="2">
        <v>27052507.760000002</v>
      </c>
      <c r="F1003" s="2">
        <v>1925271.5</v>
      </c>
      <c r="G1003" s="2">
        <v>4</v>
      </c>
      <c r="H1003" s="2">
        <v>2</v>
      </c>
      <c r="I1003" s="2">
        <v>3</v>
      </c>
      <c r="J1003" s="2">
        <v>3.2</v>
      </c>
      <c r="K1003" s="2" t="s">
        <v>306</v>
      </c>
      <c r="L1003" s="2" t="str">
        <f t="shared" si="90"/>
        <v>Loss Making</v>
      </c>
      <c r="M1003" s="2" t="str">
        <f t="shared" si="91"/>
        <v>Stable Earnings</v>
      </c>
      <c r="N1003" s="2" t="str">
        <f t="shared" si="92"/>
        <v>Moderate</v>
      </c>
      <c r="O1003" s="4" t="str">
        <f t="shared" si="93"/>
        <v>Accounting Risk</v>
      </c>
      <c r="P1003" s="4" t="str">
        <f t="shared" si="94"/>
        <v>Moderate</v>
      </c>
      <c r="Q1003" s="4" t="str">
        <f t="shared" si="95"/>
        <v>Moderate Growth</v>
      </c>
    </row>
    <row r="1004" spans="1:17" x14ac:dyDescent="0.35">
      <c r="A1004" s="2" t="s">
        <v>1014</v>
      </c>
      <c r="B1004" s="2">
        <v>5</v>
      </c>
      <c r="C1004" s="2">
        <v>-6258021.4000000004</v>
      </c>
      <c r="D1004" s="2">
        <v>0.4</v>
      </c>
      <c r="E1004" s="2">
        <v>26396366.5</v>
      </c>
      <c r="F1004" s="2">
        <v>1443412.7</v>
      </c>
      <c r="G1004" s="2">
        <v>4</v>
      </c>
      <c r="H1004" s="2">
        <v>2</v>
      </c>
      <c r="I1004" s="2">
        <v>3</v>
      </c>
      <c r="J1004" s="2">
        <v>3.2</v>
      </c>
      <c r="K1004" s="2" t="s">
        <v>306</v>
      </c>
      <c r="L1004" s="2" t="str">
        <f t="shared" si="90"/>
        <v>Loss Making</v>
      </c>
      <c r="M1004" s="2" t="str">
        <f t="shared" si="91"/>
        <v>Stable Earnings</v>
      </c>
      <c r="N1004" s="2" t="str">
        <f t="shared" si="92"/>
        <v>Moderate</v>
      </c>
      <c r="O1004" s="4" t="str">
        <f t="shared" si="93"/>
        <v>Accounting Risk</v>
      </c>
      <c r="P1004" s="4" t="str">
        <f t="shared" si="94"/>
        <v>Moderate</v>
      </c>
      <c r="Q1004" s="4" t="str">
        <f t="shared" si="95"/>
        <v>Moderate Growth</v>
      </c>
    </row>
    <row r="1005" spans="1:17" x14ac:dyDescent="0.35">
      <c r="A1005" s="2" t="s">
        <v>1015</v>
      </c>
      <c r="B1005" s="2">
        <v>5</v>
      </c>
      <c r="C1005" s="2">
        <v>1471797.7</v>
      </c>
      <c r="D1005" s="2">
        <v>0.4</v>
      </c>
      <c r="E1005" s="2">
        <v>21401486.390000001</v>
      </c>
      <c r="F1005" s="2">
        <v>4729035.7</v>
      </c>
      <c r="G1005" s="2">
        <v>4</v>
      </c>
      <c r="H1005" s="2">
        <v>2</v>
      </c>
      <c r="I1005" s="2">
        <v>3</v>
      </c>
      <c r="J1005" s="2">
        <v>3.2</v>
      </c>
      <c r="K1005" s="2" t="s">
        <v>306</v>
      </c>
      <c r="L1005" s="2" t="str">
        <f t="shared" si="90"/>
        <v>Profitable</v>
      </c>
      <c r="M1005" s="2" t="str">
        <f t="shared" si="91"/>
        <v>Stable Earnings</v>
      </c>
      <c r="N1005" s="2" t="str">
        <f t="shared" si="92"/>
        <v>Moderate</v>
      </c>
      <c r="O1005" s="4" t="str">
        <f t="shared" si="93"/>
        <v>Accounting Risk</v>
      </c>
      <c r="P1005" s="4" t="str">
        <f t="shared" si="94"/>
        <v>Moderate</v>
      </c>
      <c r="Q1005" s="4" t="str">
        <f t="shared" si="95"/>
        <v>Moderate Growth</v>
      </c>
    </row>
    <row r="1006" spans="1:17" x14ac:dyDescent="0.35">
      <c r="A1006" s="2" t="s">
        <v>1016</v>
      </c>
      <c r="B1006" s="2">
        <v>5</v>
      </c>
      <c r="C1006" s="2">
        <v>-22097755.239999998</v>
      </c>
      <c r="D1006" s="2">
        <v>0.2</v>
      </c>
      <c r="E1006" s="2">
        <v>42532563.009999998</v>
      </c>
      <c r="F1006" s="2">
        <v>4851156.7</v>
      </c>
      <c r="G1006" s="2">
        <v>4</v>
      </c>
      <c r="H1006" s="2">
        <v>2</v>
      </c>
      <c r="I1006" s="2">
        <v>3</v>
      </c>
      <c r="J1006" s="2">
        <v>3.2</v>
      </c>
      <c r="K1006" s="2" t="s">
        <v>306</v>
      </c>
      <c r="L1006" s="2" t="str">
        <f t="shared" si="90"/>
        <v>Loss Making</v>
      </c>
      <c r="M1006" s="2" t="str">
        <f t="shared" si="91"/>
        <v>Stable Earnings</v>
      </c>
      <c r="N1006" s="2" t="str">
        <f t="shared" si="92"/>
        <v>Moderate</v>
      </c>
      <c r="O1006" s="4" t="str">
        <f t="shared" si="93"/>
        <v>Accounting Risk</v>
      </c>
      <c r="P1006" s="4" t="str">
        <f t="shared" si="94"/>
        <v>Moderate</v>
      </c>
      <c r="Q1006" s="4" t="str">
        <f t="shared" si="95"/>
        <v>Moderate Growth</v>
      </c>
    </row>
    <row r="1007" spans="1:17" x14ac:dyDescent="0.35">
      <c r="A1007" s="2" t="s">
        <v>1017</v>
      </c>
      <c r="B1007" s="2">
        <v>5</v>
      </c>
      <c r="C1007" s="2">
        <v>-35894498.299999997</v>
      </c>
      <c r="D1007" s="2">
        <v>0.2</v>
      </c>
      <c r="E1007" s="2">
        <v>24830747.75</v>
      </c>
      <c r="F1007" s="2">
        <v>7011383.5</v>
      </c>
      <c r="G1007" s="2">
        <v>4</v>
      </c>
      <c r="H1007" s="2">
        <v>2</v>
      </c>
      <c r="I1007" s="2">
        <v>3</v>
      </c>
      <c r="J1007" s="2">
        <v>3.2</v>
      </c>
      <c r="K1007" s="2" t="s">
        <v>306</v>
      </c>
      <c r="L1007" s="2" t="str">
        <f t="shared" si="90"/>
        <v>Loss Making</v>
      </c>
      <c r="M1007" s="2" t="str">
        <f t="shared" si="91"/>
        <v>Stable Earnings</v>
      </c>
      <c r="N1007" s="2" t="str">
        <f t="shared" si="92"/>
        <v>Moderate</v>
      </c>
      <c r="O1007" s="4" t="str">
        <f t="shared" si="93"/>
        <v>Accounting Risk</v>
      </c>
      <c r="P1007" s="4" t="str">
        <f t="shared" si="94"/>
        <v>Moderate</v>
      </c>
      <c r="Q1007" s="4" t="str">
        <f t="shared" si="95"/>
        <v>Moderate Growth</v>
      </c>
    </row>
    <row r="1008" spans="1:17" x14ac:dyDescent="0.35">
      <c r="A1008" s="2" t="s">
        <v>1018</v>
      </c>
      <c r="B1008" s="2">
        <v>5</v>
      </c>
      <c r="C1008" s="2">
        <v>24330366.539999999</v>
      </c>
      <c r="D1008" s="2">
        <v>0.8</v>
      </c>
      <c r="E1008" s="2">
        <v>81935413.489999995</v>
      </c>
      <c r="F1008" s="2">
        <v>-33757844.399999999</v>
      </c>
      <c r="G1008" s="2">
        <v>3</v>
      </c>
      <c r="H1008" s="2">
        <v>3</v>
      </c>
      <c r="I1008" s="2">
        <v>4</v>
      </c>
      <c r="J1008" s="2">
        <v>3.2</v>
      </c>
      <c r="K1008" s="2" t="s">
        <v>306</v>
      </c>
      <c r="L1008" s="2" t="str">
        <f t="shared" si="90"/>
        <v>Profitable</v>
      </c>
      <c r="M1008" s="2" t="str">
        <f t="shared" si="91"/>
        <v>Stable Earnings</v>
      </c>
      <c r="N1008" s="2" t="str">
        <f t="shared" si="92"/>
        <v>Low Quality</v>
      </c>
      <c r="O1008" s="4" t="str">
        <f t="shared" si="93"/>
        <v>Accounting Risk</v>
      </c>
      <c r="P1008" s="4" t="str">
        <f t="shared" si="94"/>
        <v>Low Quality</v>
      </c>
      <c r="Q1008" s="4" t="str">
        <f t="shared" si="95"/>
        <v>Strong Long-Term Growth</v>
      </c>
    </row>
    <row r="1009" spans="1:17" x14ac:dyDescent="0.35">
      <c r="A1009" s="2" t="s">
        <v>1019</v>
      </c>
      <c r="B1009" s="2">
        <v>5</v>
      </c>
      <c r="C1009" s="2">
        <v>-25965648.899999999</v>
      </c>
      <c r="D1009" s="2">
        <v>0.4</v>
      </c>
      <c r="E1009" s="2">
        <v>46531980.100000001</v>
      </c>
      <c r="F1009" s="2">
        <v>-32500252.899999999</v>
      </c>
      <c r="G1009" s="2">
        <v>3</v>
      </c>
      <c r="H1009" s="2">
        <v>3</v>
      </c>
      <c r="I1009" s="2">
        <v>4</v>
      </c>
      <c r="J1009" s="2">
        <v>3.2</v>
      </c>
      <c r="K1009" s="2" t="s">
        <v>306</v>
      </c>
      <c r="L1009" s="2" t="str">
        <f t="shared" si="90"/>
        <v>Loss Making</v>
      </c>
      <c r="M1009" s="2" t="str">
        <f t="shared" si="91"/>
        <v>Stable Earnings</v>
      </c>
      <c r="N1009" s="2" t="str">
        <f t="shared" si="92"/>
        <v>Low Quality</v>
      </c>
      <c r="O1009" s="4" t="str">
        <f t="shared" si="93"/>
        <v>Accounting Risk</v>
      </c>
      <c r="P1009" s="4" t="str">
        <f t="shared" si="94"/>
        <v>Low Quality</v>
      </c>
      <c r="Q1009" s="4" t="str">
        <f t="shared" si="95"/>
        <v>Strong Long-Term Growth</v>
      </c>
    </row>
    <row r="1010" spans="1:17" x14ac:dyDescent="0.35">
      <c r="A1010" s="2" t="s">
        <v>1020</v>
      </c>
      <c r="B1010" s="2">
        <v>5</v>
      </c>
      <c r="C1010" s="2">
        <v>-35149174.119999997</v>
      </c>
      <c r="D1010" s="2">
        <v>0.6</v>
      </c>
      <c r="E1010" s="2">
        <v>110587145.90000001</v>
      </c>
      <c r="F1010" s="2">
        <v>-36238200.700000003</v>
      </c>
      <c r="G1010" s="2">
        <v>3</v>
      </c>
      <c r="H1010" s="2">
        <v>3</v>
      </c>
      <c r="I1010" s="2">
        <v>4</v>
      </c>
      <c r="J1010" s="2">
        <v>3.2</v>
      </c>
      <c r="K1010" s="2" t="s">
        <v>306</v>
      </c>
      <c r="L1010" s="2" t="str">
        <f t="shared" si="90"/>
        <v>Loss Making</v>
      </c>
      <c r="M1010" s="2" t="str">
        <f t="shared" si="91"/>
        <v>Stable Earnings</v>
      </c>
      <c r="N1010" s="2" t="str">
        <f t="shared" si="92"/>
        <v>Low Quality</v>
      </c>
      <c r="O1010" s="4" t="str">
        <f t="shared" si="93"/>
        <v>Accounting Risk</v>
      </c>
      <c r="P1010" s="4" t="str">
        <f t="shared" si="94"/>
        <v>Low Quality</v>
      </c>
      <c r="Q1010" s="4" t="str">
        <f t="shared" si="95"/>
        <v>Strong Long-Term Growth</v>
      </c>
    </row>
    <row r="1011" spans="1:17" x14ac:dyDescent="0.35">
      <c r="A1011" s="2" t="s">
        <v>1021</v>
      </c>
      <c r="B1011" s="2">
        <v>5</v>
      </c>
      <c r="C1011" s="2">
        <v>37692718.060000002</v>
      </c>
      <c r="D1011" s="2">
        <v>0.6</v>
      </c>
      <c r="E1011" s="2">
        <v>60073471.5</v>
      </c>
      <c r="F1011" s="2">
        <v>-22393188.800000001</v>
      </c>
      <c r="G1011" s="2">
        <v>3</v>
      </c>
      <c r="H1011" s="2">
        <v>3</v>
      </c>
      <c r="I1011" s="2">
        <v>4</v>
      </c>
      <c r="J1011" s="2">
        <v>3.2</v>
      </c>
      <c r="K1011" s="2" t="s">
        <v>306</v>
      </c>
      <c r="L1011" s="2" t="str">
        <f t="shared" si="90"/>
        <v>Profitable</v>
      </c>
      <c r="M1011" s="2" t="str">
        <f t="shared" si="91"/>
        <v>Stable Earnings</v>
      </c>
      <c r="N1011" s="2" t="str">
        <f t="shared" si="92"/>
        <v>Low Quality</v>
      </c>
      <c r="O1011" s="4" t="str">
        <f t="shared" si="93"/>
        <v>Accounting Risk</v>
      </c>
      <c r="P1011" s="4" t="str">
        <f t="shared" si="94"/>
        <v>Low Quality</v>
      </c>
      <c r="Q1011" s="4" t="str">
        <f t="shared" si="95"/>
        <v>Strong Long-Term Growth</v>
      </c>
    </row>
    <row r="1012" spans="1:17" x14ac:dyDescent="0.35">
      <c r="A1012" s="2" t="s">
        <v>1022</v>
      </c>
      <c r="B1012" s="2">
        <v>5</v>
      </c>
      <c r="C1012" s="2">
        <v>-20205909.68</v>
      </c>
      <c r="D1012" s="2">
        <v>0.6</v>
      </c>
      <c r="E1012" s="2">
        <v>45661432.280000001</v>
      </c>
      <c r="F1012" s="2">
        <v>-23264038.100000001</v>
      </c>
      <c r="G1012" s="2">
        <v>3</v>
      </c>
      <c r="H1012" s="2">
        <v>3</v>
      </c>
      <c r="I1012" s="2">
        <v>4</v>
      </c>
      <c r="J1012" s="2">
        <v>3.2</v>
      </c>
      <c r="K1012" s="2" t="s">
        <v>306</v>
      </c>
      <c r="L1012" s="2" t="str">
        <f t="shared" si="90"/>
        <v>Loss Making</v>
      </c>
      <c r="M1012" s="2" t="str">
        <f t="shared" si="91"/>
        <v>Stable Earnings</v>
      </c>
      <c r="N1012" s="2" t="str">
        <f t="shared" si="92"/>
        <v>Low Quality</v>
      </c>
      <c r="O1012" s="4" t="str">
        <f t="shared" si="93"/>
        <v>Accounting Risk</v>
      </c>
      <c r="P1012" s="4" t="str">
        <f t="shared" si="94"/>
        <v>Low Quality</v>
      </c>
      <c r="Q1012" s="4" t="str">
        <f t="shared" si="95"/>
        <v>Strong Long-Term Growth</v>
      </c>
    </row>
    <row r="1013" spans="1:17" x14ac:dyDescent="0.35">
      <c r="A1013" s="2" t="s">
        <v>1023</v>
      </c>
      <c r="B1013" s="2">
        <v>5</v>
      </c>
      <c r="C1013" s="2">
        <v>21703388.84</v>
      </c>
      <c r="D1013" s="2">
        <v>0.4</v>
      </c>
      <c r="E1013" s="2">
        <v>49940294.159999996</v>
      </c>
      <c r="F1013" s="2">
        <v>-12908334.699999999</v>
      </c>
      <c r="G1013" s="2">
        <v>3</v>
      </c>
      <c r="H1013" s="2">
        <v>3</v>
      </c>
      <c r="I1013" s="2">
        <v>4</v>
      </c>
      <c r="J1013" s="2">
        <v>3.2</v>
      </c>
      <c r="K1013" s="2" t="s">
        <v>306</v>
      </c>
      <c r="L1013" s="2" t="str">
        <f t="shared" si="90"/>
        <v>Profitable</v>
      </c>
      <c r="M1013" s="2" t="str">
        <f t="shared" si="91"/>
        <v>Stable Earnings</v>
      </c>
      <c r="N1013" s="2" t="str">
        <f t="shared" si="92"/>
        <v>Low Quality</v>
      </c>
      <c r="O1013" s="4" t="str">
        <f t="shared" si="93"/>
        <v>Accounting Risk</v>
      </c>
      <c r="P1013" s="4" t="str">
        <f t="shared" si="94"/>
        <v>Low Quality</v>
      </c>
      <c r="Q1013" s="4" t="str">
        <f t="shared" si="95"/>
        <v>Strong Long-Term Growth</v>
      </c>
    </row>
    <row r="1014" spans="1:17" x14ac:dyDescent="0.35">
      <c r="A1014" s="2" t="s">
        <v>1024</v>
      </c>
      <c r="B1014" s="2">
        <v>5</v>
      </c>
      <c r="C1014" s="2">
        <v>-10202300.66</v>
      </c>
      <c r="D1014" s="2">
        <v>0.6</v>
      </c>
      <c r="E1014" s="2">
        <v>70115970.650000006</v>
      </c>
      <c r="F1014" s="2">
        <v>-7748366</v>
      </c>
      <c r="G1014" s="2">
        <v>3</v>
      </c>
      <c r="H1014" s="2">
        <v>3</v>
      </c>
      <c r="I1014" s="2">
        <v>4</v>
      </c>
      <c r="J1014" s="2">
        <v>3.2</v>
      </c>
      <c r="K1014" s="2" t="s">
        <v>306</v>
      </c>
      <c r="L1014" s="2" t="str">
        <f t="shared" si="90"/>
        <v>Loss Making</v>
      </c>
      <c r="M1014" s="2" t="str">
        <f t="shared" si="91"/>
        <v>Stable Earnings</v>
      </c>
      <c r="N1014" s="2" t="str">
        <f t="shared" si="92"/>
        <v>Low Quality</v>
      </c>
      <c r="O1014" s="4" t="str">
        <f t="shared" si="93"/>
        <v>Accounting Risk</v>
      </c>
      <c r="P1014" s="4" t="str">
        <f t="shared" si="94"/>
        <v>Low Quality</v>
      </c>
      <c r="Q1014" s="4" t="str">
        <f t="shared" si="95"/>
        <v>Strong Long-Term Growth</v>
      </c>
    </row>
    <row r="1015" spans="1:17" x14ac:dyDescent="0.35">
      <c r="A1015" s="2" t="s">
        <v>1025</v>
      </c>
      <c r="B1015" s="2">
        <v>5</v>
      </c>
      <c r="C1015" s="2">
        <v>-13238858.76</v>
      </c>
      <c r="D1015" s="2">
        <v>0.2</v>
      </c>
      <c r="E1015" s="2">
        <v>17081580.469999999</v>
      </c>
      <c r="F1015" s="2">
        <v>8556913</v>
      </c>
      <c r="G1015" s="2">
        <v>4</v>
      </c>
      <c r="H1015" s="2">
        <v>2</v>
      </c>
      <c r="I1015" s="2">
        <v>3</v>
      </c>
      <c r="J1015" s="2">
        <v>3.2</v>
      </c>
      <c r="K1015" s="2" t="s">
        <v>306</v>
      </c>
      <c r="L1015" s="2" t="str">
        <f t="shared" si="90"/>
        <v>Loss Making</v>
      </c>
      <c r="M1015" s="2" t="str">
        <f t="shared" si="91"/>
        <v>Stable Earnings</v>
      </c>
      <c r="N1015" s="2" t="str">
        <f t="shared" si="92"/>
        <v>Moderate</v>
      </c>
      <c r="O1015" s="4" t="str">
        <f t="shared" si="93"/>
        <v>Accounting Risk</v>
      </c>
      <c r="P1015" s="4" t="str">
        <f t="shared" si="94"/>
        <v>Moderate</v>
      </c>
      <c r="Q1015" s="4" t="str">
        <f t="shared" si="95"/>
        <v>Moderate Growth</v>
      </c>
    </row>
    <row r="1016" spans="1:17" x14ac:dyDescent="0.35">
      <c r="A1016" s="2" t="s">
        <v>1026</v>
      </c>
      <c r="B1016" s="2">
        <v>5</v>
      </c>
      <c r="C1016" s="2">
        <v>-17436740.420000002</v>
      </c>
      <c r="D1016" s="2">
        <v>0.4</v>
      </c>
      <c r="E1016" s="2">
        <v>28449191.77</v>
      </c>
      <c r="F1016" s="2">
        <v>12165877.300000001</v>
      </c>
      <c r="G1016" s="2">
        <v>4</v>
      </c>
      <c r="H1016" s="2">
        <v>2</v>
      </c>
      <c r="I1016" s="2">
        <v>3</v>
      </c>
      <c r="J1016" s="2">
        <v>3.2</v>
      </c>
      <c r="K1016" s="2" t="s">
        <v>306</v>
      </c>
      <c r="L1016" s="2" t="str">
        <f t="shared" si="90"/>
        <v>Loss Making</v>
      </c>
      <c r="M1016" s="2" t="str">
        <f t="shared" si="91"/>
        <v>Stable Earnings</v>
      </c>
      <c r="N1016" s="2" t="str">
        <f t="shared" si="92"/>
        <v>Moderate</v>
      </c>
      <c r="O1016" s="4" t="str">
        <f t="shared" si="93"/>
        <v>Accounting Risk</v>
      </c>
      <c r="P1016" s="4" t="str">
        <f t="shared" si="94"/>
        <v>Moderate</v>
      </c>
      <c r="Q1016" s="4" t="str">
        <f t="shared" si="95"/>
        <v>Moderate Growth</v>
      </c>
    </row>
    <row r="1017" spans="1:17" x14ac:dyDescent="0.35">
      <c r="A1017" s="2" t="s">
        <v>1027</v>
      </c>
      <c r="B1017" s="2">
        <v>5</v>
      </c>
      <c r="C1017" s="2">
        <v>-19268977.34</v>
      </c>
      <c r="D1017" s="2">
        <v>0</v>
      </c>
      <c r="E1017" s="2">
        <v>27366093.129999999</v>
      </c>
      <c r="F1017" s="2">
        <v>18161466</v>
      </c>
      <c r="G1017" s="2">
        <v>4</v>
      </c>
      <c r="H1017" s="2">
        <v>2</v>
      </c>
      <c r="I1017" s="2">
        <v>3</v>
      </c>
      <c r="J1017" s="2">
        <v>3.2</v>
      </c>
      <c r="K1017" s="2" t="s">
        <v>306</v>
      </c>
      <c r="L1017" s="2" t="str">
        <f t="shared" si="90"/>
        <v>Loss Making</v>
      </c>
      <c r="M1017" s="2" t="str">
        <f t="shared" si="91"/>
        <v>Stable Earnings</v>
      </c>
      <c r="N1017" s="2" t="str">
        <f t="shared" si="92"/>
        <v>Moderate</v>
      </c>
      <c r="O1017" s="4" t="str">
        <f t="shared" si="93"/>
        <v>Accounting Risk</v>
      </c>
      <c r="P1017" s="4" t="str">
        <f t="shared" si="94"/>
        <v>Moderate</v>
      </c>
      <c r="Q1017" s="4" t="str">
        <f t="shared" si="95"/>
        <v>Moderate Growth</v>
      </c>
    </row>
    <row r="1018" spans="1:17" x14ac:dyDescent="0.35">
      <c r="A1018" s="2" t="s">
        <v>1028</v>
      </c>
      <c r="B1018" s="2">
        <v>5</v>
      </c>
      <c r="C1018" s="2">
        <v>-15338386.92</v>
      </c>
      <c r="D1018" s="2">
        <v>0.4</v>
      </c>
      <c r="E1018" s="2">
        <v>42468960.100000001</v>
      </c>
      <c r="F1018" s="2">
        <v>16698115</v>
      </c>
      <c r="G1018" s="2">
        <v>4</v>
      </c>
      <c r="H1018" s="2">
        <v>2</v>
      </c>
      <c r="I1018" s="2">
        <v>3</v>
      </c>
      <c r="J1018" s="2">
        <v>3.2</v>
      </c>
      <c r="K1018" s="2" t="s">
        <v>306</v>
      </c>
      <c r="L1018" s="2" t="str">
        <f t="shared" si="90"/>
        <v>Loss Making</v>
      </c>
      <c r="M1018" s="2" t="str">
        <f t="shared" si="91"/>
        <v>Stable Earnings</v>
      </c>
      <c r="N1018" s="2" t="str">
        <f t="shared" si="92"/>
        <v>Moderate</v>
      </c>
      <c r="O1018" s="4" t="str">
        <f t="shared" si="93"/>
        <v>Accounting Risk</v>
      </c>
      <c r="P1018" s="4" t="str">
        <f t="shared" si="94"/>
        <v>Moderate</v>
      </c>
      <c r="Q1018" s="4" t="str">
        <f t="shared" si="95"/>
        <v>Moderate Growth</v>
      </c>
    </row>
    <row r="1019" spans="1:17" x14ac:dyDescent="0.35">
      <c r="A1019" s="2" t="s">
        <v>1029</v>
      </c>
      <c r="B1019" s="2">
        <v>5</v>
      </c>
      <c r="C1019" s="2">
        <v>-30214177.82</v>
      </c>
      <c r="D1019" s="2">
        <v>0.2</v>
      </c>
      <c r="E1019" s="2">
        <v>31745269.550000001</v>
      </c>
      <c r="F1019" s="2">
        <v>13742890.9</v>
      </c>
      <c r="G1019" s="2">
        <v>4</v>
      </c>
      <c r="H1019" s="2">
        <v>2</v>
      </c>
      <c r="I1019" s="2">
        <v>3</v>
      </c>
      <c r="J1019" s="2">
        <v>3.2</v>
      </c>
      <c r="K1019" s="2" t="s">
        <v>306</v>
      </c>
      <c r="L1019" s="2" t="str">
        <f t="shared" si="90"/>
        <v>Loss Making</v>
      </c>
      <c r="M1019" s="2" t="str">
        <f t="shared" si="91"/>
        <v>Stable Earnings</v>
      </c>
      <c r="N1019" s="2" t="str">
        <f t="shared" si="92"/>
        <v>Moderate</v>
      </c>
      <c r="O1019" s="4" t="str">
        <f t="shared" si="93"/>
        <v>Accounting Risk</v>
      </c>
      <c r="P1019" s="4" t="str">
        <f t="shared" si="94"/>
        <v>Moderate</v>
      </c>
      <c r="Q1019" s="4" t="str">
        <f t="shared" si="95"/>
        <v>Moderate Growth</v>
      </c>
    </row>
    <row r="1020" spans="1:17" x14ac:dyDescent="0.35">
      <c r="A1020" s="2" t="s">
        <v>1030</v>
      </c>
      <c r="B1020" s="2">
        <v>5</v>
      </c>
      <c r="C1020" s="2">
        <v>-24954860.739999998</v>
      </c>
      <c r="D1020" s="2">
        <v>0.2</v>
      </c>
      <c r="E1020" s="2">
        <v>33451962.050000001</v>
      </c>
      <c r="F1020" s="2">
        <v>12673844</v>
      </c>
      <c r="G1020" s="2">
        <v>4</v>
      </c>
      <c r="H1020" s="2">
        <v>2</v>
      </c>
      <c r="I1020" s="2">
        <v>3</v>
      </c>
      <c r="J1020" s="2">
        <v>3.2</v>
      </c>
      <c r="K1020" s="2" t="s">
        <v>306</v>
      </c>
      <c r="L1020" s="2" t="str">
        <f t="shared" si="90"/>
        <v>Loss Making</v>
      </c>
      <c r="M1020" s="2" t="str">
        <f t="shared" si="91"/>
        <v>Stable Earnings</v>
      </c>
      <c r="N1020" s="2" t="str">
        <f t="shared" si="92"/>
        <v>Moderate</v>
      </c>
      <c r="O1020" s="4" t="str">
        <f t="shared" si="93"/>
        <v>Accounting Risk</v>
      </c>
      <c r="P1020" s="4" t="str">
        <f t="shared" si="94"/>
        <v>Moderate</v>
      </c>
      <c r="Q1020" s="4" t="str">
        <f t="shared" si="95"/>
        <v>Moderate Growth</v>
      </c>
    </row>
    <row r="1021" spans="1:17" x14ac:dyDescent="0.35">
      <c r="A1021" s="2" t="s">
        <v>1031</v>
      </c>
      <c r="B1021" s="2">
        <v>5</v>
      </c>
      <c r="C1021" s="2">
        <v>-9567641.6400000006</v>
      </c>
      <c r="D1021" s="2">
        <v>0.4</v>
      </c>
      <c r="E1021" s="2">
        <v>24627715.510000002</v>
      </c>
      <c r="F1021" s="2">
        <v>12667253.199999999</v>
      </c>
      <c r="G1021" s="2">
        <v>4</v>
      </c>
      <c r="H1021" s="2">
        <v>2</v>
      </c>
      <c r="I1021" s="2">
        <v>3</v>
      </c>
      <c r="J1021" s="2">
        <v>3.2</v>
      </c>
      <c r="K1021" s="2" t="s">
        <v>306</v>
      </c>
      <c r="L1021" s="2" t="str">
        <f t="shared" si="90"/>
        <v>Loss Making</v>
      </c>
      <c r="M1021" s="2" t="str">
        <f t="shared" si="91"/>
        <v>Stable Earnings</v>
      </c>
      <c r="N1021" s="2" t="str">
        <f t="shared" si="92"/>
        <v>Moderate</v>
      </c>
      <c r="O1021" s="4" t="str">
        <f t="shared" si="93"/>
        <v>Accounting Risk</v>
      </c>
      <c r="P1021" s="4" t="str">
        <f t="shared" si="94"/>
        <v>Moderate</v>
      </c>
      <c r="Q1021" s="4" t="str">
        <f t="shared" si="95"/>
        <v>Moderate Growth</v>
      </c>
    </row>
    <row r="1022" spans="1:17" x14ac:dyDescent="0.35">
      <c r="A1022" s="2" t="s">
        <v>1032</v>
      </c>
      <c r="B1022" s="2">
        <v>5</v>
      </c>
      <c r="C1022" s="2">
        <v>-25259077.960000001</v>
      </c>
      <c r="D1022" s="2">
        <v>0</v>
      </c>
      <c r="E1022" s="2">
        <v>12064944.84</v>
      </c>
      <c r="F1022" s="2">
        <v>27547751.800000001</v>
      </c>
      <c r="G1022" s="2">
        <v>5</v>
      </c>
      <c r="H1022" s="2">
        <v>1</v>
      </c>
      <c r="I1022" s="2">
        <v>2</v>
      </c>
      <c r="J1022" s="2">
        <v>3.2</v>
      </c>
      <c r="K1022" s="2" t="s">
        <v>306</v>
      </c>
      <c r="L1022" s="2" t="str">
        <f t="shared" si="90"/>
        <v>Loss Making</v>
      </c>
      <c r="M1022" s="2" t="str">
        <f t="shared" si="91"/>
        <v>Stable Earnings</v>
      </c>
      <c r="N1022" s="2" t="str">
        <f t="shared" si="92"/>
        <v>Moderate</v>
      </c>
      <c r="O1022" s="4" t="str">
        <f t="shared" si="93"/>
        <v>Accounting Risk</v>
      </c>
      <c r="P1022" s="4" t="str">
        <f t="shared" si="94"/>
        <v>Moderate</v>
      </c>
      <c r="Q1022" s="4" t="str">
        <f t="shared" si="95"/>
        <v>Moderate Growth</v>
      </c>
    </row>
    <row r="1023" spans="1:17" x14ac:dyDescent="0.35">
      <c r="A1023" s="2" t="s">
        <v>1033</v>
      </c>
      <c r="B1023" s="2">
        <v>5</v>
      </c>
      <c r="C1023" s="2">
        <v>-20500350.460000001</v>
      </c>
      <c r="D1023" s="2">
        <v>0</v>
      </c>
      <c r="E1023" s="2">
        <v>10868419.01</v>
      </c>
      <c r="F1023" s="2">
        <v>28398606</v>
      </c>
      <c r="G1023" s="2">
        <v>5</v>
      </c>
      <c r="H1023" s="2">
        <v>1</v>
      </c>
      <c r="I1023" s="2">
        <v>2</v>
      </c>
      <c r="J1023" s="2">
        <v>3.2</v>
      </c>
      <c r="K1023" s="2" t="s">
        <v>306</v>
      </c>
      <c r="L1023" s="2" t="str">
        <f t="shared" si="90"/>
        <v>Loss Making</v>
      </c>
      <c r="M1023" s="2" t="str">
        <f t="shared" si="91"/>
        <v>Stable Earnings</v>
      </c>
      <c r="N1023" s="2" t="str">
        <f t="shared" si="92"/>
        <v>Moderate</v>
      </c>
      <c r="O1023" s="4" t="str">
        <f t="shared" si="93"/>
        <v>Accounting Risk</v>
      </c>
      <c r="P1023" s="4" t="str">
        <f t="shared" si="94"/>
        <v>Moderate</v>
      </c>
      <c r="Q1023" s="4" t="str">
        <f t="shared" si="95"/>
        <v>Moderate Growth</v>
      </c>
    </row>
    <row r="1024" spans="1:17" x14ac:dyDescent="0.35">
      <c r="A1024" s="2" t="s">
        <v>1034</v>
      </c>
      <c r="B1024" s="2">
        <v>5</v>
      </c>
      <c r="C1024" s="2">
        <v>-51253089.240000002</v>
      </c>
      <c r="D1024" s="2">
        <v>0</v>
      </c>
      <c r="E1024" s="2">
        <v>12951146.08</v>
      </c>
      <c r="F1024" s="2">
        <v>27898687.600000001</v>
      </c>
      <c r="G1024" s="2">
        <v>5</v>
      </c>
      <c r="H1024" s="2">
        <v>1</v>
      </c>
      <c r="I1024" s="2">
        <v>2</v>
      </c>
      <c r="J1024" s="2">
        <v>3.2</v>
      </c>
      <c r="K1024" s="2" t="s">
        <v>306</v>
      </c>
      <c r="L1024" s="2" t="str">
        <f t="shared" si="90"/>
        <v>Loss Making</v>
      </c>
      <c r="M1024" s="2" t="str">
        <f t="shared" si="91"/>
        <v>Stable Earnings</v>
      </c>
      <c r="N1024" s="2" t="str">
        <f t="shared" si="92"/>
        <v>Moderate</v>
      </c>
      <c r="O1024" s="4" t="str">
        <f t="shared" si="93"/>
        <v>Accounting Risk</v>
      </c>
      <c r="P1024" s="4" t="str">
        <f t="shared" si="94"/>
        <v>Moderate</v>
      </c>
      <c r="Q1024" s="4" t="str">
        <f t="shared" si="95"/>
        <v>Moderate Growth</v>
      </c>
    </row>
    <row r="1025" spans="1:17" x14ac:dyDescent="0.35">
      <c r="A1025" s="2" t="s">
        <v>1035</v>
      </c>
      <c r="B1025" s="2">
        <v>5</v>
      </c>
      <c r="C1025" s="2">
        <v>-36547983.380000003</v>
      </c>
      <c r="D1025" s="2">
        <v>0</v>
      </c>
      <c r="E1025" s="2">
        <v>14143335.050000001</v>
      </c>
      <c r="F1025" s="2">
        <v>32423267.899999999</v>
      </c>
      <c r="G1025" s="2">
        <v>5</v>
      </c>
      <c r="H1025" s="2">
        <v>1</v>
      </c>
      <c r="I1025" s="2">
        <v>2</v>
      </c>
      <c r="J1025" s="2">
        <v>3.2</v>
      </c>
      <c r="K1025" s="2" t="s">
        <v>306</v>
      </c>
      <c r="L1025" s="2" t="str">
        <f t="shared" si="90"/>
        <v>Loss Making</v>
      </c>
      <c r="M1025" s="2" t="str">
        <f t="shared" si="91"/>
        <v>Stable Earnings</v>
      </c>
      <c r="N1025" s="2" t="str">
        <f t="shared" si="92"/>
        <v>Moderate</v>
      </c>
      <c r="O1025" s="4" t="str">
        <f t="shared" si="93"/>
        <v>Accounting Risk</v>
      </c>
      <c r="P1025" s="4" t="str">
        <f t="shared" si="94"/>
        <v>Moderate</v>
      </c>
      <c r="Q1025" s="4" t="str">
        <f t="shared" si="95"/>
        <v>Moderate Growth</v>
      </c>
    </row>
    <row r="1026" spans="1:17" x14ac:dyDescent="0.35">
      <c r="A1026" s="2" t="s">
        <v>1036</v>
      </c>
      <c r="B1026" s="2">
        <v>5</v>
      </c>
      <c r="C1026" s="2">
        <v>-53518897.18</v>
      </c>
      <c r="D1026" s="2">
        <v>0</v>
      </c>
      <c r="E1026" s="2">
        <v>13706747.609999999</v>
      </c>
      <c r="F1026" s="2">
        <v>33433697.899999999</v>
      </c>
      <c r="G1026" s="2">
        <v>5</v>
      </c>
      <c r="H1026" s="2">
        <v>1</v>
      </c>
      <c r="I1026" s="2">
        <v>2</v>
      </c>
      <c r="J1026" s="2">
        <v>3.2</v>
      </c>
      <c r="K1026" s="2" t="s">
        <v>306</v>
      </c>
      <c r="L1026" s="2" t="str">
        <f t="shared" ref="L1026:L1089" si="96">IF(C1026&gt;0,"Profitable","Loss Making")</f>
        <v>Loss Making</v>
      </c>
      <c r="M1026" s="2" t="str">
        <f t="shared" ref="M1026:M1089" si="97">IF(C1026&gt;500000000,"High Volatility","Stable Earnings")</f>
        <v>Stable Earnings</v>
      </c>
      <c r="N1026" s="2" t="str">
        <f t="shared" ref="N1026:N1089" si="98">IF(G1026&gt;=7,"High Quality",IF(G1026&gt;=4,"Moderate","Low Quality"))</f>
        <v>Moderate</v>
      </c>
      <c r="O1026" s="4" t="str">
        <f t="shared" ref="O1026:O1089" si="99">IF(AND(F1026&gt;0,D1026&gt;0.6),"Operational Growth","Accounting Risk")</f>
        <v>Accounting Risk</v>
      </c>
      <c r="P1026" s="4" t="str">
        <f t="shared" ref="P1026:P1089" si="100">IF(G1026&gt;=7,"High Quality", IF(G1026&gt;=4,"Moderate","Low Quality"))</f>
        <v>Moderate</v>
      </c>
      <c r="Q1026" s="4" t="str">
        <f t="shared" ref="Q1026:Q1089" si="101">IF(I1026&gt;=4,"Strong Long-Term Growth",IF(I1026&gt;=2,"Moderate Growth","Weak Growth"))</f>
        <v>Moderate Growth</v>
      </c>
    </row>
    <row r="1027" spans="1:17" x14ac:dyDescent="0.35">
      <c r="A1027" s="2" t="s">
        <v>1037</v>
      </c>
      <c r="B1027" s="2">
        <v>5</v>
      </c>
      <c r="C1027" s="2">
        <v>-17523420.219999999</v>
      </c>
      <c r="D1027" s="2">
        <v>0.4</v>
      </c>
      <c r="E1027" s="2">
        <v>34912443.350000001</v>
      </c>
      <c r="F1027" s="2">
        <v>25598763.100000001</v>
      </c>
      <c r="G1027" s="2">
        <v>4</v>
      </c>
      <c r="H1027" s="2">
        <v>2</v>
      </c>
      <c r="I1027" s="2">
        <v>3</v>
      </c>
      <c r="J1027" s="2">
        <v>3.2</v>
      </c>
      <c r="K1027" s="2" t="s">
        <v>306</v>
      </c>
      <c r="L1027" s="2" t="str">
        <f t="shared" si="96"/>
        <v>Loss Making</v>
      </c>
      <c r="M1027" s="2" t="str">
        <f t="shared" si="97"/>
        <v>Stable Earnings</v>
      </c>
      <c r="N1027" s="2" t="str">
        <f t="shared" si="98"/>
        <v>Moderate</v>
      </c>
      <c r="O1027" s="4" t="str">
        <f t="shared" si="99"/>
        <v>Accounting Risk</v>
      </c>
      <c r="P1027" s="4" t="str">
        <f t="shared" si="100"/>
        <v>Moderate</v>
      </c>
      <c r="Q1027" s="4" t="str">
        <f t="shared" si="101"/>
        <v>Moderate Growth</v>
      </c>
    </row>
    <row r="1028" spans="1:17" x14ac:dyDescent="0.35">
      <c r="A1028" s="2" t="s">
        <v>1038</v>
      </c>
      <c r="B1028" s="2">
        <v>5</v>
      </c>
      <c r="C1028" s="2">
        <v>-13583866.279999999</v>
      </c>
      <c r="D1028" s="2">
        <v>0.2</v>
      </c>
      <c r="E1028" s="2">
        <v>18402999.809999999</v>
      </c>
      <c r="F1028" s="2">
        <v>23852221.5</v>
      </c>
      <c r="G1028" s="2">
        <v>4</v>
      </c>
      <c r="H1028" s="2">
        <v>2</v>
      </c>
      <c r="I1028" s="2">
        <v>3</v>
      </c>
      <c r="J1028" s="2">
        <v>3.2</v>
      </c>
      <c r="K1028" s="2" t="s">
        <v>306</v>
      </c>
      <c r="L1028" s="2" t="str">
        <f t="shared" si="96"/>
        <v>Loss Making</v>
      </c>
      <c r="M1028" s="2" t="str">
        <f t="shared" si="97"/>
        <v>Stable Earnings</v>
      </c>
      <c r="N1028" s="2" t="str">
        <f t="shared" si="98"/>
        <v>Moderate</v>
      </c>
      <c r="O1028" s="4" t="str">
        <f t="shared" si="99"/>
        <v>Accounting Risk</v>
      </c>
      <c r="P1028" s="4" t="str">
        <f t="shared" si="100"/>
        <v>Moderate</v>
      </c>
      <c r="Q1028" s="4" t="str">
        <f t="shared" si="101"/>
        <v>Moderate Growth</v>
      </c>
    </row>
    <row r="1029" spans="1:17" x14ac:dyDescent="0.35">
      <c r="A1029" s="2" t="s">
        <v>1039</v>
      </c>
      <c r="B1029" s="2">
        <v>5</v>
      </c>
      <c r="C1029" s="2">
        <v>4973744.1399999997</v>
      </c>
      <c r="D1029" s="2">
        <v>0.4</v>
      </c>
      <c r="E1029" s="2">
        <v>23452794.579999998</v>
      </c>
      <c r="F1029" s="2">
        <v>23734309.5</v>
      </c>
      <c r="G1029" s="2">
        <v>4</v>
      </c>
      <c r="H1029" s="2">
        <v>2</v>
      </c>
      <c r="I1029" s="2">
        <v>3</v>
      </c>
      <c r="J1029" s="2">
        <v>3.2</v>
      </c>
      <c r="K1029" s="2" t="s">
        <v>306</v>
      </c>
      <c r="L1029" s="2" t="str">
        <f t="shared" si="96"/>
        <v>Profitable</v>
      </c>
      <c r="M1029" s="2" t="str">
        <f t="shared" si="97"/>
        <v>Stable Earnings</v>
      </c>
      <c r="N1029" s="2" t="str">
        <f t="shared" si="98"/>
        <v>Moderate</v>
      </c>
      <c r="O1029" s="4" t="str">
        <f t="shared" si="99"/>
        <v>Accounting Risk</v>
      </c>
      <c r="P1029" s="4" t="str">
        <f t="shared" si="100"/>
        <v>Moderate</v>
      </c>
      <c r="Q1029" s="4" t="str">
        <f t="shared" si="101"/>
        <v>Moderate Growth</v>
      </c>
    </row>
    <row r="1030" spans="1:17" x14ac:dyDescent="0.35">
      <c r="A1030" s="2" t="s">
        <v>1040</v>
      </c>
      <c r="B1030" s="2">
        <v>5</v>
      </c>
      <c r="C1030" s="2">
        <v>-72648844.239999995</v>
      </c>
      <c r="D1030" s="2">
        <v>0</v>
      </c>
      <c r="E1030" s="2">
        <v>25888506.949999999</v>
      </c>
      <c r="F1030" s="2">
        <v>21215480.399999999</v>
      </c>
      <c r="G1030" s="2">
        <v>4</v>
      </c>
      <c r="H1030" s="2">
        <v>2</v>
      </c>
      <c r="I1030" s="2">
        <v>3</v>
      </c>
      <c r="J1030" s="2">
        <v>3.2</v>
      </c>
      <c r="K1030" s="2" t="s">
        <v>306</v>
      </c>
      <c r="L1030" s="2" t="str">
        <f t="shared" si="96"/>
        <v>Loss Making</v>
      </c>
      <c r="M1030" s="2" t="str">
        <f t="shared" si="97"/>
        <v>Stable Earnings</v>
      </c>
      <c r="N1030" s="2" t="str">
        <f t="shared" si="98"/>
        <v>Moderate</v>
      </c>
      <c r="O1030" s="4" t="str">
        <f t="shared" si="99"/>
        <v>Accounting Risk</v>
      </c>
      <c r="P1030" s="4" t="str">
        <f t="shared" si="100"/>
        <v>Moderate</v>
      </c>
      <c r="Q1030" s="4" t="str">
        <f t="shared" si="101"/>
        <v>Moderate Growth</v>
      </c>
    </row>
    <row r="1031" spans="1:17" x14ac:dyDescent="0.35">
      <c r="A1031" s="2" t="s">
        <v>1041</v>
      </c>
      <c r="B1031" s="2">
        <v>5</v>
      </c>
      <c r="C1031" s="2">
        <v>412457742.60000002</v>
      </c>
      <c r="D1031" s="2">
        <v>0.8</v>
      </c>
      <c r="E1031" s="2">
        <v>625508151.5</v>
      </c>
      <c r="F1031" s="2">
        <v>212505962.19999999</v>
      </c>
      <c r="G1031" s="2">
        <v>3</v>
      </c>
      <c r="H1031" s="2">
        <v>5</v>
      </c>
      <c r="I1031" s="2">
        <v>1</v>
      </c>
      <c r="J1031" s="2">
        <v>3.2</v>
      </c>
      <c r="K1031" s="2" t="s">
        <v>306</v>
      </c>
      <c r="L1031" s="2" t="str">
        <f t="shared" si="96"/>
        <v>Profitable</v>
      </c>
      <c r="M1031" s="2" t="str">
        <f t="shared" si="97"/>
        <v>Stable Earnings</v>
      </c>
      <c r="N1031" s="2" t="str">
        <f t="shared" si="98"/>
        <v>Low Quality</v>
      </c>
      <c r="O1031" s="4" t="str">
        <f t="shared" si="99"/>
        <v>Operational Growth</v>
      </c>
      <c r="P1031" s="4" t="str">
        <f t="shared" si="100"/>
        <v>Low Quality</v>
      </c>
      <c r="Q1031" s="4" t="str">
        <f t="shared" si="101"/>
        <v>Weak Growth</v>
      </c>
    </row>
    <row r="1032" spans="1:17" x14ac:dyDescent="0.35">
      <c r="A1032" s="2" t="s">
        <v>1042</v>
      </c>
      <c r="B1032" s="2">
        <v>5</v>
      </c>
      <c r="C1032" s="2">
        <v>-165043557.30000001</v>
      </c>
      <c r="D1032" s="2">
        <v>0.8</v>
      </c>
      <c r="E1032" s="2">
        <v>1376059093</v>
      </c>
      <c r="F1032" s="2">
        <v>215565649.69999999</v>
      </c>
      <c r="G1032" s="2">
        <v>3</v>
      </c>
      <c r="H1032" s="2">
        <v>5</v>
      </c>
      <c r="I1032" s="2">
        <v>1</v>
      </c>
      <c r="J1032" s="2">
        <v>3.2</v>
      </c>
      <c r="K1032" s="2" t="s">
        <v>306</v>
      </c>
      <c r="L1032" s="2" t="str">
        <f t="shared" si="96"/>
        <v>Loss Making</v>
      </c>
      <c r="M1032" s="2" t="str">
        <f t="shared" si="97"/>
        <v>Stable Earnings</v>
      </c>
      <c r="N1032" s="2" t="str">
        <f t="shared" si="98"/>
        <v>Low Quality</v>
      </c>
      <c r="O1032" s="4" t="str">
        <f t="shared" si="99"/>
        <v>Operational Growth</v>
      </c>
      <c r="P1032" s="4" t="str">
        <f t="shared" si="100"/>
        <v>Low Quality</v>
      </c>
      <c r="Q1032" s="4" t="str">
        <f t="shared" si="101"/>
        <v>Weak Growth</v>
      </c>
    </row>
    <row r="1033" spans="1:17" x14ac:dyDescent="0.35">
      <c r="A1033" s="2" t="s">
        <v>1043</v>
      </c>
      <c r="B1033" s="2">
        <v>5</v>
      </c>
      <c r="C1033" s="2">
        <v>115709213.40000001</v>
      </c>
      <c r="D1033" s="2">
        <v>0.8</v>
      </c>
      <c r="E1033" s="2">
        <v>465170430.10000002</v>
      </c>
      <c r="F1033" s="2">
        <v>213774215</v>
      </c>
      <c r="G1033" s="2">
        <v>3</v>
      </c>
      <c r="H1033" s="2">
        <v>5</v>
      </c>
      <c r="I1033" s="2">
        <v>1</v>
      </c>
      <c r="J1033" s="2">
        <v>3.2</v>
      </c>
      <c r="K1033" s="2" t="s">
        <v>306</v>
      </c>
      <c r="L1033" s="2" t="str">
        <f t="shared" si="96"/>
        <v>Profitable</v>
      </c>
      <c r="M1033" s="2" t="str">
        <f t="shared" si="97"/>
        <v>Stable Earnings</v>
      </c>
      <c r="N1033" s="2" t="str">
        <f t="shared" si="98"/>
        <v>Low Quality</v>
      </c>
      <c r="O1033" s="4" t="str">
        <f t="shared" si="99"/>
        <v>Operational Growth</v>
      </c>
      <c r="P1033" s="4" t="str">
        <f t="shared" si="100"/>
        <v>Low Quality</v>
      </c>
      <c r="Q1033" s="4" t="str">
        <f t="shared" si="101"/>
        <v>Weak Growth</v>
      </c>
    </row>
    <row r="1034" spans="1:17" x14ac:dyDescent="0.35">
      <c r="A1034" s="2" t="s">
        <v>1044</v>
      </c>
      <c r="B1034" s="2">
        <v>5</v>
      </c>
      <c r="C1034" s="2">
        <v>-25905439.98</v>
      </c>
      <c r="D1034" s="2">
        <v>0.8</v>
      </c>
      <c r="E1034" s="2">
        <v>415672646.39999998</v>
      </c>
      <c r="F1034" s="2">
        <v>246154937.40000001</v>
      </c>
      <c r="G1034" s="2">
        <v>3</v>
      </c>
      <c r="H1034" s="2">
        <v>5</v>
      </c>
      <c r="I1034" s="2">
        <v>1</v>
      </c>
      <c r="J1034" s="2">
        <v>3.2</v>
      </c>
      <c r="K1034" s="2" t="s">
        <v>306</v>
      </c>
      <c r="L1034" s="2" t="str">
        <f t="shared" si="96"/>
        <v>Loss Making</v>
      </c>
      <c r="M1034" s="2" t="str">
        <f t="shared" si="97"/>
        <v>Stable Earnings</v>
      </c>
      <c r="N1034" s="2" t="str">
        <f t="shared" si="98"/>
        <v>Low Quality</v>
      </c>
      <c r="O1034" s="4" t="str">
        <f t="shared" si="99"/>
        <v>Operational Growth</v>
      </c>
      <c r="P1034" s="4" t="str">
        <f t="shared" si="100"/>
        <v>Low Quality</v>
      </c>
      <c r="Q1034" s="4" t="str">
        <f t="shared" si="101"/>
        <v>Weak Growth</v>
      </c>
    </row>
    <row r="1035" spans="1:17" x14ac:dyDescent="0.35">
      <c r="A1035" s="2" t="s">
        <v>1045</v>
      </c>
      <c r="B1035" s="2">
        <v>5</v>
      </c>
      <c r="C1035" s="2">
        <v>108569843.90000001</v>
      </c>
      <c r="D1035" s="2">
        <v>0.8</v>
      </c>
      <c r="E1035" s="2">
        <v>446917243.39999998</v>
      </c>
      <c r="F1035" s="2">
        <v>274984637.39999998</v>
      </c>
      <c r="G1035" s="2">
        <v>3</v>
      </c>
      <c r="H1035" s="2">
        <v>5</v>
      </c>
      <c r="I1035" s="2">
        <v>1</v>
      </c>
      <c r="J1035" s="2">
        <v>3.2</v>
      </c>
      <c r="K1035" s="2" t="s">
        <v>306</v>
      </c>
      <c r="L1035" s="2" t="str">
        <f t="shared" si="96"/>
        <v>Profitable</v>
      </c>
      <c r="M1035" s="2" t="str">
        <f t="shared" si="97"/>
        <v>Stable Earnings</v>
      </c>
      <c r="N1035" s="2" t="str">
        <f t="shared" si="98"/>
        <v>Low Quality</v>
      </c>
      <c r="O1035" s="4" t="str">
        <f t="shared" si="99"/>
        <v>Operational Growth</v>
      </c>
      <c r="P1035" s="4" t="str">
        <f t="shared" si="100"/>
        <v>Low Quality</v>
      </c>
      <c r="Q1035" s="4" t="str">
        <f t="shared" si="101"/>
        <v>Weak Growth</v>
      </c>
    </row>
    <row r="1036" spans="1:17" x14ac:dyDescent="0.35">
      <c r="A1036" s="2" t="s">
        <v>1046</v>
      </c>
      <c r="B1036" s="2">
        <v>5</v>
      </c>
      <c r="C1036" s="2">
        <v>652015885.39999998</v>
      </c>
      <c r="D1036" s="2">
        <v>0.8</v>
      </c>
      <c r="E1036" s="2">
        <v>418420475</v>
      </c>
      <c r="F1036" s="2">
        <v>292546841.69999999</v>
      </c>
      <c r="G1036" s="2">
        <v>3</v>
      </c>
      <c r="H1036" s="2">
        <v>5</v>
      </c>
      <c r="I1036" s="2">
        <v>1</v>
      </c>
      <c r="J1036" s="2">
        <v>3.2</v>
      </c>
      <c r="K1036" s="2" t="s">
        <v>306</v>
      </c>
      <c r="L1036" s="2" t="str">
        <f t="shared" si="96"/>
        <v>Profitable</v>
      </c>
      <c r="M1036" s="2" t="str">
        <f t="shared" si="97"/>
        <v>High Volatility</v>
      </c>
      <c r="N1036" s="2" t="str">
        <f t="shared" si="98"/>
        <v>Low Quality</v>
      </c>
      <c r="O1036" s="4" t="str">
        <f t="shared" si="99"/>
        <v>Operational Growth</v>
      </c>
      <c r="P1036" s="4" t="str">
        <f t="shared" si="100"/>
        <v>Low Quality</v>
      </c>
      <c r="Q1036" s="4" t="str">
        <f t="shared" si="101"/>
        <v>Weak Growth</v>
      </c>
    </row>
    <row r="1037" spans="1:17" x14ac:dyDescent="0.35">
      <c r="A1037" s="2" t="s">
        <v>1047</v>
      </c>
      <c r="B1037" s="2">
        <v>5</v>
      </c>
      <c r="C1037" s="2">
        <v>96955666.980000004</v>
      </c>
      <c r="D1037" s="2">
        <v>0.6</v>
      </c>
      <c r="E1037" s="2">
        <v>364873825.39999998</v>
      </c>
      <c r="F1037" s="2">
        <v>288344606.10000002</v>
      </c>
      <c r="G1037" s="2">
        <v>3</v>
      </c>
      <c r="H1037" s="2">
        <v>5</v>
      </c>
      <c r="I1037" s="2">
        <v>1</v>
      </c>
      <c r="J1037" s="2">
        <v>3.2</v>
      </c>
      <c r="K1037" s="2" t="s">
        <v>306</v>
      </c>
      <c r="L1037" s="2" t="str">
        <f t="shared" si="96"/>
        <v>Profitable</v>
      </c>
      <c r="M1037" s="2" t="str">
        <f t="shared" si="97"/>
        <v>Stable Earnings</v>
      </c>
      <c r="N1037" s="2" t="str">
        <f t="shared" si="98"/>
        <v>Low Quality</v>
      </c>
      <c r="O1037" s="4" t="str">
        <f t="shared" si="99"/>
        <v>Accounting Risk</v>
      </c>
      <c r="P1037" s="4" t="str">
        <f t="shared" si="100"/>
        <v>Low Quality</v>
      </c>
      <c r="Q1037" s="4" t="str">
        <f t="shared" si="101"/>
        <v>Weak Growth</v>
      </c>
    </row>
    <row r="1038" spans="1:17" x14ac:dyDescent="0.35">
      <c r="A1038" s="2" t="s">
        <v>1048</v>
      </c>
      <c r="B1038" s="2">
        <v>5</v>
      </c>
      <c r="C1038" s="2">
        <v>607735666.89999998</v>
      </c>
      <c r="D1038" s="2">
        <v>0.8</v>
      </c>
      <c r="E1038" s="2">
        <v>803803577.20000005</v>
      </c>
      <c r="F1038" s="2">
        <v>284202976.60000002</v>
      </c>
      <c r="G1038" s="2">
        <v>3</v>
      </c>
      <c r="H1038" s="2">
        <v>5</v>
      </c>
      <c r="I1038" s="2">
        <v>1</v>
      </c>
      <c r="J1038" s="2">
        <v>3.2</v>
      </c>
      <c r="K1038" s="2" t="s">
        <v>306</v>
      </c>
      <c r="L1038" s="2" t="str">
        <f t="shared" si="96"/>
        <v>Profitable</v>
      </c>
      <c r="M1038" s="2" t="str">
        <f t="shared" si="97"/>
        <v>High Volatility</v>
      </c>
      <c r="N1038" s="2" t="str">
        <f t="shared" si="98"/>
        <v>Low Quality</v>
      </c>
      <c r="O1038" s="4" t="str">
        <f t="shared" si="99"/>
        <v>Operational Growth</v>
      </c>
      <c r="P1038" s="4" t="str">
        <f t="shared" si="100"/>
        <v>Low Quality</v>
      </c>
      <c r="Q1038" s="4" t="str">
        <f t="shared" si="101"/>
        <v>Weak Growth</v>
      </c>
    </row>
    <row r="1039" spans="1:17" x14ac:dyDescent="0.35">
      <c r="A1039" s="2" t="s">
        <v>1049</v>
      </c>
      <c r="B1039" s="2">
        <v>5</v>
      </c>
      <c r="C1039" s="2">
        <v>104499528.40000001</v>
      </c>
      <c r="D1039" s="2">
        <v>0.8</v>
      </c>
      <c r="E1039" s="2">
        <v>792278343</v>
      </c>
      <c r="F1039" s="2">
        <v>327609564.30000001</v>
      </c>
      <c r="G1039" s="2">
        <v>3</v>
      </c>
      <c r="H1039" s="2">
        <v>5</v>
      </c>
      <c r="I1039" s="2">
        <v>1</v>
      </c>
      <c r="J1039" s="2">
        <v>3.2</v>
      </c>
      <c r="K1039" s="2" t="s">
        <v>306</v>
      </c>
      <c r="L1039" s="2" t="str">
        <f t="shared" si="96"/>
        <v>Profitable</v>
      </c>
      <c r="M1039" s="2" t="str">
        <f t="shared" si="97"/>
        <v>Stable Earnings</v>
      </c>
      <c r="N1039" s="2" t="str">
        <f t="shared" si="98"/>
        <v>Low Quality</v>
      </c>
      <c r="O1039" s="4" t="str">
        <f t="shared" si="99"/>
        <v>Operational Growth</v>
      </c>
      <c r="P1039" s="4" t="str">
        <f t="shared" si="100"/>
        <v>Low Quality</v>
      </c>
      <c r="Q1039" s="4" t="str">
        <f t="shared" si="101"/>
        <v>Weak Growth</v>
      </c>
    </row>
    <row r="1040" spans="1:17" x14ac:dyDescent="0.35">
      <c r="A1040" s="2" t="s">
        <v>1050</v>
      </c>
      <c r="B1040" s="2">
        <v>5</v>
      </c>
      <c r="C1040" s="2">
        <v>291567742.5</v>
      </c>
      <c r="D1040" s="2">
        <v>0.8</v>
      </c>
      <c r="E1040" s="2">
        <v>418096139</v>
      </c>
      <c r="F1040" s="2">
        <v>434961151.80000001</v>
      </c>
      <c r="G1040" s="2">
        <v>3</v>
      </c>
      <c r="H1040" s="2">
        <v>5</v>
      </c>
      <c r="I1040" s="2">
        <v>1</v>
      </c>
      <c r="J1040" s="2">
        <v>3.2</v>
      </c>
      <c r="K1040" s="2" t="s">
        <v>306</v>
      </c>
      <c r="L1040" s="2" t="str">
        <f t="shared" si="96"/>
        <v>Profitable</v>
      </c>
      <c r="M1040" s="2" t="str">
        <f t="shared" si="97"/>
        <v>Stable Earnings</v>
      </c>
      <c r="N1040" s="2" t="str">
        <f t="shared" si="98"/>
        <v>Low Quality</v>
      </c>
      <c r="O1040" s="4" t="str">
        <f t="shared" si="99"/>
        <v>Operational Growth</v>
      </c>
      <c r="P1040" s="4" t="str">
        <f t="shared" si="100"/>
        <v>Low Quality</v>
      </c>
      <c r="Q1040" s="4" t="str">
        <f t="shared" si="101"/>
        <v>Weak Growth</v>
      </c>
    </row>
    <row r="1041" spans="1:17" x14ac:dyDescent="0.35">
      <c r="A1041" s="2" t="s">
        <v>1051</v>
      </c>
      <c r="B1041" s="2">
        <v>5</v>
      </c>
      <c r="C1041" s="2">
        <v>7127194564</v>
      </c>
      <c r="D1041" s="2">
        <v>0.6</v>
      </c>
      <c r="E1041" s="2">
        <v>12959488324</v>
      </c>
      <c r="F1041" s="2">
        <v>378523156</v>
      </c>
      <c r="G1041" s="2">
        <v>3</v>
      </c>
      <c r="H1041" s="2">
        <v>5</v>
      </c>
      <c r="I1041" s="2">
        <v>1</v>
      </c>
      <c r="J1041" s="2">
        <v>3.2</v>
      </c>
      <c r="K1041" s="2" t="s">
        <v>306</v>
      </c>
      <c r="L1041" s="2" t="str">
        <f t="shared" si="96"/>
        <v>Profitable</v>
      </c>
      <c r="M1041" s="2" t="str">
        <f t="shared" si="97"/>
        <v>High Volatility</v>
      </c>
      <c r="N1041" s="2" t="str">
        <f t="shared" si="98"/>
        <v>Low Quality</v>
      </c>
      <c r="O1041" s="4" t="str">
        <f t="shared" si="99"/>
        <v>Accounting Risk</v>
      </c>
      <c r="P1041" s="4" t="str">
        <f t="shared" si="100"/>
        <v>Low Quality</v>
      </c>
      <c r="Q1041" s="4" t="str">
        <f t="shared" si="101"/>
        <v>Weak Growth</v>
      </c>
    </row>
    <row r="1042" spans="1:17" x14ac:dyDescent="0.35">
      <c r="A1042" s="2" t="s">
        <v>1052</v>
      </c>
      <c r="B1042" s="2">
        <v>5</v>
      </c>
      <c r="C1042" s="2">
        <v>3478851993</v>
      </c>
      <c r="D1042" s="2">
        <v>0.8</v>
      </c>
      <c r="E1042" s="2">
        <v>2450284570</v>
      </c>
      <c r="F1042" s="2">
        <v>374762621</v>
      </c>
      <c r="G1042" s="2">
        <v>3</v>
      </c>
      <c r="H1042" s="2">
        <v>5</v>
      </c>
      <c r="I1042" s="2">
        <v>1</v>
      </c>
      <c r="J1042" s="2">
        <v>3.2</v>
      </c>
      <c r="K1042" s="2" t="s">
        <v>306</v>
      </c>
      <c r="L1042" s="2" t="str">
        <f t="shared" si="96"/>
        <v>Profitable</v>
      </c>
      <c r="M1042" s="2" t="str">
        <f t="shared" si="97"/>
        <v>High Volatility</v>
      </c>
      <c r="N1042" s="2" t="str">
        <f t="shared" si="98"/>
        <v>Low Quality</v>
      </c>
      <c r="O1042" s="4" t="str">
        <f t="shared" si="99"/>
        <v>Operational Growth</v>
      </c>
      <c r="P1042" s="4" t="str">
        <f t="shared" si="100"/>
        <v>Low Quality</v>
      </c>
      <c r="Q1042" s="4" t="str">
        <f t="shared" si="101"/>
        <v>Weak Growth</v>
      </c>
    </row>
    <row r="1043" spans="1:17" x14ac:dyDescent="0.35">
      <c r="A1043" s="2" t="s">
        <v>1053</v>
      </c>
      <c r="B1043" s="2">
        <v>5</v>
      </c>
      <c r="C1043" s="2">
        <v>-305189194.89999998</v>
      </c>
      <c r="D1043" s="2">
        <v>0.6</v>
      </c>
      <c r="E1043" s="2">
        <v>944774684.79999995</v>
      </c>
      <c r="F1043" s="2">
        <v>508448587.69999999</v>
      </c>
      <c r="G1043" s="2">
        <v>3</v>
      </c>
      <c r="H1043" s="2">
        <v>5</v>
      </c>
      <c r="I1043" s="2">
        <v>1</v>
      </c>
      <c r="J1043" s="2">
        <v>3.2</v>
      </c>
      <c r="K1043" s="2" t="s">
        <v>306</v>
      </c>
      <c r="L1043" s="2" t="str">
        <f t="shared" si="96"/>
        <v>Loss Making</v>
      </c>
      <c r="M1043" s="2" t="str">
        <f t="shared" si="97"/>
        <v>Stable Earnings</v>
      </c>
      <c r="N1043" s="2" t="str">
        <f t="shared" si="98"/>
        <v>Low Quality</v>
      </c>
      <c r="O1043" s="4" t="str">
        <f t="shared" si="99"/>
        <v>Accounting Risk</v>
      </c>
      <c r="P1043" s="4" t="str">
        <f t="shared" si="100"/>
        <v>Low Quality</v>
      </c>
      <c r="Q1043" s="4" t="str">
        <f t="shared" si="101"/>
        <v>Weak Growth</v>
      </c>
    </row>
    <row r="1044" spans="1:17" x14ac:dyDescent="0.35">
      <c r="A1044" s="2" t="s">
        <v>1054</v>
      </c>
      <c r="B1044" s="2">
        <v>5</v>
      </c>
      <c r="C1044" s="2">
        <v>144161812.30000001</v>
      </c>
      <c r="D1044" s="2">
        <v>0.6</v>
      </c>
      <c r="E1044" s="2">
        <v>331227693.39999998</v>
      </c>
      <c r="F1044" s="2">
        <v>529711420.69999999</v>
      </c>
      <c r="G1044" s="2">
        <v>3</v>
      </c>
      <c r="H1044" s="2">
        <v>5</v>
      </c>
      <c r="I1044" s="2">
        <v>1</v>
      </c>
      <c r="J1044" s="2">
        <v>3.2</v>
      </c>
      <c r="K1044" s="2" t="s">
        <v>306</v>
      </c>
      <c r="L1044" s="2" t="str">
        <f t="shared" si="96"/>
        <v>Profitable</v>
      </c>
      <c r="M1044" s="2" t="str">
        <f t="shared" si="97"/>
        <v>Stable Earnings</v>
      </c>
      <c r="N1044" s="2" t="str">
        <f t="shared" si="98"/>
        <v>Low Quality</v>
      </c>
      <c r="O1044" s="4" t="str">
        <f t="shared" si="99"/>
        <v>Accounting Risk</v>
      </c>
      <c r="P1044" s="4" t="str">
        <f t="shared" si="100"/>
        <v>Low Quality</v>
      </c>
      <c r="Q1044" s="4" t="str">
        <f t="shared" si="101"/>
        <v>Weak Growth</v>
      </c>
    </row>
    <row r="1045" spans="1:17" x14ac:dyDescent="0.35">
      <c r="A1045" s="2" t="s">
        <v>1055</v>
      </c>
      <c r="B1045" s="2">
        <v>5</v>
      </c>
      <c r="C1045" s="2">
        <v>209845781.69999999</v>
      </c>
      <c r="D1045" s="2">
        <v>0.6</v>
      </c>
      <c r="E1045" s="2">
        <v>349847403.19999999</v>
      </c>
      <c r="F1045" s="2">
        <v>495569770.80000001</v>
      </c>
      <c r="G1045" s="2">
        <v>3</v>
      </c>
      <c r="H1045" s="2">
        <v>5</v>
      </c>
      <c r="I1045" s="2">
        <v>1</v>
      </c>
      <c r="J1045" s="2">
        <v>3.2</v>
      </c>
      <c r="K1045" s="2" t="s">
        <v>306</v>
      </c>
      <c r="L1045" s="2" t="str">
        <f t="shared" si="96"/>
        <v>Profitable</v>
      </c>
      <c r="M1045" s="2" t="str">
        <f t="shared" si="97"/>
        <v>Stable Earnings</v>
      </c>
      <c r="N1045" s="2" t="str">
        <f t="shared" si="98"/>
        <v>Low Quality</v>
      </c>
      <c r="O1045" s="4" t="str">
        <f t="shared" si="99"/>
        <v>Accounting Risk</v>
      </c>
      <c r="P1045" s="4" t="str">
        <f t="shared" si="100"/>
        <v>Low Quality</v>
      </c>
      <c r="Q1045" s="4" t="str">
        <f t="shared" si="101"/>
        <v>Weak Growth</v>
      </c>
    </row>
    <row r="1046" spans="1:17" x14ac:dyDescent="0.35">
      <c r="A1046" s="2" t="s">
        <v>1056</v>
      </c>
      <c r="B1046" s="2">
        <v>5</v>
      </c>
      <c r="C1046" s="2">
        <v>412052877.89999998</v>
      </c>
      <c r="D1046" s="2">
        <v>0.6</v>
      </c>
      <c r="E1046" s="2">
        <v>962214319.70000005</v>
      </c>
      <c r="F1046" s="2">
        <v>455966647.39999998</v>
      </c>
      <c r="G1046" s="2">
        <v>3</v>
      </c>
      <c r="H1046" s="2">
        <v>5</v>
      </c>
      <c r="I1046" s="2">
        <v>1</v>
      </c>
      <c r="J1046" s="2">
        <v>3.2</v>
      </c>
      <c r="K1046" s="2" t="s">
        <v>306</v>
      </c>
      <c r="L1046" s="2" t="str">
        <f t="shared" si="96"/>
        <v>Profitable</v>
      </c>
      <c r="M1046" s="2" t="str">
        <f t="shared" si="97"/>
        <v>Stable Earnings</v>
      </c>
      <c r="N1046" s="2" t="str">
        <f t="shared" si="98"/>
        <v>Low Quality</v>
      </c>
      <c r="O1046" s="4" t="str">
        <f t="shared" si="99"/>
        <v>Accounting Risk</v>
      </c>
      <c r="P1046" s="4" t="str">
        <f t="shared" si="100"/>
        <v>Low Quality</v>
      </c>
      <c r="Q1046" s="4" t="str">
        <f t="shared" si="101"/>
        <v>Weak Growth</v>
      </c>
    </row>
    <row r="1047" spans="1:17" x14ac:dyDescent="0.35">
      <c r="A1047" s="2" t="s">
        <v>1057</v>
      </c>
      <c r="B1047" s="2">
        <v>5</v>
      </c>
      <c r="C1047" s="2">
        <v>357402945.60000002</v>
      </c>
      <c r="D1047" s="2">
        <v>0.8</v>
      </c>
      <c r="E1047" s="2">
        <v>333961766.39999998</v>
      </c>
      <c r="F1047" s="2">
        <v>457396831.5</v>
      </c>
      <c r="G1047" s="2">
        <v>3</v>
      </c>
      <c r="H1047" s="2">
        <v>5</v>
      </c>
      <c r="I1047" s="2">
        <v>1</v>
      </c>
      <c r="J1047" s="2">
        <v>3.2</v>
      </c>
      <c r="K1047" s="2" t="s">
        <v>306</v>
      </c>
      <c r="L1047" s="2" t="str">
        <f t="shared" si="96"/>
        <v>Profitable</v>
      </c>
      <c r="M1047" s="2" t="str">
        <f t="shared" si="97"/>
        <v>Stable Earnings</v>
      </c>
      <c r="N1047" s="2" t="str">
        <f t="shared" si="98"/>
        <v>Low Quality</v>
      </c>
      <c r="O1047" s="4" t="str">
        <f t="shared" si="99"/>
        <v>Operational Growth</v>
      </c>
      <c r="P1047" s="4" t="str">
        <f t="shared" si="100"/>
        <v>Low Quality</v>
      </c>
      <c r="Q1047" s="4" t="str">
        <f t="shared" si="101"/>
        <v>Weak Growth</v>
      </c>
    </row>
    <row r="1048" spans="1:17" x14ac:dyDescent="0.35">
      <c r="A1048" s="2" t="s">
        <v>1058</v>
      </c>
      <c r="B1048" s="2">
        <v>5</v>
      </c>
      <c r="C1048" s="2">
        <v>-222683253.09999999</v>
      </c>
      <c r="D1048" s="2">
        <v>0.6</v>
      </c>
      <c r="E1048" s="2">
        <v>394482403.10000002</v>
      </c>
      <c r="F1048" s="2">
        <v>554499652.89999998</v>
      </c>
      <c r="G1048" s="2">
        <v>3</v>
      </c>
      <c r="H1048" s="2">
        <v>5</v>
      </c>
      <c r="I1048" s="2">
        <v>1</v>
      </c>
      <c r="J1048" s="2">
        <v>3.2</v>
      </c>
      <c r="K1048" s="2" t="s">
        <v>306</v>
      </c>
      <c r="L1048" s="2" t="str">
        <f t="shared" si="96"/>
        <v>Loss Making</v>
      </c>
      <c r="M1048" s="2" t="str">
        <f t="shared" si="97"/>
        <v>Stable Earnings</v>
      </c>
      <c r="N1048" s="2" t="str">
        <f t="shared" si="98"/>
        <v>Low Quality</v>
      </c>
      <c r="O1048" s="4" t="str">
        <f t="shared" si="99"/>
        <v>Accounting Risk</v>
      </c>
      <c r="P1048" s="4" t="str">
        <f t="shared" si="100"/>
        <v>Low Quality</v>
      </c>
      <c r="Q1048" s="4" t="str">
        <f t="shared" si="101"/>
        <v>Weak Growth</v>
      </c>
    </row>
    <row r="1049" spans="1:17" x14ac:dyDescent="0.35">
      <c r="A1049" s="2" t="s">
        <v>1059</v>
      </c>
      <c r="B1049" s="2">
        <v>5</v>
      </c>
      <c r="C1049" s="2">
        <v>-3657763.38</v>
      </c>
      <c r="D1049" s="2">
        <v>0.6</v>
      </c>
      <c r="E1049" s="2">
        <v>448226944.69999999</v>
      </c>
      <c r="F1049" s="2">
        <v>543153106.29999995</v>
      </c>
      <c r="G1049" s="2">
        <v>3</v>
      </c>
      <c r="H1049" s="2">
        <v>5</v>
      </c>
      <c r="I1049" s="2">
        <v>1</v>
      </c>
      <c r="J1049" s="2">
        <v>3.2</v>
      </c>
      <c r="K1049" s="2" t="s">
        <v>306</v>
      </c>
      <c r="L1049" s="2" t="str">
        <f t="shared" si="96"/>
        <v>Loss Making</v>
      </c>
      <c r="M1049" s="2" t="str">
        <f t="shared" si="97"/>
        <v>Stable Earnings</v>
      </c>
      <c r="N1049" s="2" t="str">
        <f t="shared" si="98"/>
        <v>Low Quality</v>
      </c>
      <c r="O1049" s="4" t="str">
        <f t="shared" si="99"/>
        <v>Accounting Risk</v>
      </c>
      <c r="P1049" s="4" t="str">
        <f t="shared" si="100"/>
        <v>Low Quality</v>
      </c>
      <c r="Q1049" s="4" t="str">
        <f t="shared" si="101"/>
        <v>Weak Growth</v>
      </c>
    </row>
    <row r="1050" spans="1:17" x14ac:dyDescent="0.35">
      <c r="A1050" s="2" t="s">
        <v>1060</v>
      </c>
      <c r="B1050" s="2">
        <v>5</v>
      </c>
      <c r="C1050" s="2">
        <v>131010618</v>
      </c>
      <c r="D1050" s="2">
        <v>0.6</v>
      </c>
      <c r="E1050" s="2">
        <v>1281099013</v>
      </c>
      <c r="F1050" s="2">
        <v>541368125.29999995</v>
      </c>
      <c r="G1050" s="2">
        <v>3</v>
      </c>
      <c r="H1050" s="2">
        <v>5</v>
      </c>
      <c r="I1050" s="2">
        <v>1</v>
      </c>
      <c r="J1050" s="2">
        <v>3.2</v>
      </c>
      <c r="K1050" s="2" t="s">
        <v>306</v>
      </c>
      <c r="L1050" s="2" t="str">
        <f t="shared" si="96"/>
        <v>Profitable</v>
      </c>
      <c r="M1050" s="2" t="str">
        <f t="shared" si="97"/>
        <v>Stable Earnings</v>
      </c>
      <c r="N1050" s="2" t="str">
        <f t="shared" si="98"/>
        <v>Low Quality</v>
      </c>
      <c r="O1050" s="4" t="str">
        <f t="shared" si="99"/>
        <v>Accounting Risk</v>
      </c>
      <c r="P1050" s="4" t="str">
        <f t="shared" si="100"/>
        <v>Low Quality</v>
      </c>
      <c r="Q1050" s="4" t="str">
        <f t="shared" si="101"/>
        <v>Weak Growth</v>
      </c>
    </row>
    <row r="1051" spans="1:17" x14ac:dyDescent="0.35">
      <c r="A1051" s="2" t="s">
        <v>1061</v>
      </c>
      <c r="B1051" s="2">
        <v>5</v>
      </c>
      <c r="C1051" s="2">
        <v>522077542.80000001</v>
      </c>
      <c r="D1051" s="2">
        <v>0.8</v>
      </c>
      <c r="E1051" s="2">
        <v>467279775</v>
      </c>
      <c r="F1051" s="2">
        <v>633582771.70000005</v>
      </c>
      <c r="G1051" s="2">
        <v>3</v>
      </c>
      <c r="H1051" s="2">
        <v>5</v>
      </c>
      <c r="I1051" s="2">
        <v>1</v>
      </c>
      <c r="J1051" s="2">
        <v>3.2</v>
      </c>
      <c r="K1051" s="2" t="s">
        <v>306</v>
      </c>
      <c r="L1051" s="2" t="str">
        <f t="shared" si="96"/>
        <v>Profitable</v>
      </c>
      <c r="M1051" s="2" t="str">
        <f t="shared" si="97"/>
        <v>High Volatility</v>
      </c>
      <c r="N1051" s="2" t="str">
        <f t="shared" si="98"/>
        <v>Low Quality</v>
      </c>
      <c r="O1051" s="4" t="str">
        <f t="shared" si="99"/>
        <v>Operational Growth</v>
      </c>
      <c r="P1051" s="4" t="str">
        <f t="shared" si="100"/>
        <v>Low Quality</v>
      </c>
      <c r="Q1051" s="4" t="str">
        <f t="shared" si="101"/>
        <v>Weak Growth</v>
      </c>
    </row>
    <row r="1052" spans="1:17" x14ac:dyDescent="0.35">
      <c r="A1052" s="2" t="s">
        <v>1062</v>
      </c>
      <c r="B1052" s="2">
        <v>5</v>
      </c>
      <c r="C1052" s="2">
        <v>363032659.19999999</v>
      </c>
      <c r="D1052" s="2">
        <v>0.8</v>
      </c>
      <c r="E1052" s="2">
        <v>353374625</v>
      </c>
      <c r="F1052" s="2">
        <v>610453785</v>
      </c>
      <c r="G1052" s="2">
        <v>3</v>
      </c>
      <c r="H1052" s="2">
        <v>5</v>
      </c>
      <c r="I1052" s="2">
        <v>1</v>
      </c>
      <c r="J1052" s="2">
        <v>3.2</v>
      </c>
      <c r="K1052" s="2" t="s">
        <v>306</v>
      </c>
      <c r="L1052" s="2" t="str">
        <f t="shared" si="96"/>
        <v>Profitable</v>
      </c>
      <c r="M1052" s="2" t="str">
        <f t="shared" si="97"/>
        <v>Stable Earnings</v>
      </c>
      <c r="N1052" s="2" t="str">
        <f t="shared" si="98"/>
        <v>Low Quality</v>
      </c>
      <c r="O1052" s="4" t="str">
        <f t="shared" si="99"/>
        <v>Operational Growth</v>
      </c>
      <c r="P1052" s="4" t="str">
        <f t="shared" si="100"/>
        <v>Low Quality</v>
      </c>
      <c r="Q1052" s="4" t="str">
        <f t="shared" si="101"/>
        <v>Weak Growth</v>
      </c>
    </row>
    <row r="1053" spans="1:17" x14ac:dyDescent="0.35">
      <c r="A1053" s="2" t="s">
        <v>1063</v>
      </c>
      <c r="B1053" s="2">
        <v>5</v>
      </c>
      <c r="C1053" s="2">
        <v>311783700.69999999</v>
      </c>
      <c r="D1053" s="2">
        <v>0.6</v>
      </c>
      <c r="E1053" s="2">
        <v>357569584.19999999</v>
      </c>
      <c r="F1053" s="2">
        <v>598516800.29999995</v>
      </c>
      <c r="G1053" s="2">
        <v>3</v>
      </c>
      <c r="H1053" s="2">
        <v>5</v>
      </c>
      <c r="I1053" s="2">
        <v>1</v>
      </c>
      <c r="J1053" s="2">
        <v>3.2</v>
      </c>
      <c r="K1053" s="2" t="s">
        <v>306</v>
      </c>
      <c r="L1053" s="2" t="str">
        <f t="shared" si="96"/>
        <v>Profitable</v>
      </c>
      <c r="M1053" s="2" t="str">
        <f t="shared" si="97"/>
        <v>Stable Earnings</v>
      </c>
      <c r="N1053" s="2" t="str">
        <f t="shared" si="98"/>
        <v>Low Quality</v>
      </c>
      <c r="O1053" s="4" t="str">
        <f t="shared" si="99"/>
        <v>Accounting Risk</v>
      </c>
      <c r="P1053" s="4" t="str">
        <f t="shared" si="100"/>
        <v>Low Quality</v>
      </c>
      <c r="Q1053" s="4" t="str">
        <f t="shared" si="101"/>
        <v>Weak Growth</v>
      </c>
    </row>
    <row r="1054" spans="1:17" x14ac:dyDescent="0.35">
      <c r="A1054" s="2" t="s">
        <v>1064</v>
      </c>
      <c r="B1054" s="2">
        <v>5</v>
      </c>
      <c r="C1054" s="2">
        <v>-509799435.60000002</v>
      </c>
      <c r="D1054" s="2">
        <v>0.4</v>
      </c>
      <c r="E1054" s="2">
        <v>1085936374</v>
      </c>
      <c r="F1054" s="2">
        <v>593793420.60000002</v>
      </c>
      <c r="G1054" s="2">
        <v>3</v>
      </c>
      <c r="H1054" s="2">
        <v>5</v>
      </c>
      <c r="I1054" s="2">
        <v>1</v>
      </c>
      <c r="J1054" s="2">
        <v>3.2</v>
      </c>
      <c r="K1054" s="2" t="s">
        <v>306</v>
      </c>
      <c r="L1054" s="2" t="str">
        <f t="shared" si="96"/>
        <v>Loss Making</v>
      </c>
      <c r="M1054" s="2" t="str">
        <f t="shared" si="97"/>
        <v>Stable Earnings</v>
      </c>
      <c r="N1054" s="2" t="str">
        <f t="shared" si="98"/>
        <v>Low Quality</v>
      </c>
      <c r="O1054" s="4" t="str">
        <f t="shared" si="99"/>
        <v>Accounting Risk</v>
      </c>
      <c r="P1054" s="4" t="str">
        <f t="shared" si="100"/>
        <v>Low Quality</v>
      </c>
      <c r="Q1054" s="4" t="str">
        <f t="shared" si="101"/>
        <v>Weak Growth</v>
      </c>
    </row>
    <row r="1055" spans="1:17" x14ac:dyDescent="0.35">
      <c r="A1055" s="2" t="s">
        <v>1065</v>
      </c>
      <c r="B1055" s="2">
        <v>5</v>
      </c>
      <c r="C1055" s="2">
        <v>212439837.19999999</v>
      </c>
      <c r="D1055" s="2">
        <v>0.6</v>
      </c>
      <c r="E1055" s="2">
        <v>828033570.70000005</v>
      </c>
      <c r="F1055" s="2">
        <v>676532402.70000005</v>
      </c>
      <c r="G1055" s="2">
        <v>3</v>
      </c>
      <c r="H1055" s="2">
        <v>5</v>
      </c>
      <c r="I1055" s="2">
        <v>1</v>
      </c>
      <c r="J1055" s="2">
        <v>3.2</v>
      </c>
      <c r="K1055" s="2" t="s">
        <v>306</v>
      </c>
      <c r="L1055" s="2" t="str">
        <f t="shared" si="96"/>
        <v>Profitable</v>
      </c>
      <c r="M1055" s="2" t="str">
        <f t="shared" si="97"/>
        <v>Stable Earnings</v>
      </c>
      <c r="N1055" s="2" t="str">
        <f t="shared" si="98"/>
        <v>Low Quality</v>
      </c>
      <c r="O1055" s="4" t="str">
        <f t="shared" si="99"/>
        <v>Accounting Risk</v>
      </c>
      <c r="P1055" s="4" t="str">
        <f t="shared" si="100"/>
        <v>Low Quality</v>
      </c>
      <c r="Q1055" s="4" t="str">
        <f t="shared" si="101"/>
        <v>Weak Growth</v>
      </c>
    </row>
    <row r="1056" spans="1:17" x14ac:dyDescent="0.35">
      <c r="A1056" s="2" t="s">
        <v>1066</v>
      </c>
      <c r="B1056" s="2">
        <v>5</v>
      </c>
      <c r="C1056" s="2">
        <v>228925836.80000001</v>
      </c>
      <c r="D1056" s="2">
        <v>0.6</v>
      </c>
      <c r="E1056" s="2">
        <v>1427238992</v>
      </c>
      <c r="F1056" s="2">
        <v>667339052.39999998</v>
      </c>
      <c r="G1056" s="2">
        <v>3</v>
      </c>
      <c r="H1056" s="2">
        <v>5</v>
      </c>
      <c r="I1056" s="2">
        <v>1</v>
      </c>
      <c r="J1056" s="2">
        <v>3.2</v>
      </c>
      <c r="K1056" s="2" t="s">
        <v>306</v>
      </c>
      <c r="L1056" s="2" t="str">
        <f t="shared" si="96"/>
        <v>Profitable</v>
      </c>
      <c r="M1056" s="2" t="str">
        <f t="shared" si="97"/>
        <v>Stable Earnings</v>
      </c>
      <c r="N1056" s="2" t="str">
        <f t="shared" si="98"/>
        <v>Low Quality</v>
      </c>
      <c r="O1056" s="4" t="str">
        <f t="shared" si="99"/>
        <v>Accounting Risk</v>
      </c>
      <c r="P1056" s="4" t="str">
        <f t="shared" si="100"/>
        <v>Low Quality</v>
      </c>
      <c r="Q1056" s="4" t="str">
        <f t="shared" si="101"/>
        <v>Weak Growth</v>
      </c>
    </row>
    <row r="1057" spans="1:17" x14ac:dyDescent="0.35">
      <c r="A1057" s="2" t="s">
        <v>1067</v>
      </c>
      <c r="B1057" s="2">
        <v>5</v>
      </c>
      <c r="C1057" s="2">
        <v>908079918.10000002</v>
      </c>
      <c r="D1057" s="2">
        <v>0.8</v>
      </c>
      <c r="E1057" s="2">
        <v>788397128.20000005</v>
      </c>
      <c r="F1057" s="2">
        <v>655064303.10000002</v>
      </c>
      <c r="G1057" s="2">
        <v>3</v>
      </c>
      <c r="H1057" s="2">
        <v>5</v>
      </c>
      <c r="I1057" s="2">
        <v>1</v>
      </c>
      <c r="J1057" s="2">
        <v>3.2</v>
      </c>
      <c r="K1057" s="2" t="s">
        <v>306</v>
      </c>
      <c r="L1057" s="2" t="str">
        <f t="shared" si="96"/>
        <v>Profitable</v>
      </c>
      <c r="M1057" s="2" t="str">
        <f t="shared" si="97"/>
        <v>High Volatility</v>
      </c>
      <c r="N1057" s="2" t="str">
        <f t="shared" si="98"/>
        <v>Low Quality</v>
      </c>
      <c r="O1057" s="4" t="str">
        <f t="shared" si="99"/>
        <v>Operational Growth</v>
      </c>
      <c r="P1057" s="4" t="str">
        <f t="shared" si="100"/>
        <v>Low Quality</v>
      </c>
      <c r="Q1057" s="4" t="str">
        <f t="shared" si="101"/>
        <v>Weak Growth</v>
      </c>
    </row>
    <row r="1058" spans="1:17" x14ac:dyDescent="0.35">
      <c r="A1058" s="2" t="s">
        <v>1068</v>
      </c>
      <c r="B1058" s="2">
        <v>5</v>
      </c>
      <c r="C1058" s="2">
        <v>805047622.10000002</v>
      </c>
      <c r="D1058" s="2">
        <v>0.8</v>
      </c>
      <c r="E1058" s="2">
        <v>547620141.70000005</v>
      </c>
      <c r="F1058" s="2">
        <v>734874323.89999998</v>
      </c>
      <c r="G1058" s="2">
        <v>3</v>
      </c>
      <c r="H1058" s="2">
        <v>5</v>
      </c>
      <c r="I1058" s="2">
        <v>1</v>
      </c>
      <c r="J1058" s="2">
        <v>3.2</v>
      </c>
      <c r="K1058" s="2" t="s">
        <v>306</v>
      </c>
      <c r="L1058" s="2" t="str">
        <f t="shared" si="96"/>
        <v>Profitable</v>
      </c>
      <c r="M1058" s="2" t="str">
        <f t="shared" si="97"/>
        <v>High Volatility</v>
      </c>
      <c r="N1058" s="2" t="str">
        <f t="shared" si="98"/>
        <v>Low Quality</v>
      </c>
      <c r="O1058" s="4" t="str">
        <f t="shared" si="99"/>
        <v>Operational Growth</v>
      </c>
      <c r="P1058" s="4" t="str">
        <f t="shared" si="100"/>
        <v>Low Quality</v>
      </c>
      <c r="Q1058" s="4" t="str">
        <f t="shared" si="101"/>
        <v>Weak Growth</v>
      </c>
    </row>
    <row r="1059" spans="1:17" x14ac:dyDescent="0.35">
      <c r="A1059" s="2" t="s">
        <v>1069</v>
      </c>
      <c r="B1059" s="2">
        <v>5</v>
      </c>
      <c r="C1059" s="2">
        <v>134702167</v>
      </c>
      <c r="D1059" s="2">
        <v>0.6</v>
      </c>
      <c r="E1059" s="2">
        <v>451126299.19999999</v>
      </c>
      <c r="F1059" s="2">
        <v>718780343.70000005</v>
      </c>
      <c r="G1059" s="2">
        <v>3</v>
      </c>
      <c r="H1059" s="2">
        <v>5</v>
      </c>
      <c r="I1059" s="2">
        <v>1</v>
      </c>
      <c r="J1059" s="2">
        <v>3.2</v>
      </c>
      <c r="K1059" s="2" t="s">
        <v>306</v>
      </c>
      <c r="L1059" s="2" t="str">
        <f t="shared" si="96"/>
        <v>Profitable</v>
      </c>
      <c r="M1059" s="2" t="str">
        <f t="shared" si="97"/>
        <v>Stable Earnings</v>
      </c>
      <c r="N1059" s="2" t="str">
        <f t="shared" si="98"/>
        <v>Low Quality</v>
      </c>
      <c r="O1059" s="4" t="str">
        <f t="shared" si="99"/>
        <v>Accounting Risk</v>
      </c>
      <c r="P1059" s="4" t="str">
        <f t="shared" si="100"/>
        <v>Low Quality</v>
      </c>
      <c r="Q1059" s="4" t="str">
        <f t="shared" si="101"/>
        <v>Weak Growth</v>
      </c>
    </row>
    <row r="1060" spans="1:17" x14ac:dyDescent="0.35">
      <c r="A1060" s="2" t="s">
        <v>1070</v>
      </c>
      <c r="B1060" s="2">
        <v>5</v>
      </c>
      <c r="C1060" s="2">
        <v>348071305.5</v>
      </c>
      <c r="D1060" s="2">
        <v>0.8</v>
      </c>
      <c r="E1060" s="2">
        <v>1194711091</v>
      </c>
      <c r="F1060" s="2">
        <v>683414075.5</v>
      </c>
      <c r="G1060" s="2">
        <v>3</v>
      </c>
      <c r="H1060" s="2">
        <v>5</v>
      </c>
      <c r="I1060" s="2">
        <v>1</v>
      </c>
      <c r="J1060" s="2">
        <v>3.2</v>
      </c>
      <c r="K1060" s="2" t="s">
        <v>306</v>
      </c>
      <c r="L1060" s="2" t="str">
        <f t="shared" si="96"/>
        <v>Profitable</v>
      </c>
      <c r="M1060" s="2" t="str">
        <f t="shared" si="97"/>
        <v>Stable Earnings</v>
      </c>
      <c r="N1060" s="2" t="str">
        <f t="shared" si="98"/>
        <v>Low Quality</v>
      </c>
      <c r="O1060" s="4" t="str">
        <f t="shared" si="99"/>
        <v>Operational Growth</v>
      </c>
      <c r="P1060" s="4" t="str">
        <f t="shared" si="100"/>
        <v>Low Quality</v>
      </c>
      <c r="Q1060" s="4" t="str">
        <f t="shared" si="101"/>
        <v>Weak Growth</v>
      </c>
    </row>
    <row r="1061" spans="1:17" x14ac:dyDescent="0.35">
      <c r="A1061" s="2" t="s">
        <v>1071</v>
      </c>
      <c r="B1061" s="2">
        <v>5</v>
      </c>
      <c r="C1061" s="2">
        <v>419491609.30000001</v>
      </c>
      <c r="D1061" s="2">
        <v>0.8</v>
      </c>
      <c r="E1061" s="2">
        <v>456831561.19999999</v>
      </c>
      <c r="F1061" s="2">
        <v>938247014.5</v>
      </c>
      <c r="G1061" s="2">
        <v>3</v>
      </c>
      <c r="H1061" s="2">
        <v>5</v>
      </c>
      <c r="I1061" s="2">
        <v>1</v>
      </c>
      <c r="J1061" s="2">
        <v>3.2</v>
      </c>
      <c r="K1061" s="2" t="s">
        <v>306</v>
      </c>
      <c r="L1061" s="2" t="str">
        <f t="shared" si="96"/>
        <v>Profitable</v>
      </c>
      <c r="M1061" s="2" t="str">
        <f t="shared" si="97"/>
        <v>Stable Earnings</v>
      </c>
      <c r="N1061" s="2" t="str">
        <f t="shared" si="98"/>
        <v>Low Quality</v>
      </c>
      <c r="O1061" s="4" t="str">
        <f t="shared" si="99"/>
        <v>Operational Growth</v>
      </c>
      <c r="P1061" s="4" t="str">
        <f t="shared" si="100"/>
        <v>Low Quality</v>
      </c>
      <c r="Q1061" s="4" t="str">
        <f t="shared" si="101"/>
        <v>Weak Growth</v>
      </c>
    </row>
    <row r="1062" spans="1:17" x14ac:dyDescent="0.35">
      <c r="A1062" s="2" t="s">
        <v>1072</v>
      </c>
      <c r="B1062" s="2">
        <v>5</v>
      </c>
      <c r="C1062" s="2">
        <v>65768840.719999999</v>
      </c>
      <c r="D1062" s="2">
        <v>0.6</v>
      </c>
      <c r="E1062" s="2">
        <v>1244263374</v>
      </c>
      <c r="F1062" s="2">
        <v>934259458.39999998</v>
      </c>
      <c r="G1062" s="2">
        <v>3</v>
      </c>
      <c r="H1062" s="2">
        <v>5</v>
      </c>
      <c r="I1062" s="2">
        <v>1</v>
      </c>
      <c r="J1062" s="2">
        <v>3.2</v>
      </c>
      <c r="K1062" s="2" t="s">
        <v>306</v>
      </c>
      <c r="L1062" s="2" t="str">
        <f t="shared" si="96"/>
        <v>Profitable</v>
      </c>
      <c r="M1062" s="2" t="str">
        <f t="shared" si="97"/>
        <v>Stable Earnings</v>
      </c>
      <c r="N1062" s="2" t="str">
        <f t="shared" si="98"/>
        <v>Low Quality</v>
      </c>
      <c r="O1062" s="4" t="str">
        <f t="shared" si="99"/>
        <v>Accounting Risk</v>
      </c>
      <c r="P1062" s="4" t="str">
        <f t="shared" si="100"/>
        <v>Low Quality</v>
      </c>
      <c r="Q1062" s="4" t="str">
        <f t="shared" si="101"/>
        <v>Weak Growth</v>
      </c>
    </row>
    <row r="1063" spans="1:17" x14ac:dyDescent="0.35">
      <c r="A1063" s="2" t="s">
        <v>1073</v>
      </c>
      <c r="B1063" s="2">
        <v>5</v>
      </c>
      <c r="C1063" s="2">
        <v>1429614786</v>
      </c>
      <c r="D1063" s="2">
        <v>0.8</v>
      </c>
      <c r="E1063" s="2">
        <v>1436475327</v>
      </c>
      <c r="F1063" s="2">
        <v>988513790</v>
      </c>
      <c r="G1063" s="2">
        <v>3</v>
      </c>
      <c r="H1063" s="2">
        <v>5</v>
      </c>
      <c r="I1063" s="2">
        <v>1</v>
      </c>
      <c r="J1063" s="2">
        <v>3.2</v>
      </c>
      <c r="K1063" s="2" t="s">
        <v>306</v>
      </c>
      <c r="L1063" s="2" t="str">
        <f t="shared" si="96"/>
        <v>Profitable</v>
      </c>
      <c r="M1063" s="2" t="str">
        <f t="shared" si="97"/>
        <v>High Volatility</v>
      </c>
      <c r="N1063" s="2" t="str">
        <f t="shared" si="98"/>
        <v>Low Quality</v>
      </c>
      <c r="O1063" s="4" t="str">
        <f t="shared" si="99"/>
        <v>Operational Growth</v>
      </c>
      <c r="P1063" s="4" t="str">
        <f t="shared" si="100"/>
        <v>Low Quality</v>
      </c>
      <c r="Q1063" s="4" t="str">
        <f t="shared" si="101"/>
        <v>Weak Growth</v>
      </c>
    </row>
    <row r="1064" spans="1:17" x14ac:dyDescent="0.35">
      <c r="A1064" s="2" t="s">
        <v>1074</v>
      </c>
      <c r="B1064" s="2">
        <v>5</v>
      </c>
      <c r="C1064" s="2">
        <v>204843813</v>
      </c>
      <c r="D1064" s="2">
        <v>0.6</v>
      </c>
      <c r="E1064" s="2">
        <v>751523693.70000005</v>
      </c>
      <c r="F1064" s="2">
        <v>972404602.29999995</v>
      </c>
      <c r="G1064" s="2">
        <v>3</v>
      </c>
      <c r="H1064" s="2">
        <v>5</v>
      </c>
      <c r="I1064" s="2">
        <v>1</v>
      </c>
      <c r="J1064" s="2">
        <v>3.2</v>
      </c>
      <c r="K1064" s="2" t="s">
        <v>306</v>
      </c>
      <c r="L1064" s="2" t="str">
        <f t="shared" si="96"/>
        <v>Profitable</v>
      </c>
      <c r="M1064" s="2" t="str">
        <f t="shared" si="97"/>
        <v>Stable Earnings</v>
      </c>
      <c r="N1064" s="2" t="str">
        <f t="shared" si="98"/>
        <v>Low Quality</v>
      </c>
      <c r="O1064" s="4" t="str">
        <f t="shared" si="99"/>
        <v>Accounting Risk</v>
      </c>
      <c r="P1064" s="4" t="str">
        <f t="shared" si="100"/>
        <v>Low Quality</v>
      </c>
      <c r="Q1064" s="4" t="str">
        <f t="shared" si="101"/>
        <v>Weak Growth</v>
      </c>
    </row>
    <row r="1065" spans="1:17" x14ac:dyDescent="0.35">
      <c r="A1065" s="2" t="s">
        <v>1075</v>
      </c>
      <c r="B1065" s="2">
        <v>5</v>
      </c>
      <c r="C1065" s="2">
        <v>316504808.80000001</v>
      </c>
      <c r="D1065" s="2">
        <v>0.6</v>
      </c>
      <c r="E1065" s="2">
        <v>399585999</v>
      </c>
      <c r="F1065" s="2">
        <v>963414258.70000005</v>
      </c>
      <c r="G1065" s="2">
        <v>3</v>
      </c>
      <c r="H1065" s="2">
        <v>5</v>
      </c>
      <c r="I1065" s="2">
        <v>1</v>
      </c>
      <c r="J1065" s="2">
        <v>3.2</v>
      </c>
      <c r="K1065" s="2" t="s">
        <v>306</v>
      </c>
      <c r="L1065" s="2" t="str">
        <f t="shared" si="96"/>
        <v>Profitable</v>
      </c>
      <c r="M1065" s="2" t="str">
        <f t="shared" si="97"/>
        <v>Stable Earnings</v>
      </c>
      <c r="N1065" s="2" t="str">
        <f t="shared" si="98"/>
        <v>Low Quality</v>
      </c>
      <c r="O1065" s="4" t="str">
        <f t="shared" si="99"/>
        <v>Accounting Risk</v>
      </c>
      <c r="P1065" s="4" t="str">
        <f t="shared" si="100"/>
        <v>Low Quality</v>
      </c>
      <c r="Q1065" s="4" t="str">
        <f t="shared" si="101"/>
        <v>Weak Growth</v>
      </c>
    </row>
    <row r="1066" spans="1:17" x14ac:dyDescent="0.35">
      <c r="A1066" s="2" t="s">
        <v>1076</v>
      </c>
      <c r="B1066" s="2">
        <v>5</v>
      </c>
      <c r="C1066" s="2">
        <v>4628070116</v>
      </c>
      <c r="D1066" s="2">
        <v>0.8</v>
      </c>
      <c r="E1066" s="2">
        <v>5911570887</v>
      </c>
      <c r="F1066" s="2">
        <v>956609188</v>
      </c>
      <c r="G1066" s="2">
        <v>3</v>
      </c>
      <c r="H1066" s="2">
        <v>5</v>
      </c>
      <c r="I1066" s="2">
        <v>1</v>
      </c>
      <c r="J1066" s="2">
        <v>3.2</v>
      </c>
      <c r="K1066" s="2" t="s">
        <v>306</v>
      </c>
      <c r="L1066" s="2" t="str">
        <f t="shared" si="96"/>
        <v>Profitable</v>
      </c>
      <c r="M1066" s="2" t="str">
        <f t="shared" si="97"/>
        <v>High Volatility</v>
      </c>
      <c r="N1066" s="2" t="str">
        <f t="shared" si="98"/>
        <v>Low Quality</v>
      </c>
      <c r="O1066" s="4" t="str">
        <f t="shared" si="99"/>
        <v>Operational Growth</v>
      </c>
      <c r="P1066" s="4" t="str">
        <f t="shared" si="100"/>
        <v>Low Quality</v>
      </c>
      <c r="Q1066" s="4" t="str">
        <f t="shared" si="101"/>
        <v>Weak Growth</v>
      </c>
    </row>
    <row r="1067" spans="1:17" x14ac:dyDescent="0.35">
      <c r="A1067" s="2" t="s">
        <v>1077</v>
      </c>
      <c r="B1067" s="2">
        <v>5</v>
      </c>
      <c r="C1067" s="2">
        <v>541651660.70000005</v>
      </c>
      <c r="D1067" s="2">
        <v>0.8</v>
      </c>
      <c r="E1067" s="2">
        <v>2143409717</v>
      </c>
      <c r="F1067" s="2">
        <v>873425747.60000002</v>
      </c>
      <c r="G1067" s="2">
        <v>3</v>
      </c>
      <c r="H1067" s="2">
        <v>5</v>
      </c>
      <c r="I1067" s="2">
        <v>1</v>
      </c>
      <c r="J1067" s="2">
        <v>3.2</v>
      </c>
      <c r="K1067" s="2" t="s">
        <v>306</v>
      </c>
      <c r="L1067" s="2" t="str">
        <f t="shared" si="96"/>
        <v>Profitable</v>
      </c>
      <c r="M1067" s="2" t="str">
        <f t="shared" si="97"/>
        <v>High Volatility</v>
      </c>
      <c r="N1067" s="2" t="str">
        <f t="shared" si="98"/>
        <v>Low Quality</v>
      </c>
      <c r="O1067" s="4" t="str">
        <f t="shared" si="99"/>
        <v>Operational Growth</v>
      </c>
      <c r="P1067" s="4" t="str">
        <f t="shared" si="100"/>
        <v>Low Quality</v>
      </c>
      <c r="Q1067" s="4" t="str">
        <f t="shared" si="101"/>
        <v>Weak Growth</v>
      </c>
    </row>
    <row r="1068" spans="1:17" x14ac:dyDescent="0.35">
      <c r="A1068" s="2" t="s">
        <v>1078</v>
      </c>
      <c r="B1068" s="2">
        <v>5</v>
      </c>
      <c r="C1068" s="2">
        <v>450025392.5</v>
      </c>
      <c r="D1068" s="2">
        <v>0.8</v>
      </c>
      <c r="E1068" s="2">
        <v>712841203.70000005</v>
      </c>
      <c r="F1068" s="2">
        <v>786474910.39999998</v>
      </c>
      <c r="G1068" s="2">
        <v>3</v>
      </c>
      <c r="H1068" s="2">
        <v>5</v>
      </c>
      <c r="I1068" s="2">
        <v>1</v>
      </c>
      <c r="J1068" s="2">
        <v>3.2</v>
      </c>
      <c r="K1068" s="2" t="s">
        <v>306</v>
      </c>
      <c r="L1068" s="2" t="str">
        <f t="shared" si="96"/>
        <v>Profitable</v>
      </c>
      <c r="M1068" s="2" t="str">
        <f t="shared" si="97"/>
        <v>Stable Earnings</v>
      </c>
      <c r="N1068" s="2" t="str">
        <f t="shared" si="98"/>
        <v>Low Quality</v>
      </c>
      <c r="O1068" s="4" t="str">
        <f t="shared" si="99"/>
        <v>Operational Growth</v>
      </c>
      <c r="P1068" s="4" t="str">
        <f t="shared" si="100"/>
        <v>Low Quality</v>
      </c>
      <c r="Q1068" s="4" t="str">
        <f t="shared" si="101"/>
        <v>Weak Growth</v>
      </c>
    </row>
    <row r="1069" spans="1:17" x14ac:dyDescent="0.35">
      <c r="A1069" s="2" t="s">
        <v>1079</v>
      </c>
      <c r="B1069" s="2">
        <v>5</v>
      </c>
      <c r="C1069" s="2">
        <v>252886839.59999999</v>
      </c>
      <c r="D1069" s="2">
        <v>0.6</v>
      </c>
      <c r="E1069" s="2">
        <v>1996251179</v>
      </c>
      <c r="F1069" s="2">
        <v>775360421.20000005</v>
      </c>
      <c r="G1069" s="2">
        <v>3</v>
      </c>
      <c r="H1069" s="2">
        <v>5</v>
      </c>
      <c r="I1069" s="2">
        <v>1</v>
      </c>
      <c r="J1069" s="2">
        <v>3.2</v>
      </c>
      <c r="K1069" s="2" t="s">
        <v>306</v>
      </c>
      <c r="L1069" s="2" t="str">
        <f t="shared" si="96"/>
        <v>Profitable</v>
      </c>
      <c r="M1069" s="2" t="str">
        <f t="shared" si="97"/>
        <v>Stable Earnings</v>
      </c>
      <c r="N1069" s="2" t="str">
        <f t="shared" si="98"/>
        <v>Low Quality</v>
      </c>
      <c r="O1069" s="4" t="str">
        <f t="shared" si="99"/>
        <v>Accounting Risk</v>
      </c>
      <c r="P1069" s="4" t="str">
        <f t="shared" si="100"/>
        <v>Low Quality</v>
      </c>
      <c r="Q1069" s="4" t="str">
        <f t="shared" si="101"/>
        <v>Weak Growth</v>
      </c>
    </row>
    <row r="1070" spans="1:17" x14ac:dyDescent="0.35">
      <c r="A1070" s="2" t="s">
        <v>1080</v>
      </c>
      <c r="B1070" s="2">
        <v>5</v>
      </c>
      <c r="C1070" s="2">
        <v>29429139.719999999</v>
      </c>
      <c r="D1070" s="2">
        <v>0.6</v>
      </c>
      <c r="E1070" s="2">
        <v>1184622142</v>
      </c>
      <c r="F1070" s="2">
        <v>2552524724</v>
      </c>
      <c r="G1070" s="2">
        <v>3</v>
      </c>
      <c r="H1070" s="2">
        <v>5</v>
      </c>
      <c r="I1070" s="2">
        <v>1</v>
      </c>
      <c r="J1070" s="2">
        <v>3.2</v>
      </c>
      <c r="K1070" s="2" t="s">
        <v>306</v>
      </c>
      <c r="L1070" s="2" t="str">
        <f t="shared" si="96"/>
        <v>Profitable</v>
      </c>
      <c r="M1070" s="2" t="str">
        <f t="shared" si="97"/>
        <v>Stable Earnings</v>
      </c>
      <c r="N1070" s="2" t="str">
        <f t="shared" si="98"/>
        <v>Low Quality</v>
      </c>
      <c r="O1070" s="4" t="str">
        <f t="shared" si="99"/>
        <v>Accounting Risk</v>
      </c>
      <c r="P1070" s="4" t="str">
        <f t="shared" si="100"/>
        <v>Low Quality</v>
      </c>
      <c r="Q1070" s="4" t="str">
        <f t="shared" si="101"/>
        <v>Weak Growth</v>
      </c>
    </row>
    <row r="1071" spans="1:17" x14ac:dyDescent="0.35">
      <c r="A1071" s="2" t="s">
        <v>1081</v>
      </c>
      <c r="B1071" s="2">
        <v>5</v>
      </c>
      <c r="C1071" s="2">
        <v>1176304136</v>
      </c>
      <c r="D1071" s="2">
        <v>0.8</v>
      </c>
      <c r="E1071" s="2">
        <v>1628854382</v>
      </c>
      <c r="F1071" s="2">
        <v>2265488046</v>
      </c>
      <c r="G1071" s="2">
        <v>3</v>
      </c>
      <c r="H1071" s="2">
        <v>5</v>
      </c>
      <c r="I1071" s="2">
        <v>1</v>
      </c>
      <c r="J1071" s="2">
        <v>3.2</v>
      </c>
      <c r="K1071" s="2" t="s">
        <v>306</v>
      </c>
      <c r="L1071" s="2" t="str">
        <f t="shared" si="96"/>
        <v>Profitable</v>
      </c>
      <c r="M1071" s="2" t="str">
        <f t="shared" si="97"/>
        <v>High Volatility</v>
      </c>
      <c r="N1071" s="2" t="str">
        <f t="shared" si="98"/>
        <v>Low Quality</v>
      </c>
      <c r="O1071" s="4" t="str">
        <f t="shared" si="99"/>
        <v>Operational Growth</v>
      </c>
      <c r="P1071" s="4" t="str">
        <f t="shared" si="100"/>
        <v>Low Quality</v>
      </c>
      <c r="Q1071" s="4" t="str">
        <f t="shared" si="101"/>
        <v>Weak Growth</v>
      </c>
    </row>
    <row r="1072" spans="1:17" x14ac:dyDescent="0.35">
      <c r="A1072" s="2" t="s">
        <v>1082</v>
      </c>
      <c r="B1072" s="2">
        <v>5</v>
      </c>
      <c r="C1072" s="2">
        <v>555698647.70000005</v>
      </c>
      <c r="D1072" s="2">
        <v>0.6</v>
      </c>
      <c r="E1072" s="2">
        <v>1672764924</v>
      </c>
      <c r="F1072" s="2">
        <v>3033781751</v>
      </c>
      <c r="G1072" s="2">
        <v>3</v>
      </c>
      <c r="H1072" s="2">
        <v>5</v>
      </c>
      <c r="I1072" s="2">
        <v>1</v>
      </c>
      <c r="J1072" s="2">
        <v>3.2</v>
      </c>
      <c r="K1072" s="2" t="s">
        <v>306</v>
      </c>
      <c r="L1072" s="2" t="str">
        <f t="shared" si="96"/>
        <v>Profitable</v>
      </c>
      <c r="M1072" s="2" t="str">
        <f t="shared" si="97"/>
        <v>High Volatility</v>
      </c>
      <c r="N1072" s="2" t="str">
        <f t="shared" si="98"/>
        <v>Low Quality</v>
      </c>
      <c r="O1072" s="4" t="str">
        <f t="shared" si="99"/>
        <v>Accounting Risk</v>
      </c>
      <c r="P1072" s="4" t="str">
        <f t="shared" si="100"/>
        <v>Low Quality</v>
      </c>
      <c r="Q1072" s="4" t="str">
        <f t="shared" si="101"/>
        <v>Weak Growth</v>
      </c>
    </row>
    <row r="1073" spans="1:17" x14ac:dyDescent="0.35">
      <c r="A1073" s="2" t="s">
        <v>1083</v>
      </c>
      <c r="B1073" s="2">
        <v>5</v>
      </c>
      <c r="C1073" s="2">
        <v>2322276489</v>
      </c>
      <c r="D1073" s="2">
        <v>0.8</v>
      </c>
      <c r="E1073" s="2">
        <v>2087792950</v>
      </c>
      <c r="F1073" s="2">
        <v>2980455182</v>
      </c>
      <c r="G1073" s="2">
        <v>3</v>
      </c>
      <c r="H1073" s="2">
        <v>5</v>
      </c>
      <c r="I1073" s="2">
        <v>1</v>
      </c>
      <c r="J1073" s="2">
        <v>3.2</v>
      </c>
      <c r="K1073" s="2" t="s">
        <v>306</v>
      </c>
      <c r="L1073" s="2" t="str">
        <f t="shared" si="96"/>
        <v>Profitable</v>
      </c>
      <c r="M1073" s="2" t="str">
        <f t="shared" si="97"/>
        <v>High Volatility</v>
      </c>
      <c r="N1073" s="2" t="str">
        <f t="shared" si="98"/>
        <v>Low Quality</v>
      </c>
      <c r="O1073" s="4" t="str">
        <f t="shared" si="99"/>
        <v>Operational Growth</v>
      </c>
      <c r="P1073" s="4" t="str">
        <f t="shared" si="100"/>
        <v>Low Quality</v>
      </c>
      <c r="Q1073" s="4" t="str">
        <f t="shared" si="101"/>
        <v>Weak Growth</v>
      </c>
    </row>
    <row r="1074" spans="1:17" x14ac:dyDescent="0.35">
      <c r="A1074" s="2" t="s">
        <v>1084</v>
      </c>
      <c r="B1074" s="2">
        <v>5</v>
      </c>
      <c r="C1074" s="2">
        <v>1078183195</v>
      </c>
      <c r="D1074" s="2">
        <v>0.8</v>
      </c>
      <c r="E1074" s="2">
        <v>3495062014</v>
      </c>
      <c r="F1074" s="2">
        <v>2915922962</v>
      </c>
      <c r="G1074" s="2">
        <v>3</v>
      </c>
      <c r="H1074" s="2">
        <v>5</v>
      </c>
      <c r="I1074" s="2">
        <v>1</v>
      </c>
      <c r="J1074" s="2">
        <v>3.2</v>
      </c>
      <c r="K1074" s="2" t="s">
        <v>306</v>
      </c>
      <c r="L1074" s="2" t="str">
        <f t="shared" si="96"/>
        <v>Profitable</v>
      </c>
      <c r="M1074" s="2" t="str">
        <f t="shared" si="97"/>
        <v>High Volatility</v>
      </c>
      <c r="N1074" s="2" t="str">
        <f t="shared" si="98"/>
        <v>Low Quality</v>
      </c>
      <c r="O1074" s="4" t="str">
        <f t="shared" si="99"/>
        <v>Operational Growth</v>
      </c>
      <c r="P1074" s="4" t="str">
        <f t="shared" si="100"/>
        <v>Low Quality</v>
      </c>
      <c r="Q1074" s="4" t="str">
        <f t="shared" si="101"/>
        <v>Weak Growth</v>
      </c>
    </row>
    <row r="1075" spans="1:17" x14ac:dyDescent="0.35">
      <c r="A1075" s="2" t="s">
        <v>1085</v>
      </c>
      <c r="B1075" s="2">
        <v>5</v>
      </c>
      <c r="C1075" s="2">
        <v>2721512146</v>
      </c>
      <c r="D1075" s="2">
        <v>0.8</v>
      </c>
      <c r="E1075" s="2">
        <v>2511743789</v>
      </c>
      <c r="F1075" s="2">
        <v>2841845718</v>
      </c>
      <c r="G1075" s="2">
        <v>3</v>
      </c>
      <c r="H1075" s="2">
        <v>5</v>
      </c>
      <c r="I1075" s="2">
        <v>1</v>
      </c>
      <c r="J1075" s="2">
        <v>3.2</v>
      </c>
      <c r="K1075" s="2" t="s">
        <v>306</v>
      </c>
      <c r="L1075" s="2" t="str">
        <f t="shared" si="96"/>
        <v>Profitable</v>
      </c>
      <c r="M1075" s="2" t="str">
        <f t="shared" si="97"/>
        <v>High Volatility</v>
      </c>
      <c r="N1075" s="2" t="str">
        <f t="shared" si="98"/>
        <v>Low Quality</v>
      </c>
      <c r="O1075" s="4" t="str">
        <f t="shared" si="99"/>
        <v>Operational Growth</v>
      </c>
      <c r="P1075" s="4" t="str">
        <f t="shared" si="100"/>
        <v>Low Quality</v>
      </c>
      <c r="Q1075" s="4" t="str">
        <f t="shared" si="101"/>
        <v>Weak Growth</v>
      </c>
    </row>
    <row r="1076" spans="1:17" x14ac:dyDescent="0.35">
      <c r="A1076" s="2" t="s">
        <v>1086</v>
      </c>
      <c r="B1076" s="2">
        <v>5</v>
      </c>
      <c r="C1076" s="2">
        <v>3042637564</v>
      </c>
      <c r="D1076" s="2">
        <v>0.8</v>
      </c>
      <c r="E1076" s="2">
        <v>7113440532</v>
      </c>
      <c r="F1076" s="2">
        <v>4270357982</v>
      </c>
      <c r="G1076" s="2">
        <v>3</v>
      </c>
      <c r="H1076" s="2">
        <v>5</v>
      </c>
      <c r="I1076" s="2">
        <v>1</v>
      </c>
      <c r="J1076" s="2">
        <v>3.2</v>
      </c>
      <c r="K1076" s="2" t="s">
        <v>306</v>
      </c>
      <c r="L1076" s="2" t="str">
        <f t="shared" si="96"/>
        <v>Profitable</v>
      </c>
      <c r="M1076" s="2" t="str">
        <f t="shared" si="97"/>
        <v>High Volatility</v>
      </c>
      <c r="N1076" s="2" t="str">
        <f t="shared" si="98"/>
        <v>Low Quality</v>
      </c>
      <c r="O1076" s="4" t="str">
        <f t="shared" si="99"/>
        <v>Operational Growth</v>
      </c>
      <c r="P1076" s="4" t="str">
        <f t="shared" si="100"/>
        <v>Low Quality</v>
      </c>
      <c r="Q1076" s="4" t="str">
        <f t="shared" si="101"/>
        <v>Weak Growth</v>
      </c>
    </row>
    <row r="1077" spans="1:17" x14ac:dyDescent="0.35">
      <c r="A1077" s="2" t="s">
        <v>1087</v>
      </c>
      <c r="B1077" s="2">
        <v>5</v>
      </c>
      <c r="C1077" s="2">
        <v>1920809970</v>
      </c>
      <c r="D1077" s="2">
        <v>0.6</v>
      </c>
      <c r="E1077" s="2">
        <v>3512410686</v>
      </c>
      <c r="F1077" s="2">
        <v>4017166466</v>
      </c>
      <c r="G1077" s="2">
        <v>3</v>
      </c>
      <c r="H1077" s="2">
        <v>5</v>
      </c>
      <c r="I1077" s="2">
        <v>1</v>
      </c>
      <c r="J1077" s="2">
        <v>3.2</v>
      </c>
      <c r="K1077" s="2" t="s">
        <v>306</v>
      </c>
      <c r="L1077" s="2" t="str">
        <f t="shared" si="96"/>
        <v>Profitable</v>
      </c>
      <c r="M1077" s="2" t="str">
        <f t="shared" si="97"/>
        <v>High Volatility</v>
      </c>
      <c r="N1077" s="2" t="str">
        <f t="shared" si="98"/>
        <v>Low Quality</v>
      </c>
      <c r="O1077" s="4" t="str">
        <f t="shared" si="99"/>
        <v>Accounting Risk</v>
      </c>
      <c r="P1077" s="4" t="str">
        <f t="shared" si="100"/>
        <v>Low Quality</v>
      </c>
      <c r="Q1077" s="4" t="str">
        <f t="shared" si="101"/>
        <v>Weak Growth</v>
      </c>
    </row>
    <row r="1078" spans="1:17" x14ac:dyDescent="0.35">
      <c r="A1078" s="2" t="s">
        <v>1088</v>
      </c>
      <c r="B1078" s="2">
        <v>5</v>
      </c>
      <c r="C1078" s="2">
        <v>8502170138</v>
      </c>
      <c r="D1078" s="2">
        <v>0.8</v>
      </c>
      <c r="E1078" s="2">
        <v>7600488340</v>
      </c>
      <c r="F1078" s="2">
        <v>3996713586</v>
      </c>
      <c r="G1078" s="2">
        <v>3</v>
      </c>
      <c r="H1078" s="2">
        <v>5</v>
      </c>
      <c r="I1078" s="2">
        <v>1</v>
      </c>
      <c r="J1078" s="2">
        <v>3.2</v>
      </c>
      <c r="K1078" s="2" t="s">
        <v>306</v>
      </c>
      <c r="L1078" s="2" t="str">
        <f t="shared" si="96"/>
        <v>Profitable</v>
      </c>
      <c r="M1078" s="2" t="str">
        <f t="shared" si="97"/>
        <v>High Volatility</v>
      </c>
      <c r="N1078" s="2" t="str">
        <f t="shared" si="98"/>
        <v>Low Quality</v>
      </c>
      <c r="O1078" s="4" t="str">
        <f t="shared" si="99"/>
        <v>Operational Growth</v>
      </c>
      <c r="P1078" s="4" t="str">
        <f t="shared" si="100"/>
        <v>Low Quality</v>
      </c>
      <c r="Q1078" s="4" t="str">
        <f t="shared" si="101"/>
        <v>Weak Growth</v>
      </c>
    </row>
    <row r="1079" spans="1:17" x14ac:dyDescent="0.35">
      <c r="A1079" s="2" t="s">
        <v>1089</v>
      </c>
      <c r="B1079" s="2">
        <v>5</v>
      </c>
      <c r="C1079" s="2">
        <v>-246152976.80000001</v>
      </c>
      <c r="D1079" s="2">
        <v>0.6</v>
      </c>
      <c r="E1079" s="2">
        <v>3662454480</v>
      </c>
      <c r="F1079" s="2">
        <v>6067695338</v>
      </c>
      <c r="G1079" s="2">
        <v>3</v>
      </c>
      <c r="H1079" s="2">
        <v>5</v>
      </c>
      <c r="I1079" s="2">
        <v>1</v>
      </c>
      <c r="J1079" s="2">
        <v>3.2</v>
      </c>
      <c r="K1079" s="2" t="s">
        <v>306</v>
      </c>
      <c r="L1079" s="2" t="str">
        <f t="shared" si="96"/>
        <v>Loss Making</v>
      </c>
      <c r="M1079" s="2" t="str">
        <f t="shared" si="97"/>
        <v>Stable Earnings</v>
      </c>
      <c r="N1079" s="2" t="str">
        <f t="shared" si="98"/>
        <v>Low Quality</v>
      </c>
      <c r="O1079" s="4" t="str">
        <f t="shared" si="99"/>
        <v>Accounting Risk</v>
      </c>
      <c r="P1079" s="4" t="str">
        <f t="shared" si="100"/>
        <v>Low Quality</v>
      </c>
      <c r="Q1079" s="4" t="str">
        <f t="shared" si="101"/>
        <v>Weak Growth</v>
      </c>
    </row>
    <row r="1080" spans="1:17" x14ac:dyDescent="0.35">
      <c r="A1080" s="2" t="s">
        <v>1090</v>
      </c>
      <c r="B1080" s="2">
        <v>5</v>
      </c>
      <c r="C1080" s="2">
        <v>-1121567306</v>
      </c>
      <c r="D1080" s="2">
        <v>0.6</v>
      </c>
      <c r="E1080" s="2">
        <v>2828078871</v>
      </c>
      <c r="F1080" s="2">
        <v>6172611287</v>
      </c>
      <c r="G1080" s="2">
        <v>3</v>
      </c>
      <c r="H1080" s="2">
        <v>5</v>
      </c>
      <c r="I1080" s="2">
        <v>1</v>
      </c>
      <c r="J1080" s="2">
        <v>3.2</v>
      </c>
      <c r="K1080" s="2" t="s">
        <v>306</v>
      </c>
      <c r="L1080" s="2" t="str">
        <f t="shared" si="96"/>
        <v>Loss Making</v>
      </c>
      <c r="M1080" s="2" t="str">
        <f t="shared" si="97"/>
        <v>Stable Earnings</v>
      </c>
      <c r="N1080" s="2" t="str">
        <f t="shared" si="98"/>
        <v>Low Quality</v>
      </c>
      <c r="O1080" s="4" t="str">
        <f t="shared" si="99"/>
        <v>Accounting Risk</v>
      </c>
      <c r="P1080" s="4" t="str">
        <f t="shared" si="100"/>
        <v>Low Quality</v>
      </c>
      <c r="Q1080" s="4" t="str">
        <f t="shared" si="101"/>
        <v>Weak Growth</v>
      </c>
    </row>
    <row r="1081" spans="1:17" x14ac:dyDescent="0.35">
      <c r="A1081" s="2" t="s">
        <v>1091</v>
      </c>
      <c r="B1081" s="2">
        <v>5</v>
      </c>
      <c r="C1081" s="2">
        <v>3856371889</v>
      </c>
      <c r="D1081" s="2">
        <v>0.6</v>
      </c>
      <c r="E1081" s="2">
        <v>8330252120</v>
      </c>
      <c r="F1081" s="2">
        <v>4481867045</v>
      </c>
      <c r="G1081" s="2">
        <v>3</v>
      </c>
      <c r="H1081" s="2">
        <v>5</v>
      </c>
      <c r="I1081" s="2">
        <v>1</v>
      </c>
      <c r="J1081" s="2">
        <v>3.2</v>
      </c>
      <c r="K1081" s="2" t="s">
        <v>306</v>
      </c>
      <c r="L1081" s="2" t="str">
        <f t="shared" si="96"/>
        <v>Profitable</v>
      </c>
      <c r="M1081" s="2" t="str">
        <f t="shared" si="97"/>
        <v>High Volatility</v>
      </c>
      <c r="N1081" s="2" t="str">
        <f t="shared" si="98"/>
        <v>Low Quality</v>
      </c>
      <c r="O1081" s="4" t="str">
        <f t="shared" si="99"/>
        <v>Accounting Risk</v>
      </c>
      <c r="P1081" s="4" t="str">
        <f t="shared" si="100"/>
        <v>Low Quality</v>
      </c>
      <c r="Q1081" s="4" t="str">
        <f t="shared" si="101"/>
        <v>Weak Growth</v>
      </c>
    </row>
    <row r="1082" spans="1:17" x14ac:dyDescent="0.35">
      <c r="A1082" s="2" t="s">
        <v>1092</v>
      </c>
      <c r="B1082" s="2">
        <v>5</v>
      </c>
      <c r="C1082" s="2">
        <v>4353908098</v>
      </c>
      <c r="D1082" s="2">
        <v>0.8</v>
      </c>
      <c r="E1082" s="2">
        <v>3424405655</v>
      </c>
      <c r="F1082" s="2">
        <v>4873023059</v>
      </c>
      <c r="G1082" s="2">
        <v>3</v>
      </c>
      <c r="H1082" s="2">
        <v>5</v>
      </c>
      <c r="I1082" s="2">
        <v>1</v>
      </c>
      <c r="J1082" s="2">
        <v>3.2</v>
      </c>
      <c r="K1082" s="2" t="s">
        <v>306</v>
      </c>
      <c r="L1082" s="2" t="str">
        <f t="shared" si="96"/>
        <v>Profitable</v>
      </c>
      <c r="M1082" s="2" t="str">
        <f t="shared" si="97"/>
        <v>High Volatility</v>
      </c>
      <c r="N1082" s="2" t="str">
        <f t="shared" si="98"/>
        <v>Low Quality</v>
      </c>
      <c r="O1082" s="4" t="str">
        <f t="shared" si="99"/>
        <v>Operational Growth</v>
      </c>
      <c r="P1082" s="4" t="str">
        <f t="shared" si="100"/>
        <v>Low Quality</v>
      </c>
      <c r="Q1082" s="4" t="str">
        <f t="shared" si="101"/>
        <v>Weak Growth</v>
      </c>
    </row>
    <row r="1083" spans="1:17" x14ac:dyDescent="0.35">
      <c r="A1083" s="2" t="s">
        <v>1093</v>
      </c>
      <c r="B1083" s="2">
        <v>5</v>
      </c>
      <c r="C1083" s="2">
        <v>5404835302</v>
      </c>
      <c r="D1083" s="2">
        <v>0.8</v>
      </c>
      <c r="E1083" s="2">
        <v>9824771772</v>
      </c>
      <c r="F1083" s="2">
        <v>7642366643</v>
      </c>
      <c r="G1083" s="2">
        <v>3</v>
      </c>
      <c r="H1083" s="2">
        <v>5</v>
      </c>
      <c r="I1083" s="2">
        <v>1</v>
      </c>
      <c r="J1083" s="2">
        <v>3.2</v>
      </c>
      <c r="K1083" s="2" t="s">
        <v>306</v>
      </c>
      <c r="L1083" s="2" t="str">
        <f t="shared" si="96"/>
        <v>Profitable</v>
      </c>
      <c r="M1083" s="2" t="str">
        <f t="shared" si="97"/>
        <v>High Volatility</v>
      </c>
      <c r="N1083" s="2" t="str">
        <f t="shared" si="98"/>
        <v>Low Quality</v>
      </c>
      <c r="O1083" s="4" t="str">
        <f t="shared" si="99"/>
        <v>Operational Growth</v>
      </c>
      <c r="P1083" s="4" t="str">
        <f t="shared" si="100"/>
        <v>Low Quality</v>
      </c>
      <c r="Q1083" s="4" t="str">
        <f t="shared" si="101"/>
        <v>Weak Growth</v>
      </c>
    </row>
    <row r="1084" spans="1:17" x14ac:dyDescent="0.35">
      <c r="A1084" s="2" t="s">
        <v>1094</v>
      </c>
      <c r="B1084" s="2">
        <v>5</v>
      </c>
      <c r="C1084" s="2">
        <v>57533770978</v>
      </c>
      <c r="D1084" s="2">
        <v>0.8</v>
      </c>
      <c r="E1084" s="2">
        <v>49872379340</v>
      </c>
      <c r="F1084" s="2">
        <v>10515437363</v>
      </c>
      <c r="G1084" s="2">
        <v>3</v>
      </c>
      <c r="H1084" s="2">
        <v>5</v>
      </c>
      <c r="I1084" s="2">
        <v>1</v>
      </c>
      <c r="J1084" s="2">
        <v>3.2</v>
      </c>
      <c r="K1084" s="2" t="s">
        <v>306</v>
      </c>
      <c r="L1084" s="2" t="str">
        <f t="shared" si="96"/>
        <v>Profitable</v>
      </c>
      <c r="M1084" s="2" t="str">
        <f t="shared" si="97"/>
        <v>High Volatility</v>
      </c>
      <c r="N1084" s="2" t="str">
        <f t="shared" si="98"/>
        <v>Low Quality</v>
      </c>
      <c r="O1084" s="4" t="str">
        <f t="shared" si="99"/>
        <v>Operational Growth</v>
      </c>
      <c r="P1084" s="4" t="str">
        <f t="shared" si="100"/>
        <v>Low Quality</v>
      </c>
      <c r="Q1084" s="4" t="str">
        <f t="shared" si="101"/>
        <v>Weak Growth</v>
      </c>
    </row>
    <row r="1085" spans="1:17" x14ac:dyDescent="0.35">
      <c r="A1085" s="2" t="s">
        <v>1095</v>
      </c>
      <c r="B1085" s="2">
        <v>5</v>
      </c>
      <c r="C1085" s="2">
        <v>4012280546</v>
      </c>
      <c r="D1085" s="2">
        <v>0.8</v>
      </c>
      <c r="E1085" s="2">
        <v>3676584654</v>
      </c>
      <c r="F1085" s="2">
        <v>9705344653</v>
      </c>
      <c r="G1085" s="2">
        <v>3</v>
      </c>
      <c r="H1085" s="2">
        <v>5</v>
      </c>
      <c r="I1085" s="2">
        <v>1</v>
      </c>
      <c r="J1085" s="2">
        <v>3.2</v>
      </c>
      <c r="K1085" s="2" t="s">
        <v>306</v>
      </c>
      <c r="L1085" s="2" t="str">
        <f t="shared" si="96"/>
        <v>Profitable</v>
      </c>
      <c r="M1085" s="2" t="str">
        <f t="shared" si="97"/>
        <v>High Volatility</v>
      </c>
      <c r="N1085" s="2" t="str">
        <f t="shared" si="98"/>
        <v>Low Quality</v>
      </c>
      <c r="O1085" s="4" t="str">
        <f t="shared" si="99"/>
        <v>Operational Growth</v>
      </c>
      <c r="P1085" s="4" t="str">
        <f t="shared" si="100"/>
        <v>Low Quality</v>
      </c>
      <c r="Q1085" s="4" t="str">
        <f t="shared" si="101"/>
        <v>Weak Growth</v>
      </c>
    </row>
    <row r="1086" spans="1:17" x14ac:dyDescent="0.35">
      <c r="A1086" s="2" t="s">
        <v>1096</v>
      </c>
      <c r="B1086" s="2">
        <v>5</v>
      </c>
      <c r="C1086" s="2">
        <v>1807111245</v>
      </c>
      <c r="D1086" s="2">
        <v>0.6</v>
      </c>
      <c r="E1086" s="2">
        <v>4487557397</v>
      </c>
      <c r="F1086" s="2">
        <v>8736387227</v>
      </c>
      <c r="G1086" s="2">
        <v>3</v>
      </c>
      <c r="H1086" s="2">
        <v>5</v>
      </c>
      <c r="I1086" s="2">
        <v>1</v>
      </c>
      <c r="J1086" s="2">
        <v>3.2</v>
      </c>
      <c r="K1086" s="2" t="s">
        <v>306</v>
      </c>
      <c r="L1086" s="2" t="str">
        <f t="shared" si="96"/>
        <v>Profitable</v>
      </c>
      <c r="M1086" s="2" t="str">
        <f t="shared" si="97"/>
        <v>High Volatility</v>
      </c>
      <c r="N1086" s="2" t="str">
        <f t="shared" si="98"/>
        <v>Low Quality</v>
      </c>
      <c r="O1086" s="4" t="str">
        <f t="shared" si="99"/>
        <v>Accounting Risk</v>
      </c>
      <c r="P1086" s="4" t="str">
        <f t="shared" si="100"/>
        <v>Low Quality</v>
      </c>
      <c r="Q1086" s="4" t="str">
        <f t="shared" si="101"/>
        <v>Weak Growth</v>
      </c>
    </row>
    <row r="1087" spans="1:17" x14ac:dyDescent="0.35">
      <c r="A1087" s="2" t="s">
        <v>1097</v>
      </c>
      <c r="B1087" s="2">
        <v>5</v>
      </c>
      <c r="C1087" s="2">
        <v>810380000.10000002</v>
      </c>
      <c r="D1087" s="2">
        <v>0.6</v>
      </c>
      <c r="E1087" s="2">
        <v>6871232824</v>
      </c>
      <c r="F1087" s="2">
        <v>14370556417</v>
      </c>
      <c r="G1087" s="2">
        <v>3</v>
      </c>
      <c r="H1087" s="2">
        <v>5</v>
      </c>
      <c r="I1087" s="2">
        <v>1</v>
      </c>
      <c r="J1087" s="2">
        <v>3.2</v>
      </c>
      <c r="K1087" s="2" t="s">
        <v>306</v>
      </c>
      <c r="L1087" s="2" t="str">
        <f t="shared" si="96"/>
        <v>Profitable</v>
      </c>
      <c r="M1087" s="2" t="str">
        <f t="shared" si="97"/>
        <v>High Volatility</v>
      </c>
      <c r="N1087" s="2" t="str">
        <f t="shared" si="98"/>
        <v>Low Quality</v>
      </c>
      <c r="O1087" s="4" t="str">
        <f t="shared" si="99"/>
        <v>Accounting Risk</v>
      </c>
      <c r="P1087" s="4" t="str">
        <f t="shared" si="100"/>
        <v>Low Quality</v>
      </c>
      <c r="Q1087" s="4" t="str">
        <f t="shared" si="101"/>
        <v>Weak Growth</v>
      </c>
    </row>
    <row r="1088" spans="1:17" x14ac:dyDescent="0.35">
      <c r="A1088" s="2" t="s">
        <v>1098</v>
      </c>
      <c r="B1088" s="2">
        <v>5</v>
      </c>
      <c r="C1088" s="2">
        <v>-2193707510</v>
      </c>
      <c r="D1088" s="2">
        <v>0.6</v>
      </c>
      <c r="E1088" s="2">
        <v>7365178788</v>
      </c>
      <c r="F1088" s="2">
        <v>13975779122</v>
      </c>
      <c r="G1088" s="2">
        <v>3</v>
      </c>
      <c r="H1088" s="2">
        <v>5</v>
      </c>
      <c r="I1088" s="2">
        <v>1</v>
      </c>
      <c r="J1088" s="2">
        <v>3.2</v>
      </c>
      <c r="K1088" s="2" t="s">
        <v>306</v>
      </c>
      <c r="L1088" s="2" t="str">
        <f t="shared" si="96"/>
        <v>Loss Making</v>
      </c>
      <c r="M1088" s="2" t="str">
        <f t="shared" si="97"/>
        <v>Stable Earnings</v>
      </c>
      <c r="N1088" s="2" t="str">
        <f t="shared" si="98"/>
        <v>Low Quality</v>
      </c>
      <c r="O1088" s="4" t="str">
        <f t="shared" si="99"/>
        <v>Accounting Risk</v>
      </c>
      <c r="P1088" s="4" t="str">
        <f t="shared" si="100"/>
        <v>Low Quality</v>
      </c>
      <c r="Q1088" s="4" t="str">
        <f t="shared" si="101"/>
        <v>Weak Growth</v>
      </c>
    </row>
    <row r="1089" spans="1:17" x14ac:dyDescent="0.35">
      <c r="A1089" s="2" t="s">
        <v>1099</v>
      </c>
      <c r="B1089" s="2">
        <v>5</v>
      </c>
      <c r="C1089" s="2">
        <v>18573422683</v>
      </c>
      <c r="D1089" s="2">
        <v>0.8</v>
      </c>
      <c r="E1089" s="2">
        <v>14337006345</v>
      </c>
      <c r="F1089" s="2">
        <v>18800995500</v>
      </c>
      <c r="G1089" s="2">
        <v>3</v>
      </c>
      <c r="H1089" s="2">
        <v>5</v>
      </c>
      <c r="I1089" s="2">
        <v>1</v>
      </c>
      <c r="J1089" s="2">
        <v>3.2</v>
      </c>
      <c r="K1089" s="2" t="s">
        <v>306</v>
      </c>
      <c r="L1089" s="2" t="str">
        <f t="shared" si="96"/>
        <v>Profitable</v>
      </c>
      <c r="M1089" s="2" t="str">
        <f t="shared" si="97"/>
        <v>High Volatility</v>
      </c>
      <c r="N1089" s="2" t="str">
        <f t="shared" si="98"/>
        <v>Low Quality</v>
      </c>
      <c r="O1089" s="4" t="str">
        <f t="shared" si="99"/>
        <v>Operational Growth</v>
      </c>
      <c r="P1089" s="4" t="str">
        <f t="shared" si="100"/>
        <v>Low Quality</v>
      </c>
      <c r="Q1089" s="4" t="str">
        <f t="shared" si="101"/>
        <v>Weak Growth</v>
      </c>
    </row>
    <row r="1090" spans="1:17" x14ac:dyDescent="0.35">
      <c r="A1090" s="2" t="s">
        <v>1100</v>
      </c>
      <c r="B1090" s="2">
        <v>5</v>
      </c>
      <c r="C1090" s="2">
        <v>13514680870</v>
      </c>
      <c r="D1090" s="2">
        <v>0.8</v>
      </c>
      <c r="E1090" s="2">
        <v>15398390026</v>
      </c>
      <c r="F1090" s="2">
        <v>17512013267</v>
      </c>
      <c r="G1090" s="2">
        <v>3</v>
      </c>
      <c r="H1090" s="2">
        <v>5</v>
      </c>
      <c r="I1090" s="2">
        <v>1</v>
      </c>
      <c r="J1090" s="2">
        <v>3.2</v>
      </c>
      <c r="K1090" s="2" t="s">
        <v>306</v>
      </c>
      <c r="L1090" s="2" t="str">
        <f t="shared" ref="L1090:L1153" si="102">IF(C1090&gt;0,"Profitable","Loss Making")</f>
        <v>Profitable</v>
      </c>
      <c r="M1090" s="2" t="str">
        <f t="shared" ref="M1090:M1153" si="103">IF(C1090&gt;500000000,"High Volatility","Stable Earnings")</f>
        <v>High Volatility</v>
      </c>
      <c r="N1090" s="2" t="str">
        <f t="shared" ref="N1090:N1153" si="104">IF(G1090&gt;=7,"High Quality",IF(G1090&gt;=4,"Moderate","Low Quality"))</f>
        <v>Low Quality</v>
      </c>
      <c r="O1090" s="4" t="str">
        <f t="shared" ref="O1090:O1153" si="105">IF(AND(F1090&gt;0,D1090&gt;0.6),"Operational Growth","Accounting Risk")</f>
        <v>Operational Growth</v>
      </c>
      <c r="P1090" s="4" t="str">
        <f t="shared" ref="P1090:P1153" si="106">IF(G1090&gt;=7,"High Quality", IF(G1090&gt;=4,"Moderate","Low Quality"))</f>
        <v>Low Quality</v>
      </c>
      <c r="Q1090" s="4" t="str">
        <f t="shared" ref="Q1090:Q1153" si="107">IF(I1090&gt;=4,"Strong Long-Term Growth",IF(I1090&gt;=2,"Moderate Growth","Weak Growth"))</f>
        <v>Weak Growth</v>
      </c>
    </row>
    <row r="1091" spans="1:17" x14ac:dyDescent="0.35">
      <c r="A1091" s="2" t="s">
        <v>1101</v>
      </c>
      <c r="B1091" s="2">
        <v>5</v>
      </c>
      <c r="C1091" s="2">
        <v>723197580.39999998</v>
      </c>
      <c r="D1091" s="2">
        <v>0.8</v>
      </c>
      <c r="E1091" s="2">
        <v>1862528576</v>
      </c>
      <c r="F1091" s="2">
        <v>1580637159</v>
      </c>
      <c r="G1091" s="2">
        <v>3</v>
      </c>
      <c r="H1091" s="2">
        <v>5</v>
      </c>
      <c r="I1091" s="2">
        <v>1</v>
      </c>
      <c r="J1091" s="2">
        <v>3.2</v>
      </c>
      <c r="K1091" s="2" t="s">
        <v>306</v>
      </c>
      <c r="L1091" s="2" t="str">
        <f t="shared" si="102"/>
        <v>Profitable</v>
      </c>
      <c r="M1091" s="2" t="str">
        <f t="shared" si="103"/>
        <v>High Volatility</v>
      </c>
      <c r="N1091" s="2" t="str">
        <f t="shared" si="104"/>
        <v>Low Quality</v>
      </c>
      <c r="O1091" s="4" t="str">
        <f t="shared" si="105"/>
        <v>Operational Growth</v>
      </c>
      <c r="P1091" s="4" t="str">
        <f t="shared" si="106"/>
        <v>Low Quality</v>
      </c>
      <c r="Q1091" s="4" t="str">
        <f t="shared" si="107"/>
        <v>Weak Growth</v>
      </c>
    </row>
    <row r="1092" spans="1:17" x14ac:dyDescent="0.35">
      <c r="A1092" s="2" t="s">
        <v>1102</v>
      </c>
      <c r="B1092" s="2">
        <v>5</v>
      </c>
      <c r="C1092" s="2">
        <v>669244458.79999995</v>
      </c>
      <c r="D1092" s="2">
        <v>0.8</v>
      </c>
      <c r="E1092" s="2">
        <v>1026423446</v>
      </c>
      <c r="F1092" s="2">
        <v>1718239141</v>
      </c>
      <c r="G1092" s="2">
        <v>3</v>
      </c>
      <c r="H1092" s="2">
        <v>5</v>
      </c>
      <c r="I1092" s="2">
        <v>1</v>
      </c>
      <c r="J1092" s="2">
        <v>3.2</v>
      </c>
      <c r="K1092" s="2" t="s">
        <v>306</v>
      </c>
      <c r="L1092" s="2" t="str">
        <f t="shared" si="102"/>
        <v>Profitable</v>
      </c>
      <c r="M1092" s="2" t="str">
        <f t="shared" si="103"/>
        <v>High Volatility</v>
      </c>
      <c r="N1092" s="2" t="str">
        <f t="shared" si="104"/>
        <v>Low Quality</v>
      </c>
      <c r="O1092" s="4" t="str">
        <f t="shared" si="105"/>
        <v>Operational Growth</v>
      </c>
      <c r="P1092" s="4" t="str">
        <f t="shared" si="106"/>
        <v>Low Quality</v>
      </c>
      <c r="Q1092" s="4" t="str">
        <f t="shared" si="107"/>
        <v>Weak Growth</v>
      </c>
    </row>
    <row r="1093" spans="1:17" x14ac:dyDescent="0.35">
      <c r="A1093" s="2" t="s">
        <v>1103</v>
      </c>
      <c r="B1093" s="2">
        <v>5</v>
      </c>
      <c r="C1093" s="2">
        <v>722407316.20000005</v>
      </c>
      <c r="D1093" s="2">
        <v>0.4</v>
      </c>
      <c r="E1093" s="2">
        <v>1055401558</v>
      </c>
      <c r="F1093" s="2">
        <v>1678329734</v>
      </c>
      <c r="G1093" s="2">
        <v>3</v>
      </c>
      <c r="H1093" s="2">
        <v>5</v>
      </c>
      <c r="I1093" s="2">
        <v>1</v>
      </c>
      <c r="J1093" s="2">
        <v>3.2</v>
      </c>
      <c r="K1093" s="2" t="s">
        <v>306</v>
      </c>
      <c r="L1093" s="2" t="str">
        <f t="shared" si="102"/>
        <v>Profitable</v>
      </c>
      <c r="M1093" s="2" t="str">
        <f t="shared" si="103"/>
        <v>High Volatility</v>
      </c>
      <c r="N1093" s="2" t="str">
        <f t="shared" si="104"/>
        <v>Low Quality</v>
      </c>
      <c r="O1093" s="4" t="str">
        <f t="shared" si="105"/>
        <v>Accounting Risk</v>
      </c>
      <c r="P1093" s="4" t="str">
        <f t="shared" si="106"/>
        <v>Low Quality</v>
      </c>
      <c r="Q1093" s="4" t="str">
        <f t="shared" si="107"/>
        <v>Weak Growth</v>
      </c>
    </row>
    <row r="1094" spans="1:17" x14ac:dyDescent="0.35">
      <c r="A1094" s="2" t="s">
        <v>1104</v>
      </c>
      <c r="B1094" s="2">
        <v>5</v>
      </c>
      <c r="C1094" s="2">
        <v>655724414.20000005</v>
      </c>
      <c r="D1094" s="2">
        <v>0.8</v>
      </c>
      <c r="E1094" s="2">
        <v>1066061390</v>
      </c>
      <c r="F1094" s="2">
        <v>1774017984</v>
      </c>
      <c r="G1094" s="2">
        <v>3</v>
      </c>
      <c r="H1094" s="2">
        <v>5</v>
      </c>
      <c r="I1094" s="2">
        <v>1</v>
      </c>
      <c r="J1094" s="2">
        <v>3.2</v>
      </c>
      <c r="K1094" s="2" t="s">
        <v>306</v>
      </c>
      <c r="L1094" s="2" t="str">
        <f t="shared" si="102"/>
        <v>Profitable</v>
      </c>
      <c r="M1094" s="2" t="str">
        <f t="shared" si="103"/>
        <v>High Volatility</v>
      </c>
      <c r="N1094" s="2" t="str">
        <f t="shared" si="104"/>
        <v>Low Quality</v>
      </c>
      <c r="O1094" s="4" t="str">
        <f t="shared" si="105"/>
        <v>Operational Growth</v>
      </c>
      <c r="P1094" s="4" t="str">
        <f t="shared" si="106"/>
        <v>Low Quality</v>
      </c>
      <c r="Q1094" s="4" t="str">
        <f t="shared" si="107"/>
        <v>Weak Growth</v>
      </c>
    </row>
    <row r="1095" spans="1:17" x14ac:dyDescent="0.35">
      <c r="A1095" s="2" t="s">
        <v>1105</v>
      </c>
      <c r="B1095" s="2">
        <v>5</v>
      </c>
      <c r="C1095" s="2">
        <v>-376535893.80000001</v>
      </c>
      <c r="D1095" s="2">
        <v>0.6</v>
      </c>
      <c r="E1095" s="2">
        <v>821849387.29999995</v>
      </c>
      <c r="F1095" s="2">
        <v>1758383399</v>
      </c>
      <c r="G1095" s="2">
        <v>3</v>
      </c>
      <c r="H1095" s="2">
        <v>5</v>
      </c>
      <c r="I1095" s="2">
        <v>1</v>
      </c>
      <c r="J1095" s="2">
        <v>3.2</v>
      </c>
      <c r="K1095" s="2" t="s">
        <v>306</v>
      </c>
      <c r="L1095" s="2" t="str">
        <f t="shared" si="102"/>
        <v>Loss Making</v>
      </c>
      <c r="M1095" s="2" t="str">
        <f t="shared" si="103"/>
        <v>Stable Earnings</v>
      </c>
      <c r="N1095" s="2" t="str">
        <f t="shared" si="104"/>
        <v>Low Quality</v>
      </c>
      <c r="O1095" s="4" t="str">
        <f t="shared" si="105"/>
        <v>Accounting Risk</v>
      </c>
      <c r="P1095" s="4" t="str">
        <f t="shared" si="106"/>
        <v>Low Quality</v>
      </c>
      <c r="Q1095" s="4" t="str">
        <f t="shared" si="107"/>
        <v>Weak Growth</v>
      </c>
    </row>
    <row r="1096" spans="1:17" x14ac:dyDescent="0.35">
      <c r="A1096" s="2" t="s">
        <v>1106</v>
      </c>
      <c r="B1096" s="2">
        <v>5</v>
      </c>
      <c r="C1096" s="2">
        <v>2015694609</v>
      </c>
      <c r="D1096" s="2">
        <v>0.8</v>
      </c>
      <c r="E1096" s="2">
        <v>1914671497</v>
      </c>
      <c r="F1096" s="2">
        <v>2166846549</v>
      </c>
      <c r="G1096" s="2">
        <v>3</v>
      </c>
      <c r="H1096" s="2">
        <v>5</v>
      </c>
      <c r="I1096" s="2">
        <v>1</v>
      </c>
      <c r="J1096" s="2">
        <v>3.2</v>
      </c>
      <c r="K1096" s="2" t="s">
        <v>306</v>
      </c>
      <c r="L1096" s="2" t="str">
        <f t="shared" si="102"/>
        <v>Profitable</v>
      </c>
      <c r="M1096" s="2" t="str">
        <f t="shared" si="103"/>
        <v>High Volatility</v>
      </c>
      <c r="N1096" s="2" t="str">
        <f t="shared" si="104"/>
        <v>Low Quality</v>
      </c>
      <c r="O1096" s="4" t="str">
        <f t="shared" si="105"/>
        <v>Operational Growth</v>
      </c>
      <c r="P1096" s="4" t="str">
        <f t="shared" si="106"/>
        <v>Low Quality</v>
      </c>
      <c r="Q1096" s="4" t="str">
        <f t="shared" si="107"/>
        <v>Weak Growth</v>
      </c>
    </row>
    <row r="1097" spans="1:17" x14ac:dyDescent="0.35">
      <c r="A1097" s="2" t="s">
        <v>1107</v>
      </c>
      <c r="B1097" s="2">
        <v>5</v>
      </c>
      <c r="C1097" s="2">
        <v>2236569194</v>
      </c>
      <c r="D1097" s="2">
        <v>0.8</v>
      </c>
      <c r="E1097" s="2">
        <v>3037658470</v>
      </c>
      <c r="F1097" s="2">
        <v>1930931804</v>
      </c>
      <c r="G1097" s="2">
        <v>3</v>
      </c>
      <c r="H1097" s="2">
        <v>5</v>
      </c>
      <c r="I1097" s="2">
        <v>1</v>
      </c>
      <c r="J1097" s="2">
        <v>3.2</v>
      </c>
      <c r="K1097" s="2" t="s">
        <v>306</v>
      </c>
      <c r="L1097" s="2" t="str">
        <f t="shared" si="102"/>
        <v>Profitable</v>
      </c>
      <c r="M1097" s="2" t="str">
        <f t="shared" si="103"/>
        <v>High Volatility</v>
      </c>
      <c r="N1097" s="2" t="str">
        <f t="shared" si="104"/>
        <v>Low Quality</v>
      </c>
      <c r="O1097" s="4" t="str">
        <f t="shared" si="105"/>
        <v>Operational Growth</v>
      </c>
      <c r="P1097" s="4" t="str">
        <f t="shared" si="106"/>
        <v>Low Quality</v>
      </c>
      <c r="Q1097" s="4" t="str">
        <f t="shared" si="107"/>
        <v>Weak Growth</v>
      </c>
    </row>
    <row r="1098" spans="1:17" x14ac:dyDescent="0.35">
      <c r="A1098" s="2" t="s">
        <v>1108</v>
      </c>
      <c r="B1098" s="2">
        <v>5</v>
      </c>
      <c r="C1098" s="2">
        <v>1511645848</v>
      </c>
      <c r="D1098" s="2">
        <v>0.8</v>
      </c>
      <c r="E1098" s="2">
        <v>1310075750</v>
      </c>
      <c r="F1098" s="2">
        <v>1927204260</v>
      </c>
      <c r="G1098" s="2">
        <v>3</v>
      </c>
      <c r="H1098" s="2">
        <v>5</v>
      </c>
      <c r="I1098" s="2">
        <v>1</v>
      </c>
      <c r="J1098" s="2">
        <v>3.2</v>
      </c>
      <c r="K1098" s="2" t="s">
        <v>306</v>
      </c>
      <c r="L1098" s="2" t="str">
        <f t="shared" si="102"/>
        <v>Profitable</v>
      </c>
      <c r="M1098" s="2" t="str">
        <f t="shared" si="103"/>
        <v>High Volatility</v>
      </c>
      <c r="N1098" s="2" t="str">
        <f t="shared" si="104"/>
        <v>Low Quality</v>
      </c>
      <c r="O1098" s="4" t="str">
        <f t="shared" si="105"/>
        <v>Operational Growth</v>
      </c>
      <c r="P1098" s="4" t="str">
        <f t="shared" si="106"/>
        <v>Low Quality</v>
      </c>
      <c r="Q1098" s="4" t="str">
        <f t="shared" si="107"/>
        <v>Weak Growth</v>
      </c>
    </row>
    <row r="1099" spans="1:17" x14ac:dyDescent="0.35">
      <c r="A1099" s="2" t="s">
        <v>1109</v>
      </c>
      <c r="B1099" s="2">
        <v>5</v>
      </c>
      <c r="C1099" s="2">
        <v>62602350.740000002</v>
      </c>
      <c r="D1099" s="2">
        <v>0.4</v>
      </c>
      <c r="E1099" s="2">
        <v>780037325.10000002</v>
      </c>
      <c r="F1099" s="2">
        <v>1895253413</v>
      </c>
      <c r="G1099" s="2">
        <v>3</v>
      </c>
      <c r="H1099" s="2">
        <v>5</v>
      </c>
      <c r="I1099" s="2">
        <v>1</v>
      </c>
      <c r="J1099" s="2">
        <v>3.2</v>
      </c>
      <c r="K1099" s="2" t="s">
        <v>306</v>
      </c>
      <c r="L1099" s="2" t="str">
        <f t="shared" si="102"/>
        <v>Profitable</v>
      </c>
      <c r="M1099" s="2" t="str">
        <f t="shared" si="103"/>
        <v>Stable Earnings</v>
      </c>
      <c r="N1099" s="2" t="str">
        <f t="shared" si="104"/>
        <v>Low Quality</v>
      </c>
      <c r="O1099" s="4" t="str">
        <f t="shared" si="105"/>
        <v>Accounting Risk</v>
      </c>
      <c r="P1099" s="4" t="str">
        <f t="shared" si="106"/>
        <v>Low Quality</v>
      </c>
      <c r="Q1099" s="4" t="str">
        <f t="shared" si="107"/>
        <v>Weak Growth</v>
      </c>
    </row>
    <row r="1100" spans="1:17" x14ac:dyDescent="0.35">
      <c r="A1100" s="2" t="s">
        <v>1110</v>
      </c>
      <c r="B1100" s="2">
        <v>5</v>
      </c>
      <c r="C1100" s="2">
        <v>312516920.60000002</v>
      </c>
      <c r="D1100" s="2">
        <v>0.6</v>
      </c>
      <c r="E1100" s="2">
        <v>2215514038</v>
      </c>
      <c r="F1100" s="2">
        <v>3599250349</v>
      </c>
      <c r="G1100" s="2">
        <v>3</v>
      </c>
      <c r="H1100" s="2">
        <v>5</v>
      </c>
      <c r="I1100" s="2">
        <v>1</v>
      </c>
      <c r="J1100" s="2">
        <v>3.2</v>
      </c>
      <c r="K1100" s="2" t="s">
        <v>306</v>
      </c>
      <c r="L1100" s="2" t="str">
        <f t="shared" si="102"/>
        <v>Profitable</v>
      </c>
      <c r="M1100" s="2" t="str">
        <f t="shared" si="103"/>
        <v>Stable Earnings</v>
      </c>
      <c r="N1100" s="2" t="str">
        <f t="shared" si="104"/>
        <v>Low Quality</v>
      </c>
      <c r="O1100" s="4" t="str">
        <f t="shared" si="105"/>
        <v>Accounting Risk</v>
      </c>
      <c r="P1100" s="4" t="str">
        <f t="shared" si="106"/>
        <v>Low Quality</v>
      </c>
      <c r="Q1100" s="4" t="str">
        <f t="shared" si="107"/>
        <v>Weak Growth</v>
      </c>
    </row>
    <row r="1101" spans="1:17" x14ac:dyDescent="0.35">
      <c r="A1101" s="2" t="s">
        <v>1111</v>
      </c>
      <c r="B1101" s="2">
        <v>5</v>
      </c>
      <c r="C1101" s="2">
        <v>1112683510</v>
      </c>
      <c r="D1101" s="2">
        <v>0.6</v>
      </c>
      <c r="E1101" s="2">
        <v>2150091651</v>
      </c>
      <c r="F1101" s="2">
        <v>1476974540</v>
      </c>
      <c r="G1101" s="2">
        <v>3</v>
      </c>
      <c r="H1101" s="2">
        <v>5</v>
      </c>
      <c r="I1101" s="2">
        <v>1</v>
      </c>
      <c r="J1101" s="2">
        <v>3.2</v>
      </c>
      <c r="K1101" s="2" t="s">
        <v>306</v>
      </c>
      <c r="L1101" s="2" t="str">
        <f t="shared" si="102"/>
        <v>Profitable</v>
      </c>
      <c r="M1101" s="2" t="str">
        <f t="shared" si="103"/>
        <v>High Volatility</v>
      </c>
      <c r="N1101" s="2" t="str">
        <f t="shared" si="104"/>
        <v>Low Quality</v>
      </c>
      <c r="O1101" s="4" t="str">
        <f t="shared" si="105"/>
        <v>Accounting Risk</v>
      </c>
      <c r="P1101" s="4" t="str">
        <f t="shared" si="106"/>
        <v>Low Quality</v>
      </c>
      <c r="Q1101" s="4" t="str">
        <f t="shared" si="107"/>
        <v>Weak Growth</v>
      </c>
    </row>
    <row r="1102" spans="1:17" x14ac:dyDescent="0.35">
      <c r="A1102" s="2" t="s">
        <v>1112</v>
      </c>
      <c r="B1102" s="2">
        <v>5</v>
      </c>
      <c r="C1102" s="2">
        <v>137076734.30000001</v>
      </c>
      <c r="D1102" s="2">
        <v>0.6</v>
      </c>
      <c r="E1102" s="2">
        <v>1972234905</v>
      </c>
      <c r="F1102" s="2">
        <v>1826614911</v>
      </c>
      <c r="G1102" s="2">
        <v>3</v>
      </c>
      <c r="H1102" s="2">
        <v>5</v>
      </c>
      <c r="I1102" s="2">
        <v>1</v>
      </c>
      <c r="J1102" s="2">
        <v>3.2</v>
      </c>
      <c r="K1102" s="2" t="s">
        <v>306</v>
      </c>
      <c r="L1102" s="2" t="str">
        <f t="shared" si="102"/>
        <v>Profitable</v>
      </c>
      <c r="M1102" s="2" t="str">
        <f t="shared" si="103"/>
        <v>Stable Earnings</v>
      </c>
      <c r="N1102" s="2" t="str">
        <f t="shared" si="104"/>
        <v>Low Quality</v>
      </c>
      <c r="O1102" s="4" t="str">
        <f t="shared" si="105"/>
        <v>Accounting Risk</v>
      </c>
      <c r="P1102" s="4" t="str">
        <f t="shared" si="106"/>
        <v>Low Quality</v>
      </c>
      <c r="Q1102" s="4" t="str">
        <f t="shared" si="107"/>
        <v>Weak Growth</v>
      </c>
    </row>
    <row r="1103" spans="1:17" x14ac:dyDescent="0.35">
      <c r="A1103" s="2" t="s">
        <v>1113</v>
      </c>
      <c r="B1103" s="2">
        <v>5</v>
      </c>
      <c r="C1103" s="2">
        <v>96577607.439999998</v>
      </c>
      <c r="D1103" s="2">
        <v>0.6</v>
      </c>
      <c r="E1103" s="2">
        <v>677667715.60000002</v>
      </c>
      <c r="F1103" s="2">
        <v>1616497276</v>
      </c>
      <c r="G1103" s="2">
        <v>3</v>
      </c>
      <c r="H1103" s="2">
        <v>5</v>
      </c>
      <c r="I1103" s="2">
        <v>1</v>
      </c>
      <c r="J1103" s="2">
        <v>3.2</v>
      </c>
      <c r="K1103" s="2" t="s">
        <v>306</v>
      </c>
      <c r="L1103" s="2" t="str">
        <f t="shared" si="102"/>
        <v>Profitable</v>
      </c>
      <c r="M1103" s="2" t="str">
        <f t="shared" si="103"/>
        <v>Stable Earnings</v>
      </c>
      <c r="N1103" s="2" t="str">
        <f t="shared" si="104"/>
        <v>Low Quality</v>
      </c>
      <c r="O1103" s="4" t="str">
        <f t="shared" si="105"/>
        <v>Accounting Risk</v>
      </c>
      <c r="P1103" s="4" t="str">
        <f t="shared" si="106"/>
        <v>Low Quality</v>
      </c>
      <c r="Q1103" s="4" t="str">
        <f t="shared" si="107"/>
        <v>Weak Growth</v>
      </c>
    </row>
    <row r="1104" spans="1:17" x14ac:dyDescent="0.35">
      <c r="A1104" s="2" t="s">
        <v>1114</v>
      </c>
      <c r="B1104" s="2">
        <v>5</v>
      </c>
      <c r="C1104" s="2">
        <v>169991711.19999999</v>
      </c>
      <c r="D1104" s="2">
        <v>0.6</v>
      </c>
      <c r="E1104" s="2">
        <v>1176470640</v>
      </c>
      <c r="F1104" s="2">
        <v>1533208048</v>
      </c>
      <c r="G1104" s="2">
        <v>3</v>
      </c>
      <c r="H1104" s="2">
        <v>5</v>
      </c>
      <c r="I1104" s="2">
        <v>1</v>
      </c>
      <c r="J1104" s="2">
        <v>3.2</v>
      </c>
      <c r="K1104" s="2" t="s">
        <v>306</v>
      </c>
      <c r="L1104" s="2" t="str">
        <f t="shared" si="102"/>
        <v>Profitable</v>
      </c>
      <c r="M1104" s="2" t="str">
        <f t="shared" si="103"/>
        <v>Stable Earnings</v>
      </c>
      <c r="N1104" s="2" t="str">
        <f t="shared" si="104"/>
        <v>Low Quality</v>
      </c>
      <c r="O1104" s="4" t="str">
        <f t="shared" si="105"/>
        <v>Accounting Risk</v>
      </c>
      <c r="P1104" s="4" t="str">
        <f t="shared" si="106"/>
        <v>Low Quality</v>
      </c>
      <c r="Q1104" s="4" t="str">
        <f t="shared" si="107"/>
        <v>Weak Growth</v>
      </c>
    </row>
    <row r="1105" spans="1:17" x14ac:dyDescent="0.35">
      <c r="A1105" s="2" t="s">
        <v>1115</v>
      </c>
      <c r="B1105" s="2">
        <v>5</v>
      </c>
      <c r="C1105" s="2">
        <v>2353575560</v>
      </c>
      <c r="D1105" s="2">
        <v>0.8</v>
      </c>
      <c r="E1105" s="2">
        <v>2746627946</v>
      </c>
      <c r="F1105" s="2">
        <v>1494468163</v>
      </c>
      <c r="G1105" s="2">
        <v>3</v>
      </c>
      <c r="H1105" s="2">
        <v>5</v>
      </c>
      <c r="I1105" s="2">
        <v>1</v>
      </c>
      <c r="J1105" s="2">
        <v>3.2</v>
      </c>
      <c r="K1105" s="2" t="s">
        <v>306</v>
      </c>
      <c r="L1105" s="2" t="str">
        <f t="shared" si="102"/>
        <v>Profitable</v>
      </c>
      <c r="M1105" s="2" t="str">
        <f t="shared" si="103"/>
        <v>High Volatility</v>
      </c>
      <c r="N1105" s="2" t="str">
        <f t="shared" si="104"/>
        <v>Low Quality</v>
      </c>
      <c r="O1105" s="4" t="str">
        <f t="shared" si="105"/>
        <v>Operational Growth</v>
      </c>
      <c r="P1105" s="4" t="str">
        <f t="shared" si="106"/>
        <v>Low Quality</v>
      </c>
      <c r="Q1105" s="4" t="str">
        <f t="shared" si="107"/>
        <v>Weak Growth</v>
      </c>
    </row>
    <row r="1106" spans="1:17" x14ac:dyDescent="0.35">
      <c r="A1106" s="2" t="s">
        <v>1116</v>
      </c>
      <c r="B1106" s="2">
        <v>5</v>
      </c>
      <c r="C1106" s="2">
        <v>-190627132.30000001</v>
      </c>
      <c r="D1106" s="2">
        <v>0.6</v>
      </c>
      <c r="E1106" s="2">
        <v>583787421.20000005</v>
      </c>
      <c r="F1106" s="2">
        <v>1299080298</v>
      </c>
      <c r="G1106" s="2">
        <v>3</v>
      </c>
      <c r="H1106" s="2">
        <v>5</v>
      </c>
      <c r="I1106" s="2">
        <v>1</v>
      </c>
      <c r="J1106" s="2">
        <v>3.2</v>
      </c>
      <c r="K1106" s="2" t="s">
        <v>306</v>
      </c>
      <c r="L1106" s="2" t="str">
        <f t="shared" si="102"/>
        <v>Loss Making</v>
      </c>
      <c r="M1106" s="2" t="str">
        <f t="shared" si="103"/>
        <v>Stable Earnings</v>
      </c>
      <c r="N1106" s="2" t="str">
        <f t="shared" si="104"/>
        <v>Low Quality</v>
      </c>
      <c r="O1106" s="4" t="str">
        <f t="shared" si="105"/>
        <v>Accounting Risk</v>
      </c>
      <c r="P1106" s="4" t="str">
        <f t="shared" si="106"/>
        <v>Low Quality</v>
      </c>
      <c r="Q1106" s="4" t="str">
        <f t="shared" si="107"/>
        <v>Weak Growth</v>
      </c>
    </row>
    <row r="1107" spans="1:17" x14ac:dyDescent="0.35">
      <c r="A1107" s="2" t="s">
        <v>1117</v>
      </c>
      <c r="B1107" s="2">
        <v>5</v>
      </c>
      <c r="C1107" s="2">
        <v>686999266.60000002</v>
      </c>
      <c r="D1107" s="2">
        <v>0.8</v>
      </c>
      <c r="E1107" s="2">
        <v>626076056.60000002</v>
      </c>
      <c r="F1107" s="2">
        <v>1265964004</v>
      </c>
      <c r="G1107" s="2">
        <v>3</v>
      </c>
      <c r="H1107" s="2">
        <v>5</v>
      </c>
      <c r="I1107" s="2">
        <v>1</v>
      </c>
      <c r="J1107" s="2">
        <v>3.2</v>
      </c>
      <c r="K1107" s="2" t="s">
        <v>306</v>
      </c>
      <c r="L1107" s="2" t="str">
        <f t="shared" si="102"/>
        <v>Profitable</v>
      </c>
      <c r="M1107" s="2" t="str">
        <f t="shared" si="103"/>
        <v>High Volatility</v>
      </c>
      <c r="N1107" s="2" t="str">
        <f t="shared" si="104"/>
        <v>Low Quality</v>
      </c>
      <c r="O1107" s="4" t="str">
        <f t="shared" si="105"/>
        <v>Operational Growth</v>
      </c>
      <c r="P1107" s="4" t="str">
        <f t="shared" si="106"/>
        <v>Low Quality</v>
      </c>
      <c r="Q1107" s="4" t="str">
        <f t="shared" si="107"/>
        <v>Weak Growth</v>
      </c>
    </row>
    <row r="1108" spans="1:17" x14ac:dyDescent="0.35">
      <c r="A1108" s="2" t="s">
        <v>1118</v>
      </c>
      <c r="B1108" s="2">
        <v>5</v>
      </c>
      <c r="C1108" s="2">
        <v>325142584.39999998</v>
      </c>
      <c r="D1108" s="2">
        <v>0.8</v>
      </c>
      <c r="E1108" s="2">
        <v>690519031.70000005</v>
      </c>
      <c r="F1108" s="2">
        <v>1263632659</v>
      </c>
      <c r="G1108" s="2">
        <v>3</v>
      </c>
      <c r="H1108" s="2">
        <v>5</v>
      </c>
      <c r="I1108" s="2">
        <v>1</v>
      </c>
      <c r="J1108" s="2">
        <v>3.2</v>
      </c>
      <c r="K1108" s="2" t="s">
        <v>306</v>
      </c>
      <c r="L1108" s="2" t="str">
        <f t="shared" si="102"/>
        <v>Profitable</v>
      </c>
      <c r="M1108" s="2" t="str">
        <f t="shared" si="103"/>
        <v>Stable Earnings</v>
      </c>
      <c r="N1108" s="2" t="str">
        <f t="shared" si="104"/>
        <v>Low Quality</v>
      </c>
      <c r="O1108" s="4" t="str">
        <f t="shared" si="105"/>
        <v>Operational Growth</v>
      </c>
      <c r="P1108" s="4" t="str">
        <f t="shared" si="106"/>
        <v>Low Quality</v>
      </c>
      <c r="Q1108" s="4" t="str">
        <f t="shared" si="107"/>
        <v>Weak Growth</v>
      </c>
    </row>
    <row r="1109" spans="1:17" x14ac:dyDescent="0.35">
      <c r="A1109" s="2" t="s">
        <v>1119</v>
      </c>
      <c r="B1109" s="2">
        <v>5</v>
      </c>
      <c r="C1109" s="2">
        <v>281530292.19999999</v>
      </c>
      <c r="D1109" s="2">
        <v>0.6</v>
      </c>
      <c r="E1109" s="2">
        <v>480564385.69999999</v>
      </c>
      <c r="F1109" s="2">
        <v>1202021405</v>
      </c>
      <c r="G1109" s="2">
        <v>3</v>
      </c>
      <c r="H1109" s="2">
        <v>5</v>
      </c>
      <c r="I1109" s="2">
        <v>1</v>
      </c>
      <c r="J1109" s="2">
        <v>3.2</v>
      </c>
      <c r="K1109" s="2" t="s">
        <v>306</v>
      </c>
      <c r="L1109" s="2" t="str">
        <f t="shared" si="102"/>
        <v>Profitable</v>
      </c>
      <c r="M1109" s="2" t="str">
        <f t="shared" si="103"/>
        <v>Stable Earnings</v>
      </c>
      <c r="N1109" s="2" t="str">
        <f t="shared" si="104"/>
        <v>Low Quality</v>
      </c>
      <c r="O1109" s="4" t="str">
        <f t="shared" si="105"/>
        <v>Accounting Risk</v>
      </c>
      <c r="P1109" s="4" t="str">
        <f t="shared" si="106"/>
        <v>Low Quality</v>
      </c>
      <c r="Q1109" s="4" t="str">
        <f t="shared" si="107"/>
        <v>Weak Growth</v>
      </c>
    </row>
    <row r="1110" spans="1:17" x14ac:dyDescent="0.35">
      <c r="A1110" s="2" t="s">
        <v>1120</v>
      </c>
      <c r="B1110" s="2">
        <v>5</v>
      </c>
      <c r="C1110" s="2">
        <v>599279002.70000005</v>
      </c>
      <c r="D1110" s="2">
        <v>0.6</v>
      </c>
      <c r="E1110" s="2">
        <v>816272699.39999998</v>
      </c>
      <c r="F1110" s="2">
        <v>1195484927</v>
      </c>
      <c r="G1110" s="2">
        <v>3</v>
      </c>
      <c r="H1110" s="2">
        <v>5</v>
      </c>
      <c r="I1110" s="2">
        <v>1</v>
      </c>
      <c r="J1110" s="2">
        <v>3.2</v>
      </c>
      <c r="K1110" s="2" t="s">
        <v>306</v>
      </c>
      <c r="L1110" s="2" t="str">
        <f t="shared" si="102"/>
        <v>Profitable</v>
      </c>
      <c r="M1110" s="2" t="str">
        <f t="shared" si="103"/>
        <v>High Volatility</v>
      </c>
      <c r="N1110" s="2" t="str">
        <f t="shared" si="104"/>
        <v>Low Quality</v>
      </c>
      <c r="O1110" s="4" t="str">
        <f t="shared" si="105"/>
        <v>Accounting Risk</v>
      </c>
      <c r="P1110" s="4" t="str">
        <f t="shared" si="106"/>
        <v>Low Quality</v>
      </c>
      <c r="Q1110" s="4" t="str">
        <f t="shared" si="107"/>
        <v>Weak Growth</v>
      </c>
    </row>
    <row r="1111" spans="1:17" x14ac:dyDescent="0.35">
      <c r="A1111" s="2" t="s">
        <v>1121</v>
      </c>
      <c r="B1111" s="2">
        <v>5</v>
      </c>
      <c r="C1111" s="2">
        <v>770735395</v>
      </c>
      <c r="D1111" s="2">
        <v>0.8</v>
      </c>
      <c r="E1111" s="2">
        <v>629742149.5</v>
      </c>
      <c r="F1111" s="2">
        <v>1140895462</v>
      </c>
      <c r="G1111" s="2">
        <v>3</v>
      </c>
      <c r="H1111" s="2">
        <v>5</v>
      </c>
      <c r="I1111" s="2">
        <v>1</v>
      </c>
      <c r="J1111" s="2">
        <v>3.2</v>
      </c>
      <c r="K1111" s="2" t="s">
        <v>306</v>
      </c>
      <c r="L1111" s="2" t="str">
        <f t="shared" si="102"/>
        <v>Profitable</v>
      </c>
      <c r="M1111" s="2" t="str">
        <f t="shared" si="103"/>
        <v>High Volatility</v>
      </c>
      <c r="N1111" s="2" t="str">
        <f t="shared" si="104"/>
        <v>Low Quality</v>
      </c>
      <c r="O1111" s="4" t="str">
        <f t="shared" si="105"/>
        <v>Operational Growth</v>
      </c>
      <c r="P1111" s="4" t="str">
        <f t="shared" si="106"/>
        <v>Low Quality</v>
      </c>
      <c r="Q1111" s="4" t="str">
        <f t="shared" si="107"/>
        <v>Weak Growth</v>
      </c>
    </row>
    <row r="1112" spans="1:17" x14ac:dyDescent="0.35">
      <c r="A1112" s="2" t="s">
        <v>1122</v>
      </c>
      <c r="B1112" s="2">
        <v>5</v>
      </c>
      <c r="C1112" s="2">
        <v>1049766126</v>
      </c>
      <c r="D1112" s="2">
        <v>0.8</v>
      </c>
      <c r="E1112" s="2">
        <v>1816959273</v>
      </c>
      <c r="F1112" s="2">
        <v>1109225242</v>
      </c>
      <c r="G1112" s="2">
        <v>3</v>
      </c>
      <c r="H1112" s="2">
        <v>5</v>
      </c>
      <c r="I1112" s="2">
        <v>1</v>
      </c>
      <c r="J1112" s="2">
        <v>3.2</v>
      </c>
      <c r="K1112" s="2" t="s">
        <v>306</v>
      </c>
      <c r="L1112" s="2" t="str">
        <f t="shared" si="102"/>
        <v>Profitable</v>
      </c>
      <c r="M1112" s="2" t="str">
        <f t="shared" si="103"/>
        <v>High Volatility</v>
      </c>
      <c r="N1112" s="2" t="str">
        <f t="shared" si="104"/>
        <v>Low Quality</v>
      </c>
      <c r="O1112" s="4" t="str">
        <f t="shared" si="105"/>
        <v>Operational Growth</v>
      </c>
      <c r="P1112" s="4" t="str">
        <f t="shared" si="106"/>
        <v>Low Quality</v>
      </c>
      <c r="Q1112" s="4" t="str">
        <f t="shared" si="107"/>
        <v>Weak Growth</v>
      </c>
    </row>
    <row r="1113" spans="1:17" x14ac:dyDescent="0.35">
      <c r="A1113" s="2" t="s">
        <v>1123</v>
      </c>
      <c r="B1113" s="2">
        <v>5</v>
      </c>
      <c r="C1113" s="2">
        <v>329155633</v>
      </c>
      <c r="D1113" s="2">
        <v>0.6</v>
      </c>
      <c r="E1113" s="2">
        <v>761176010.20000005</v>
      </c>
      <c r="F1113" s="2">
        <v>1026471576</v>
      </c>
      <c r="G1113" s="2">
        <v>3</v>
      </c>
      <c r="H1113" s="2">
        <v>5</v>
      </c>
      <c r="I1113" s="2">
        <v>1</v>
      </c>
      <c r="J1113" s="2">
        <v>3.2</v>
      </c>
      <c r="K1113" s="2" t="s">
        <v>306</v>
      </c>
      <c r="L1113" s="2" t="str">
        <f t="shared" si="102"/>
        <v>Profitable</v>
      </c>
      <c r="M1113" s="2" t="str">
        <f t="shared" si="103"/>
        <v>Stable Earnings</v>
      </c>
      <c r="N1113" s="2" t="str">
        <f t="shared" si="104"/>
        <v>Low Quality</v>
      </c>
      <c r="O1113" s="4" t="str">
        <f t="shared" si="105"/>
        <v>Accounting Risk</v>
      </c>
      <c r="P1113" s="4" t="str">
        <f t="shared" si="106"/>
        <v>Low Quality</v>
      </c>
      <c r="Q1113" s="4" t="str">
        <f t="shared" si="107"/>
        <v>Weak Growth</v>
      </c>
    </row>
    <row r="1114" spans="1:17" x14ac:dyDescent="0.35">
      <c r="A1114" s="2" t="s">
        <v>1124</v>
      </c>
      <c r="B1114" s="2">
        <v>5</v>
      </c>
      <c r="C1114" s="2">
        <v>50332131.18</v>
      </c>
      <c r="D1114" s="2">
        <v>0.6</v>
      </c>
      <c r="E1114" s="2">
        <v>669371283.29999995</v>
      </c>
      <c r="F1114" s="2">
        <v>1017867957</v>
      </c>
      <c r="G1114" s="2">
        <v>3</v>
      </c>
      <c r="H1114" s="2">
        <v>5</v>
      </c>
      <c r="I1114" s="2">
        <v>1</v>
      </c>
      <c r="J1114" s="2">
        <v>3.2</v>
      </c>
      <c r="K1114" s="2" t="s">
        <v>306</v>
      </c>
      <c r="L1114" s="2" t="str">
        <f t="shared" si="102"/>
        <v>Profitable</v>
      </c>
      <c r="M1114" s="2" t="str">
        <f t="shared" si="103"/>
        <v>Stable Earnings</v>
      </c>
      <c r="N1114" s="2" t="str">
        <f t="shared" si="104"/>
        <v>Low Quality</v>
      </c>
      <c r="O1114" s="4" t="str">
        <f t="shared" si="105"/>
        <v>Accounting Risk</v>
      </c>
      <c r="P1114" s="4" t="str">
        <f t="shared" si="106"/>
        <v>Low Quality</v>
      </c>
      <c r="Q1114" s="4" t="str">
        <f t="shared" si="107"/>
        <v>Weak Growth</v>
      </c>
    </row>
    <row r="1115" spans="1:17" x14ac:dyDescent="0.35">
      <c r="A1115" s="2" t="s">
        <v>1125</v>
      </c>
      <c r="B1115" s="2">
        <v>5</v>
      </c>
      <c r="C1115" s="2">
        <v>133926353.40000001</v>
      </c>
      <c r="D1115" s="2">
        <v>0.6</v>
      </c>
      <c r="E1115" s="2">
        <v>743389285</v>
      </c>
      <c r="F1115" s="2">
        <v>996116308.60000002</v>
      </c>
      <c r="G1115" s="2">
        <v>3</v>
      </c>
      <c r="H1115" s="2">
        <v>5</v>
      </c>
      <c r="I1115" s="2">
        <v>1</v>
      </c>
      <c r="J1115" s="2">
        <v>3.2</v>
      </c>
      <c r="K1115" s="2" t="s">
        <v>306</v>
      </c>
      <c r="L1115" s="2" t="str">
        <f t="shared" si="102"/>
        <v>Profitable</v>
      </c>
      <c r="M1115" s="2" t="str">
        <f t="shared" si="103"/>
        <v>Stable Earnings</v>
      </c>
      <c r="N1115" s="2" t="str">
        <f t="shared" si="104"/>
        <v>Low Quality</v>
      </c>
      <c r="O1115" s="4" t="str">
        <f t="shared" si="105"/>
        <v>Accounting Risk</v>
      </c>
      <c r="P1115" s="4" t="str">
        <f t="shared" si="106"/>
        <v>Low Quality</v>
      </c>
      <c r="Q1115" s="4" t="str">
        <f t="shared" si="107"/>
        <v>Weak Growth</v>
      </c>
    </row>
    <row r="1116" spans="1:17" x14ac:dyDescent="0.35">
      <c r="A1116" s="2" t="s">
        <v>1126</v>
      </c>
      <c r="B1116" s="2">
        <v>5</v>
      </c>
      <c r="C1116" s="2">
        <v>-15869621.02</v>
      </c>
      <c r="D1116" s="2">
        <v>0.4</v>
      </c>
      <c r="E1116" s="2">
        <v>101539133</v>
      </c>
      <c r="F1116" s="2">
        <v>274876394.60000002</v>
      </c>
      <c r="G1116" s="2">
        <v>4</v>
      </c>
      <c r="H1116" s="2">
        <v>3</v>
      </c>
      <c r="I1116" s="2">
        <v>1</v>
      </c>
      <c r="J1116" s="2">
        <v>3.1</v>
      </c>
      <c r="K1116" s="2" t="s">
        <v>306</v>
      </c>
      <c r="L1116" s="2" t="str">
        <f t="shared" si="102"/>
        <v>Loss Making</v>
      </c>
      <c r="M1116" s="2" t="str">
        <f t="shared" si="103"/>
        <v>Stable Earnings</v>
      </c>
      <c r="N1116" s="2" t="str">
        <f t="shared" si="104"/>
        <v>Moderate</v>
      </c>
      <c r="O1116" s="4" t="str">
        <f t="shared" si="105"/>
        <v>Accounting Risk</v>
      </c>
      <c r="P1116" s="4" t="str">
        <f t="shared" si="106"/>
        <v>Moderate</v>
      </c>
      <c r="Q1116" s="4" t="str">
        <f t="shared" si="107"/>
        <v>Weak Growth</v>
      </c>
    </row>
    <row r="1117" spans="1:17" x14ac:dyDescent="0.35">
      <c r="A1117" s="2" t="s">
        <v>1127</v>
      </c>
      <c r="B1117" s="2">
        <v>5</v>
      </c>
      <c r="C1117" s="2">
        <v>25118989.34</v>
      </c>
      <c r="D1117" s="2">
        <v>0.6</v>
      </c>
      <c r="E1117" s="2">
        <v>111282682.90000001</v>
      </c>
      <c r="F1117" s="2">
        <v>181724335.90000001</v>
      </c>
      <c r="G1117" s="2">
        <v>3</v>
      </c>
      <c r="H1117" s="2">
        <v>4</v>
      </c>
      <c r="I1117" s="2">
        <v>2</v>
      </c>
      <c r="J1117" s="2">
        <v>3.1</v>
      </c>
      <c r="K1117" s="2" t="s">
        <v>306</v>
      </c>
      <c r="L1117" s="2" t="str">
        <f t="shared" si="102"/>
        <v>Profitable</v>
      </c>
      <c r="M1117" s="2" t="str">
        <f t="shared" si="103"/>
        <v>Stable Earnings</v>
      </c>
      <c r="N1117" s="2" t="str">
        <f t="shared" si="104"/>
        <v>Low Quality</v>
      </c>
      <c r="O1117" s="4" t="str">
        <f t="shared" si="105"/>
        <v>Accounting Risk</v>
      </c>
      <c r="P1117" s="4" t="str">
        <f t="shared" si="106"/>
        <v>Low Quality</v>
      </c>
      <c r="Q1117" s="4" t="str">
        <f t="shared" si="107"/>
        <v>Moderate Growth</v>
      </c>
    </row>
    <row r="1118" spans="1:17" x14ac:dyDescent="0.35">
      <c r="A1118" s="2" t="s">
        <v>1128</v>
      </c>
      <c r="B1118" s="2">
        <v>5</v>
      </c>
      <c r="C1118" s="2">
        <v>95284063.140000001</v>
      </c>
      <c r="D1118" s="2">
        <v>0.6</v>
      </c>
      <c r="E1118" s="2">
        <v>168493930.19999999</v>
      </c>
      <c r="F1118" s="2">
        <v>182684893.90000001</v>
      </c>
      <c r="G1118" s="2">
        <v>3</v>
      </c>
      <c r="H1118" s="2">
        <v>4</v>
      </c>
      <c r="I1118" s="2">
        <v>2</v>
      </c>
      <c r="J1118" s="2">
        <v>3.1</v>
      </c>
      <c r="K1118" s="2" t="s">
        <v>306</v>
      </c>
      <c r="L1118" s="2" t="str">
        <f t="shared" si="102"/>
        <v>Profitable</v>
      </c>
      <c r="M1118" s="2" t="str">
        <f t="shared" si="103"/>
        <v>Stable Earnings</v>
      </c>
      <c r="N1118" s="2" t="str">
        <f t="shared" si="104"/>
        <v>Low Quality</v>
      </c>
      <c r="O1118" s="4" t="str">
        <f t="shared" si="105"/>
        <v>Accounting Risk</v>
      </c>
      <c r="P1118" s="4" t="str">
        <f t="shared" si="106"/>
        <v>Low Quality</v>
      </c>
      <c r="Q1118" s="4" t="str">
        <f t="shared" si="107"/>
        <v>Moderate Growth</v>
      </c>
    </row>
    <row r="1119" spans="1:17" x14ac:dyDescent="0.35">
      <c r="A1119" s="2" t="s">
        <v>1129</v>
      </c>
      <c r="B1119" s="2">
        <v>5</v>
      </c>
      <c r="C1119" s="2">
        <v>46737034.539999999</v>
      </c>
      <c r="D1119" s="2">
        <v>0.4</v>
      </c>
      <c r="E1119" s="2">
        <v>123403626.7</v>
      </c>
      <c r="F1119" s="2">
        <v>193005909.40000001</v>
      </c>
      <c r="G1119" s="2">
        <v>3</v>
      </c>
      <c r="H1119" s="2">
        <v>4</v>
      </c>
      <c r="I1119" s="2">
        <v>2</v>
      </c>
      <c r="J1119" s="2">
        <v>3.1</v>
      </c>
      <c r="K1119" s="2" t="s">
        <v>306</v>
      </c>
      <c r="L1119" s="2" t="str">
        <f t="shared" si="102"/>
        <v>Profitable</v>
      </c>
      <c r="M1119" s="2" t="str">
        <f t="shared" si="103"/>
        <v>Stable Earnings</v>
      </c>
      <c r="N1119" s="2" t="str">
        <f t="shared" si="104"/>
        <v>Low Quality</v>
      </c>
      <c r="O1119" s="4" t="str">
        <f t="shared" si="105"/>
        <v>Accounting Risk</v>
      </c>
      <c r="P1119" s="4" t="str">
        <f t="shared" si="106"/>
        <v>Low Quality</v>
      </c>
      <c r="Q1119" s="4" t="str">
        <f t="shared" si="107"/>
        <v>Moderate Growth</v>
      </c>
    </row>
    <row r="1120" spans="1:17" x14ac:dyDescent="0.35">
      <c r="A1120" s="2" t="s">
        <v>1130</v>
      </c>
      <c r="B1120" s="2">
        <v>5</v>
      </c>
      <c r="C1120" s="2">
        <v>-111664315.40000001</v>
      </c>
      <c r="D1120" s="2">
        <v>0.4</v>
      </c>
      <c r="E1120" s="2">
        <v>205809913</v>
      </c>
      <c r="F1120" s="2">
        <v>197858776.30000001</v>
      </c>
      <c r="G1120" s="2">
        <v>3</v>
      </c>
      <c r="H1120" s="2">
        <v>4</v>
      </c>
      <c r="I1120" s="2">
        <v>2</v>
      </c>
      <c r="J1120" s="2">
        <v>3.1</v>
      </c>
      <c r="K1120" s="2" t="s">
        <v>306</v>
      </c>
      <c r="L1120" s="2" t="str">
        <f t="shared" si="102"/>
        <v>Loss Making</v>
      </c>
      <c r="M1120" s="2" t="str">
        <f t="shared" si="103"/>
        <v>Stable Earnings</v>
      </c>
      <c r="N1120" s="2" t="str">
        <f t="shared" si="104"/>
        <v>Low Quality</v>
      </c>
      <c r="O1120" s="4" t="str">
        <f t="shared" si="105"/>
        <v>Accounting Risk</v>
      </c>
      <c r="P1120" s="4" t="str">
        <f t="shared" si="106"/>
        <v>Low Quality</v>
      </c>
      <c r="Q1120" s="4" t="str">
        <f t="shared" si="107"/>
        <v>Moderate Growth</v>
      </c>
    </row>
    <row r="1121" spans="1:17" x14ac:dyDescent="0.35">
      <c r="A1121" s="2" t="s">
        <v>1131</v>
      </c>
      <c r="B1121" s="2">
        <v>5</v>
      </c>
      <c r="C1121" s="2">
        <v>419586385.80000001</v>
      </c>
      <c r="D1121" s="2">
        <v>0.8</v>
      </c>
      <c r="E1121" s="2">
        <v>248486768.40000001</v>
      </c>
      <c r="F1121" s="2">
        <v>159313192.59999999</v>
      </c>
      <c r="G1121" s="2">
        <v>3</v>
      </c>
      <c r="H1121" s="2">
        <v>4</v>
      </c>
      <c r="I1121" s="2">
        <v>2</v>
      </c>
      <c r="J1121" s="2">
        <v>3.1</v>
      </c>
      <c r="K1121" s="2" t="s">
        <v>306</v>
      </c>
      <c r="L1121" s="2" t="str">
        <f t="shared" si="102"/>
        <v>Profitable</v>
      </c>
      <c r="M1121" s="2" t="str">
        <f t="shared" si="103"/>
        <v>Stable Earnings</v>
      </c>
      <c r="N1121" s="2" t="str">
        <f t="shared" si="104"/>
        <v>Low Quality</v>
      </c>
      <c r="O1121" s="4" t="str">
        <f t="shared" si="105"/>
        <v>Operational Growth</v>
      </c>
      <c r="P1121" s="4" t="str">
        <f t="shared" si="106"/>
        <v>Low Quality</v>
      </c>
      <c r="Q1121" s="4" t="str">
        <f t="shared" si="107"/>
        <v>Moderate Growth</v>
      </c>
    </row>
    <row r="1122" spans="1:17" x14ac:dyDescent="0.35">
      <c r="A1122" s="2" t="s">
        <v>1132</v>
      </c>
      <c r="B1122" s="2">
        <v>5</v>
      </c>
      <c r="C1122" s="2">
        <v>309881051.30000001</v>
      </c>
      <c r="D1122" s="2">
        <v>0.8</v>
      </c>
      <c r="E1122" s="2">
        <v>270316226.10000002</v>
      </c>
      <c r="F1122" s="2">
        <v>154875390.30000001</v>
      </c>
      <c r="G1122" s="2">
        <v>3</v>
      </c>
      <c r="H1122" s="2">
        <v>4</v>
      </c>
      <c r="I1122" s="2">
        <v>2</v>
      </c>
      <c r="J1122" s="2">
        <v>3.1</v>
      </c>
      <c r="K1122" s="2" t="s">
        <v>306</v>
      </c>
      <c r="L1122" s="2" t="str">
        <f t="shared" si="102"/>
        <v>Profitable</v>
      </c>
      <c r="M1122" s="2" t="str">
        <f t="shared" si="103"/>
        <v>Stable Earnings</v>
      </c>
      <c r="N1122" s="2" t="str">
        <f t="shared" si="104"/>
        <v>Low Quality</v>
      </c>
      <c r="O1122" s="4" t="str">
        <f t="shared" si="105"/>
        <v>Operational Growth</v>
      </c>
      <c r="P1122" s="4" t="str">
        <f t="shared" si="106"/>
        <v>Low Quality</v>
      </c>
      <c r="Q1122" s="4" t="str">
        <f t="shared" si="107"/>
        <v>Moderate Growth</v>
      </c>
    </row>
    <row r="1123" spans="1:17" x14ac:dyDescent="0.35">
      <c r="A1123" s="2" t="s">
        <v>1133</v>
      </c>
      <c r="B1123" s="2">
        <v>5</v>
      </c>
      <c r="C1123" s="2">
        <v>54710736.68</v>
      </c>
      <c r="D1123" s="2">
        <v>0.6</v>
      </c>
      <c r="E1123" s="2">
        <v>135491991.40000001</v>
      </c>
      <c r="F1123" s="2">
        <v>145358416.80000001</v>
      </c>
      <c r="G1123" s="2">
        <v>3</v>
      </c>
      <c r="H1123" s="2">
        <v>4</v>
      </c>
      <c r="I1123" s="2">
        <v>2</v>
      </c>
      <c r="J1123" s="2">
        <v>3.1</v>
      </c>
      <c r="K1123" s="2" t="s">
        <v>306</v>
      </c>
      <c r="L1123" s="2" t="str">
        <f t="shared" si="102"/>
        <v>Profitable</v>
      </c>
      <c r="M1123" s="2" t="str">
        <f t="shared" si="103"/>
        <v>Stable Earnings</v>
      </c>
      <c r="N1123" s="2" t="str">
        <f t="shared" si="104"/>
        <v>Low Quality</v>
      </c>
      <c r="O1123" s="4" t="str">
        <f t="shared" si="105"/>
        <v>Accounting Risk</v>
      </c>
      <c r="P1123" s="4" t="str">
        <f t="shared" si="106"/>
        <v>Low Quality</v>
      </c>
      <c r="Q1123" s="4" t="str">
        <f t="shared" si="107"/>
        <v>Moderate Growth</v>
      </c>
    </row>
    <row r="1124" spans="1:17" x14ac:dyDescent="0.35">
      <c r="A1124" s="2" t="s">
        <v>1134</v>
      </c>
      <c r="B1124" s="2">
        <v>5</v>
      </c>
      <c r="C1124" s="2">
        <v>-23341486.420000002</v>
      </c>
      <c r="D1124" s="2">
        <v>0.6</v>
      </c>
      <c r="E1124" s="2">
        <v>214992947.19999999</v>
      </c>
      <c r="F1124" s="2">
        <v>35545716.100000001</v>
      </c>
      <c r="G1124" s="2">
        <v>3</v>
      </c>
      <c r="H1124" s="2">
        <v>4</v>
      </c>
      <c r="I1124" s="2">
        <v>2</v>
      </c>
      <c r="J1124" s="2">
        <v>3.1</v>
      </c>
      <c r="K1124" s="2" t="s">
        <v>306</v>
      </c>
      <c r="L1124" s="2" t="str">
        <f t="shared" si="102"/>
        <v>Loss Making</v>
      </c>
      <c r="M1124" s="2" t="str">
        <f t="shared" si="103"/>
        <v>Stable Earnings</v>
      </c>
      <c r="N1124" s="2" t="str">
        <f t="shared" si="104"/>
        <v>Low Quality</v>
      </c>
      <c r="O1124" s="4" t="str">
        <f t="shared" si="105"/>
        <v>Accounting Risk</v>
      </c>
      <c r="P1124" s="4" t="str">
        <f t="shared" si="106"/>
        <v>Low Quality</v>
      </c>
      <c r="Q1124" s="4" t="str">
        <f t="shared" si="107"/>
        <v>Moderate Growth</v>
      </c>
    </row>
    <row r="1125" spans="1:17" x14ac:dyDescent="0.35">
      <c r="A1125" s="2" t="s">
        <v>1135</v>
      </c>
      <c r="B1125" s="2">
        <v>5</v>
      </c>
      <c r="C1125" s="2">
        <v>87107749.340000004</v>
      </c>
      <c r="D1125" s="2">
        <v>0.6</v>
      </c>
      <c r="E1125" s="2">
        <v>135938194.30000001</v>
      </c>
      <c r="F1125" s="2">
        <v>31117988.800000001</v>
      </c>
      <c r="G1125" s="2">
        <v>3</v>
      </c>
      <c r="H1125" s="2">
        <v>4</v>
      </c>
      <c r="I1125" s="2">
        <v>2</v>
      </c>
      <c r="J1125" s="2">
        <v>3.1</v>
      </c>
      <c r="K1125" s="2" t="s">
        <v>306</v>
      </c>
      <c r="L1125" s="2" t="str">
        <f t="shared" si="102"/>
        <v>Profitable</v>
      </c>
      <c r="M1125" s="2" t="str">
        <f t="shared" si="103"/>
        <v>Stable Earnings</v>
      </c>
      <c r="N1125" s="2" t="str">
        <f t="shared" si="104"/>
        <v>Low Quality</v>
      </c>
      <c r="O1125" s="4" t="str">
        <f t="shared" si="105"/>
        <v>Accounting Risk</v>
      </c>
      <c r="P1125" s="4" t="str">
        <f t="shared" si="106"/>
        <v>Low Quality</v>
      </c>
      <c r="Q1125" s="4" t="str">
        <f t="shared" si="107"/>
        <v>Moderate Growth</v>
      </c>
    </row>
    <row r="1126" spans="1:17" x14ac:dyDescent="0.35">
      <c r="A1126" s="2" t="s">
        <v>1136</v>
      </c>
      <c r="B1126" s="2">
        <v>5</v>
      </c>
      <c r="C1126" s="2">
        <v>84058106.319999993</v>
      </c>
      <c r="D1126" s="2">
        <v>0.8</v>
      </c>
      <c r="E1126" s="2">
        <v>142116228.59999999</v>
      </c>
      <c r="F1126" s="2">
        <v>33490757.800000001</v>
      </c>
      <c r="G1126" s="2">
        <v>3</v>
      </c>
      <c r="H1126" s="2">
        <v>4</v>
      </c>
      <c r="I1126" s="2">
        <v>2</v>
      </c>
      <c r="J1126" s="2">
        <v>3.1</v>
      </c>
      <c r="K1126" s="2" t="s">
        <v>306</v>
      </c>
      <c r="L1126" s="2" t="str">
        <f t="shared" si="102"/>
        <v>Profitable</v>
      </c>
      <c r="M1126" s="2" t="str">
        <f t="shared" si="103"/>
        <v>Stable Earnings</v>
      </c>
      <c r="N1126" s="2" t="str">
        <f t="shared" si="104"/>
        <v>Low Quality</v>
      </c>
      <c r="O1126" s="4" t="str">
        <f t="shared" si="105"/>
        <v>Operational Growth</v>
      </c>
      <c r="P1126" s="4" t="str">
        <f t="shared" si="106"/>
        <v>Low Quality</v>
      </c>
      <c r="Q1126" s="4" t="str">
        <f t="shared" si="107"/>
        <v>Moderate Growth</v>
      </c>
    </row>
    <row r="1127" spans="1:17" x14ac:dyDescent="0.35">
      <c r="A1127" s="2" t="s">
        <v>1137</v>
      </c>
      <c r="B1127" s="2">
        <v>5</v>
      </c>
      <c r="C1127" s="2">
        <v>9459239.1799999997</v>
      </c>
      <c r="D1127" s="2">
        <v>0.8</v>
      </c>
      <c r="E1127" s="2">
        <v>115037396.59999999</v>
      </c>
      <c r="F1127" s="2">
        <v>39122951.399999999</v>
      </c>
      <c r="G1127" s="2">
        <v>3</v>
      </c>
      <c r="H1127" s="2">
        <v>4</v>
      </c>
      <c r="I1127" s="2">
        <v>2</v>
      </c>
      <c r="J1127" s="2">
        <v>3.1</v>
      </c>
      <c r="K1127" s="2" t="s">
        <v>306</v>
      </c>
      <c r="L1127" s="2" t="str">
        <f t="shared" si="102"/>
        <v>Profitable</v>
      </c>
      <c r="M1127" s="2" t="str">
        <f t="shared" si="103"/>
        <v>Stable Earnings</v>
      </c>
      <c r="N1127" s="2" t="str">
        <f t="shared" si="104"/>
        <v>Low Quality</v>
      </c>
      <c r="O1127" s="4" t="str">
        <f t="shared" si="105"/>
        <v>Operational Growth</v>
      </c>
      <c r="P1127" s="4" t="str">
        <f t="shared" si="106"/>
        <v>Low Quality</v>
      </c>
      <c r="Q1127" s="4" t="str">
        <f t="shared" si="107"/>
        <v>Moderate Growth</v>
      </c>
    </row>
    <row r="1128" spans="1:17" x14ac:dyDescent="0.35">
      <c r="A1128" s="2" t="s">
        <v>1138</v>
      </c>
      <c r="B1128" s="2">
        <v>5</v>
      </c>
      <c r="C1128" s="2">
        <v>410757073.30000001</v>
      </c>
      <c r="D1128" s="2">
        <v>0.8</v>
      </c>
      <c r="E1128" s="2">
        <v>290456222.19999999</v>
      </c>
      <c r="F1128" s="2">
        <v>55821685.799999997</v>
      </c>
      <c r="G1128" s="2">
        <v>3</v>
      </c>
      <c r="H1128" s="2">
        <v>4</v>
      </c>
      <c r="I1128" s="2">
        <v>2</v>
      </c>
      <c r="J1128" s="2">
        <v>3.1</v>
      </c>
      <c r="K1128" s="2" t="s">
        <v>306</v>
      </c>
      <c r="L1128" s="2" t="str">
        <f t="shared" si="102"/>
        <v>Profitable</v>
      </c>
      <c r="M1128" s="2" t="str">
        <f t="shared" si="103"/>
        <v>Stable Earnings</v>
      </c>
      <c r="N1128" s="2" t="str">
        <f t="shared" si="104"/>
        <v>Low Quality</v>
      </c>
      <c r="O1128" s="4" t="str">
        <f t="shared" si="105"/>
        <v>Operational Growth</v>
      </c>
      <c r="P1128" s="4" t="str">
        <f t="shared" si="106"/>
        <v>Low Quality</v>
      </c>
      <c r="Q1128" s="4" t="str">
        <f t="shared" si="107"/>
        <v>Moderate Growth</v>
      </c>
    </row>
    <row r="1129" spans="1:17" x14ac:dyDescent="0.35">
      <c r="A1129" s="2" t="s">
        <v>1139</v>
      </c>
      <c r="B1129" s="2">
        <v>5</v>
      </c>
      <c r="C1129" s="2">
        <v>155813188.69999999</v>
      </c>
      <c r="D1129" s="2">
        <v>0.8</v>
      </c>
      <c r="E1129" s="2">
        <v>193182666.90000001</v>
      </c>
      <c r="F1129" s="2">
        <v>63093299.5</v>
      </c>
      <c r="G1129" s="2">
        <v>3</v>
      </c>
      <c r="H1129" s="2">
        <v>4</v>
      </c>
      <c r="I1129" s="2">
        <v>2</v>
      </c>
      <c r="J1129" s="2">
        <v>3.1</v>
      </c>
      <c r="K1129" s="2" t="s">
        <v>306</v>
      </c>
      <c r="L1129" s="2" t="str">
        <f t="shared" si="102"/>
        <v>Profitable</v>
      </c>
      <c r="M1129" s="2" t="str">
        <f t="shared" si="103"/>
        <v>Stable Earnings</v>
      </c>
      <c r="N1129" s="2" t="str">
        <f t="shared" si="104"/>
        <v>Low Quality</v>
      </c>
      <c r="O1129" s="4" t="str">
        <f t="shared" si="105"/>
        <v>Operational Growth</v>
      </c>
      <c r="P1129" s="4" t="str">
        <f t="shared" si="106"/>
        <v>Low Quality</v>
      </c>
      <c r="Q1129" s="4" t="str">
        <f t="shared" si="107"/>
        <v>Moderate Growth</v>
      </c>
    </row>
    <row r="1130" spans="1:17" x14ac:dyDescent="0.35">
      <c r="A1130" s="2" t="s">
        <v>1140</v>
      </c>
      <c r="B1130" s="2">
        <v>5</v>
      </c>
      <c r="C1130" s="2">
        <v>138436600.19999999</v>
      </c>
      <c r="D1130" s="2">
        <v>0.8</v>
      </c>
      <c r="E1130" s="2">
        <v>142801000.5</v>
      </c>
      <c r="F1130" s="2">
        <v>66278778.299999997</v>
      </c>
      <c r="G1130" s="2">
        <v>3</v>
      </c>
      <c r="H1130" s="2">
        <v>4</v>
      </c>
      <c r="I1130" s="2">
        <v>2</v>
      </c>
      <c r="J1130" s="2">
        <v>3.1</v>
      </c>
      <c r="K1130" s="2" t="s">
        <v>306</v>
      </c>
      <c r="L1130" s="2" t="str">
        <f t="shared" si="102"/>
        <v>Profitable</v>
      </c>
      <c r="M1130" s="2" t="str">
        <f t="shared" si="103"/>
        <v>Stable Earnings</v>
      </c>
      <c r="N1130" s="2" t="str">
        <f t="shared" si="104"/>
        <v>Low Quality</v>
      </c>
      <c r="O1130" s="4" t="str">
        <f t="shared" si="105"/>
        <v>Operational Growth</v>
      </c>
      <c r="P1130" s="4" t="str">
        <f t="shared" si="106"/>
        <v>Low Quality</v>
      </c>
      <c r="Q1130" s="4" t="str">
        <f t="shared" si="107"/>
        <v>Moderate Growth</v>
      </c>
    </row>
    <row r="1131" spans="1:17" x14ac:dyDescent="0.35">
      <c r="A1131" s="2" t="s">
        <v>1141</v>
      </c>
      <c r="B1131" s="2">
        <v>5</v>
      </c>
      <c r="C1131" s="2">
        <v>-14360681.48</v>
      </c>
      <c r="D1131" s="2">
        <v>0.6</v>
      </c>
      <c r="E1131" s="2">
        <v>159075306.59999999</v>
      </c>
      <c r="F1131" s="2">
        <v>76481119.900000006</v>
      </c>
      <c r="G1131" s="2">
        <v>3</v>
      </c>
      <c r="H1131" s="2">
        <v>4</v>
      </c>
      <c r="I1131" s="2">
        <v>2</v>
      </c>
      <c r="J1131" s="2">
        <v>3.1</v>
      </c>
      <c r="K1131" s="2" t="s">
        <v>306</v>
      </c>
      <c r="L1131" s="2" t="str">
        <f t="shared" si="102"/>
        <v>Loss Making</v>
      </c>
      <c r="M1131" s="2" t="str">
        <f t="shared" si="103"/>
        <v>Stable Earnings</v>
      </c>
      <c r="N1131" s="2" t="str">
        <f t="shared" si="104"/>
        <v>Low Quality</v>
      </c>
      <c r="O1131" s="4" t="str">
        <f t="shared" si="105"/>
        <v>Accounting Risk</v>
      </c>
      <c r="P1131" s="4" t="str">
        <f t="shared" si="106"/>
        <v>Low Quality</v>
      </c>
      <c r="Q1131" s="4" t="str">
        <f t="shared" si="107"/>
        <v>Moderate Growth</v>
      </c>
    </row>
    <row r="1132" spans="1:17" x14ac:dyDescent="0.35">
      <c r="A1132" s="2" t="s">
        <v>1142</v>
      </c>
      <c r="B1132" s="2">
        <v>5</v>
      </c>
      <c r="C1132" s="2">
        <v>150658742</v>
      </c>
      <c r="D1132" s="2">
        <v>0.8</v>
      </c>
      <c r="E1132" s="2">
        <v>258131599.80000001</v>
      </c>
      <c r="F1132" s="2">
        <v>92623152.400000006</v>
      </c>
      <c r="G1132" s="2">
        <v>3</v>
      </c>
      <c r="H1132" s="2">
        <v>4</v>
      </c>
      <c r="I1132" s="2">
        <v>2</v>
      </c>
      <c r="J1132" s="2">
        <v>3.1</v>
      </c>
      <c r="K1132" s="2" t="s">
        <v>306</v>
      </c>
      <c r="L1132" s="2" t="str">
        <f t="shared" si="102"/>
        <v>Profitable</v>
      </c>
      <c r="M1132" s="2" t="str">
        <f t="shared" si="103"/>
        <v>Stable Earnings</v>
      </c>
      <c r="N1132" s="2" t="str">
        <f t="shared" si="104"/>
        <v>Low Quality</v>
      </c>
      <c r="O1132" s="4" t="str">
        <f t="shared" si="105"/>
        <v>Operational Growth</v>
      </c>
      <c r="P1132" s="4" t="str">
        <f t="shared" si="106"/>
        <v>Low Quality</v>
      </c>
      <c r="Q1132" s="4" t="str">
        <f t="shared" si="107"/>
        <v>Moderate Growth</v>
      </c>
    </row>
    <row r="1133" spans="1:17" x14ac:dyDescent="0.35">
      <c r="A1133" s="2" t="s">
        <v>1143</v>
      </c>
      <c r="B1133" s="2">
        <v>5</v>
      </c>
      <c r="C1133" s="2">
        <v>36076006.259999998</v>
      </c>
      <c r="D1133" s="2">
        <v>0.6</v>
      </c>
      <c r="E1133" s="2">
        <v>122864456.7</v>
      </c>
      <c r="F1133" s="2">
        <v>95468499.799999997</v>
      </c>
      <c r="G1133" s="2">
        <v>3</v>
      </c>
      <c r="H1133" s="2">
        <v>4</v>
      </c>
      <c r="I1133" s="2">
        <v>2</v>
      </c>
      <c r="J1133" s="2">
        <v>3.1</v>
      </c>
      <c r="K1133" s="2" t="s">
        <v>306</v>
      </c>
      <c r="L1133" s="2" t="str">
        <f t="shared" si="102"/>
        <v>Profitable</v>
      </c>
      <c r="M1133" s="2" t="str">
        <f t="shared" si="103"/>
        <v>Stable Earnings</v>
      </c>
      <c r="N1133" s="2" t="str">
        <f t="shared" si="104"/>
        <v>Low Quality</v>
      </c>
      <c r="O1133" s="4" t="str">
        <f t="shared" si="105"/>
        <v>Accounting Risk</v>
      </c>
      <c r="P1133" s="4" t="str">
        <f t="shared" si="106"/>
        <v>Low Quality</v>
      </c>
      <c r="Q1133" s="4" t="str">
        <f t="shared" si="107"/>
        <v>Moderate Growth</v>
      </c>
    </row>
    <row r="1134" spans="1:17" x14ac:dyDescent="0.35">
      <c r="A1134" s="2" t="s">
        <v>1144</v>
      </c>
      <c r="B1134" s="2">
        <v>5</v>
      </c>
      <c r="C1134" s="2">
        <v>-9422860.7200000007</v>
      </c>
      <c r="D1134" s="2">
        <v>0.6</v>
      </c>
      <c r="E1134" s="2">
        <v>117585074.5</v>
      </c>
      <c r="F1134" s="2">
        <v>95294052.299999997</v>
      </c>
      <c r="G1134" s="2">
        <v>3</v>
      </c>
      <c r="H1134" s="2">
        <v>4</v>
      </c>
      <c r="I1134" s="2">
        <v>2</v>
      </c>
      <c r="J1134" s="2">
        <v>3.1</v>
      </c>
      <c r="K1134" s="2" t="s">
        <v>306</v>
      </c>
      <c r="L1134" s="2" t="str">
        <f t="shared" si="102"/>
        <v>Loss Making</v>
      </c>
      <c r="M1134" s="2" t="str">
        <f t="shared" si="103"/>
        <v>Stable Earnings</v>
      </c>
      <c r="N1134" s="2" t="str">
        <f t="shared" si="104"/>
        <v>Low Quality</v>
      </c>
      <c r="O1134" s="4" t="str">
        <f t="shared" si="105"/>
        <v>Accounting Risk</v>
      </c>
      <c r="P1134" s="4" t="str">
        <f t="shared" si="106"/>
        <v>Low Quality</v>
      </c>
      <c r="Q1134" s="4" t="str">
        <f t="shared" si="107"/>
        <v>Moderate Growth</v>
      </c>
    </row>
    <row r="1135" spans="1:17" x14ac:dyDescent="0.35">
      <c r="A1135" s="2" t="s">
        <v>1145</v>
      </c>
      <c r="B1135" s="2">
        <v>5</v>
      </c>
      <c r="C1135" s="2">
        <v>4668998.4000000004</v>
      </c>
      <c r="D1135" s="2">
        <v>0.6</v>
      </c>
      <c r="E1135" s="2">
        <v>170913888.40000001</v>
      </c>
      <c r="F1135" s="2">
        <v>90765889.099999994</v>
      </c>
      <c r="G1135" s="2">
        <v>3</v>
      </c>
      <c r="H1135" s="2">
        <v>4</v>
      </c>
      <c r="I1135" s="2">
        <v>2</v>
      </c>
      <c r="J1135" s="2">
        <v>3.1</v>
      </c>
      <c r="K1135" s="2" t="s">
        <v>306</v>
      </c>
      <c r="L1135" s="2" t="str">
        <f t="shared" si="102"/>
        <v>Profitable</v>
      </c>
      <c r="M1135" s="2" t="str">
        <f t="shared" si="103"/>
        <v>Stable Earnings</v>
      </c>
      <c r="N1135" s="2" t="str">
        <f t="shared" si="104"/>
        <v>Low Quality</v>
      </c>
      <c r="O1135" s="4" t="str">
        <f t="shared" si="105"/>
        <v>Accounting Risk</v>
      </c>
      <c r="P1135" s="4" t="str">
        <f t="shared" si="106"/>
        <v>Low Quality</v>
      </c>
      <c r="Q1135" s="4" t="str">
        <f t="shared" si="107"/>
        <v>Moderate Growth</v>
      </c>
    </row>
    <row r="1136" spans="1:17" x14ac:dyDescent="0.35">
      <c r="A1136" s="2" t="s">
        <v>1146</v>
      </c>
      <c r="B1136" s="2">
        <v>5</v>
      </c>
      <c r="C1136" s="2">
        <v>18092551.16</v>
      </c>
      <c r="D1136" s="2">
        <v>0.8</v>
      </c>
      <c r="E1136" s="2">
        <v>269500558.30000001</v>
      </c>
      <c r="F1136" s="2">
        <v>118611192.09999999</v>
      </c>
      <c r="G1136" s="2">
        <v>3</v>
      </c>
      <c r="H1136" s="2">
        <v>4</v>
      </c>
      <c r="I1136" s="2">
        <v>2</v>
      </c>
      <c r="J1136" s="2">
        <v>3.1</v>
      </c>
      <c r="K1136" s="2" t="s">
        <v>306</v>
      </c>
      <c r="L1136" s="2" t="str">
        <f t="shared" si="102"/>
        <v>Profitable</v>
      </c>
      <c r="M1136" s="2" t="str">
        <f t="shared" si="103"/>
        <v>Stable Earnings</v>
      </c>
      <c r="N1136" s="2" t="str">
        <f t="shared" si="104"/>
        <v>Low Quality</v>
      </c>
      <c r="O1136" s="4" t="str">
        <f t="shared" si="105"/>
        <v>Operational Growth</v>
      </c>
      <c r="P1136" s="4" t="str">
        <f t="shared" si="106"/>
        <v>Low Quality</v>
      </c>
      <c r="Q1136" s="4" t="str">
        <f t="shared" si="107"/>
        <v>Moderate Growth</v>
      </c>
    </row>
    <row r="1137" spans="1:17" x14ac:dyDescent="0.35">
      <c r="A1137" s="2" t="s">
        <v>1147</v>
      </c>
      <c r="B1137" s="2">
        <v>5</v>
      </c>
      <c r="C1137" s="2">
        <v>-39103601.359999999</v>
      </c>
      <c r="D1137" s="2">
        <v>0.4</v>
      </c>
      <c r="E1137" s="2">
        <v>165764959.09999999</v>
      </c>
      <c r="F1137" s="2">
        <v>130295572.09999999</v>
      </c>
      <c r="G1137" s="2">
        <v>3</v>
      </c>
      <c r="H1137" s="2">
        <v>4</v>
      </c>
      <c r="I1137" s="2">
        <v>2</v>
      </c>
      <c r="J1137" s="2">
        <v>3.1</v>
      </c>
      <c r="K1137" s="2" t="s">
        <v>306</v>
      </c>
      <c r="L1137" s="2" t="str">
        <f t="shared" si="102"/>
        <v>Loss Making</v>
      </c>
      <c r="M1137" s="2" t="str">
        <f t="shared" si="103"/>
        <v>Stable Earnings</v>
      </c>
      <c r="N1137" s="2" t="str">
        <f t="shared" si="104"/>
        <v>Low Quality</v>
      </c>
      <c r="O1137" s="4" t="str">
        <f t="shared" si="105"/>
        <v>Accounting Risk</v>
      </c>
      <c r="P1137" s="4" t="str">
        <f t="shared" si="106"/>
        <v>Low Quality</v>
      </c>
      <c r="Q1137" s="4" t="str">
        <f t="shared" si="107"/>
        <v>Moderate Growth</v>
      </c>
    </row>
    <row r="1138" spans="1:17" x14ac:dyDescent="0.35">
      <c r="A1138" s="2" t="s">
        <v>1148</v>
      </c>
      <c r="B1138" s="2">
        <v>5</v>
      </c>
      <c r="C1138" s="2">
        <v>-6183093.3600000003</v>
      </c>
      <c r="D1138" s="2">
        <v>0.6</v>
      </c>
      <c r="E1138" s="2">
        <v>237228496.40000001</v>
      </c>
      <c r="F1138" s="2">
        <v>96656568</v>
      </c>
      <c r="G1138" s="2">
        <v>3</v>
      </c>
      <c r="H1138" s="2">
        <v>4</v>
      </c>
      <c r="I1138" s="2">
        <v>2</v>
      </c>
      <c r="J1138" s="2">
        <v>3.1</v>
      </c>
      <c r="K1138" s="2" t="s">
        <v>306</v>
      </c>
      <c r="L1138" s="2" t="str">
        <f t="shared" si="102"/>
        <v>Loss Making</v>
      </c>
      <c r="M1138" s="2" t="str">
        <f t="shared" si="103"/>
        <v>Stable Earnings</v>
      </c>
      <c r="N1138" s="2" t="str">
        <f t="shared" si="104"/>
        <v>Low Quality</v>
      </c>
      <c r="O1138" s="4" t="str">
        <f t="shared" si="105"/>
        <v>Accounting Risk</v>
      </c>
      <c r="P1138" s="4" t="str">
        <f t="shared" si="106"/>
        <v>Low Quality</v>
      </c>
      <c r="Q1138" s="4" t="str">
        <f t="shared" si="107"/>
        <v>Moderate Growth</v>
      </c>
    </row>
    <row r="1139" spans="1:17" x14ac:dyDescent="0.35">
      <c r="A1139" s="2" t="s">
        <v>1149</v>
      </c>
      <c r="B1139" s="2">
        <v>5</v>
      </c>
      <c r="C1139" s="2">
        <v>-3259616.76</v>
      </c>
      <c r="D1139" s="2">
        <v>0.2</v>
      </c>
      <c r="E1139" s="2">
        <v>3274619.6460000002</v>
      </c>
      <c r="F1139" s="2">
        <v>-7462731.5999999996</v>
      </c>
      <c r="G1139" s="2">
        <v>4</v>
      </c>
      <c r="H1139" s="2">
        <v>1</v>
      </c>
      <c r="I1139" s="2">
        <v>4</v>
      </c>
      <c r="J1139" s="2">
        <v>3.1</v>
      </c>
      <c r="K1139" s="2" t="s">
        <v>306</v>
      </c>
      <c r="L1139" s="2" t="str">
        <f t="shared" si="102"/>
        <v>Loss Making</v>
      </c>
      <c r="M1139" s="2" t="str">
        <f t="shared" si="103"/>
        <v>Stable Earnings</v>
      </c>
      <c r="N1139" s="2" t="str">
        <f t="shared" si="104"/>
        <v>Moderate</v>
      </c>
      <c r="O1139" s="4" t="str">
        <f t="shared" si="105"/>
        <v>Accounting Risk</v>
      </c>
      <c r="P1139" s="4" t="str">
        <f t="shared" si="106"/>
        <v>Moderate</v>
      </c>
      <c r="Q1139" s="4" t="str">
        <f t="shared" si="107"/>
        <v>Strong Long-Term Growth</v>
      </c>
    </row>
    <row r="1140" spans="1:17" x14ac:dyDescent="0.35">
      <c r="A1140" s="2" t="s">
        <v>1150</v>
      </c>
      <c r="B1140" s="2">
        <v>5</v>
      </c>
      <c r="C1140" s="2">
        <v>-8959122.5800000001</v>
      </c>
      <c r="D1140" s="2">
        <v>0.2</v>
      </c>
      <c r="E1140" s="2">
        <v>5909521.25</v>
      </c>
      <c r="F1140" s="2">
        <v>-7528934.0999999996</v>
      </c>
      <c r="G1140" s="2">
        <v>4</v>
      </c>
      <c r="H1140" s="2">
        <v>1</v>
      </c>
      <c r="I1140" s="2">
        <v>4</v>
      </c>
      <c r="J1140" s="2">
        <v>3.1</v>
      </c>
      <c r="K1140" s="2" t="s">
        <v>306</v>
      </c>
      <c r="L1140" s="2" t="str">
        <f t="shared" si="102"/>
        <v>Loss Making</v>
      </c>
      <c r="M1140" s="2" t="str">
        <f t="shared" si="103"/>
        <v>Stable Earnings</v>
      </c>
      <c r="N1140" s="2" t="str">
        <f t="shared" si="104"/>
        <v>Moderate</v>
      </c>
      <c r="O1140" s="4" t="str">
        <f t="shared" si="105"/>
        <v>Accounting Risk</v>
      </c>
      <c r="P1140" s="4" t="str">
        <f t="shared" si="106"/>
        <v>Moderate</v>
      </c>
      <c r="Q1140" s="4" t="str">
        <f t="shared" si="107"/>
        <v>Strong Long-Term Growth</v>
      </c>
    </row>
    <row r="1141" spans="1:17" x14ac:dyDescent="0.35">
      <c r="A1141" s="2" t="s">
        <v>1151</v>
      </c>
      <c r="B1141" s="2">
        <v>5</v>
      </c>
      <c r="C1141" s="2">
        <v>-5546352.8200000003</v>
      </c>
      <c r="D1141" s="2">
        <v>0</v>
      </c>
      <c r="E1141" s="2">
        <v>3246968.8050000002</v>
      </c>
      <c r="F1141" s="2">
        <v>-7293713.7999999998</v>
      </c>
      <c r="G1141" s="2">
        <v>4</v>
      </c>
      <c r="H1141" s="2">
        <v>1</v>
      </c>
      <c r="I1141" s="2">
        <v>4</v>
      </c>
      <c r="J1141" s="2">
        <v>3.1</v>
      </c>
      <c r="K1141" s="2" t="s">
        <v>306</v>
      </c>
      <c r="L1141" s="2" t="str">
        <f t="shared" si="102"/>
        <v>Loss Making</v>
      </c>
      <c r="M1141" s="2" t="str">
        <f t="shared" si="103"/>
        <v>Stable Earnings</v>
      </c>
      <c r="N1141" s="2" t="str">
        <f t="shared" si="104"/>
        <v>Moderate</v>
      </c>
      <c r="O1141" s="4" t="str">
        <f t="shared" si="105"/>
        <v>Accounting Risk</v>
      </c>
      <c r="P1141" s="4" t="str">
        <f t="shared" si="106"/>
        <v>Moderate</v>
      </c>
      <c r="Q1141" s="4" t="str">
        <f t="shared" si="107"/>
        <v>Strong Long-Term Growth</v>
      </c>
    </row>
    <row r="1142" spans="1:17" x14ac:dyDescent="0.35">
      <c r="A1142" s="2" t="s">
        <v>1152</v>
      </c>
      <c r="B1142" s="2">
        <v>5</v>
      </c>
      <c r="C1142" s="2">
        <v>-2097817.36</v>
      </c>
      <c r="D1142" s="2">
        <v>0.4</v>
      </c>
      <c r="E1142" s="2">
        <v>4215056.0930000003</v>
      </c>
      <c r="F1142" s="2">
        <v>-7333657.7000000002</v>
      </c>
      <c r="G1142" s="2">
        <v>4</v>
      </c>
      <c r="H1142" s="2">
        <v>1</v>
      </c>
      <c r="I1142" s="2">
        <v>4</v>
      </c>
      <c r="J1142" s="2">
        <v>3.1</v>
      </c>
      <c r="K1142" s="2" t="s">
        <v>306</v>
      </c>
      <c r="L1142" s="2" t="str">
        <f t="shared" si="102"/>
        <v>Loss Making</v>
      </c>
      <c r="M1142" s="2" t="str">
        <f t="shared" si="103"/>
        <v>Stable Earnings</v>
      </c>
      <c r="N1142" s="2" t="str">
        <f t="shared" si="104"/>
        <v>Moderate</v>
      </c>
      <c r="O1142" s="4" t="str">
        <f t="shared" si="105"/>
        <v>Accounting Risk</v>
      </c>
      <c r="P1142" s="4" t="str">
        <f t="shared" si="106"/>
        <v>Moderate</v>
      </c>
      <c r="Q1142" s="4" t="str">
        <f t="shared" si="107"/>
        <v>Strong Long-Term Growth</v>
      </c>
    </row>
    <row r="1143" spans="1:17" x14ac:dyDescent="0.35">
      <c r="A1143" s="2" t="s">
        <v>1153</v>
      </c>
      <c r="B1143" s="2">
        <v>5</v>
      </c>
      <c r="C1143" s="2">
        <v>-16417790.42</v>
      </c>
      <c r="D1143" s="2">
        <v>0.2</v>
      </c>
      <c r="E1143" s="2">
        <v>12221347.34</v>
      </c>
      <c r="F1143" s="2">
        <v>-6939697.2999999998</v>
      </c>
      <c r="G1143" s="2">
        <v>4</v>
      </c>
      <c r="H1143" s="2">
        <v>1</v>
      </c>
      <c r="I1143" s="2">
        <v>4</v>
      </c>
      <c r="J1143" s="2">
        <v>3.1</v>
      </c>
      <c r="K1143" s="2" t="s">
        <v>306</v>
      </c>
      <c r="L1143" s="2" t="str">
        <f t="shared" si="102"/>
        <v>Loss Making</v>
      </c>
      <c r="M1143" s="2" t="str">
        <f t="shared" si="103"/>
        <v>Stable Earnings</v>
      </c>
      <c r="N1143" s="2" t="str">
        <f t="shared" si="104"/>
        <v>Moderate</v>
      </c>
      <c r="O1143" s="4" t="str">
        <f t="shared" si="105"/>
        <v>Accounting Risk</v>
      </c>
      <c r="P1143" s="4" t="str">
        <f t="shared" si="106"/>
        <v>Moderate</v>
      </c>
      <c r="Q1143" s="4" t="str">
        <f t="shared" si="107"/>
        <v>Strong Long-Term Growth</v>
      </c>
    </row>
    <row r="1144" spans="1:17" x14ac:dyDescent="0.35">
      <c r="A1144" s="2" t="s">
        <v>1154</v>
      </c>
      <c r="B1144" s="2">
        <v>5</v>
      </c>
      <c r="C1144" s="2">
        <v>-1436593.7</v>
      </c>
      <c r="D1144" s="2">
        <v>0.2</v>
      </c>
      <c r="E1144" s="2">
        <v>4770970.6490000002</v>
      </c>
      <c r="F1144" s="2">
        <v>-9781749.1999999993</v>
      </c>
      <c r="G1144" s="2">
        <v>4</v>
      </c>
      <c r="H1144" s="2">
        <v>1</v>
      </c>
      <c r="I1144" s="2">
        <v>4</v>
      </c>
      <c r="J1144" s="2">
        <v>3.1</v>
      </c>
      <c r="K1144" s="2" t="s">
        <v>306</v>
      </c>
      <c r="L1144" s="2" t="str">
        <f t="shared" si="102"/>
        <v>Loss Making</v>
      </c>
      <c r="M1144" s="2" t="str">
        <f t="shared" si="103"/>
        <v>Stable Earnings</v>
      </c>
      <c r="N1144" s="2" t="str">
        <f t="shared" si="104"/>
        <v>Moderate</v>
      </c>
      <c r="O1144" s="4" t="str">
        <f t="shared" si="105"/>
        <v>Accounting Risk</v>
      </c>
      <c r="P1144" s="4" t="str">
        <f t="shared" si="106"/>
        <v>Moderate</v>
      </c>
      <c r="Q1144" s="4" t="str">
        <f t="shared" si="107"/>
        <v>Strong Long-Term Growth</v>
      </c>
    </row>
    <row r="1145" spans="1:17" x14ac:dyDescent="0.35">
      <c r="A1145" s="2" t="s">
        <v>1155</v>
      </c>
      <c r="B1145" s="2">
        <v>5</v>
      </c>
      <c r="C1145" s="2">
        <v>-3680655.42</v>
      </c>
      <c r="D1145" s="2">
        <v>0.4</v>
      </c>
      <c r="E1145" s="2">
        <v>5737659.0970000001</v>
      </c>
      <c r="F1145" s="2">
        <v>-10130659</v>
      </c>
      <c r="G1145" s="2">
        <v>4</v>
      </c>
      <c r="H1145" s="2">
        <v>1</v>
      </c>
      <c r="I1145" s="2">
        <v>4</v>
      </c>
      <c r="J1145" s="2">
        <v>3.1</v>
      </c>
      <c r="K1145" s="2" t="s">
        <v>306</v>
      </c>
      <c r="L1145" s="2" t="str">
        <f t="shared" si="102"/>
        <v>Loss Making</v>
      </c>
      <c r="M1145" s="2" t="str">
        <f t="shared" si="103"/>
        <v>Stable Earnings</v>
      </c>
      <c r="N1145" s="2" t="str">
        <f t="shared" si="104"/>
        <v>Moderate</v>
      </c>
      <c r="O1145" s="4" t="str">
        <f t="shared" si="105"/>
        <v>Accounting Risk</v>
      </c>
      <c r="P1145" s="4" t="str">
        <f t="shared" si="106"/>
        <v>Moderate</v>
      </c>
      <c r="Q1145" s="4" t="str">
        <f t="shared" si="107"/>
        <v>Strong Long-Term Growth</v>
      </c>
    </row>
    <row r="1146" spans="1:17" x14ac:dyDescent="0.35">
      <c r="A1146" s="2" t="s">
        <v>1156</v>
      </c>
      <c r="B1146" s="2">
        <v>5</v>
      </c>
      <c r="C1146" s="2">
        <v>-13239417.859999999</v>
      </c>
      <c r="D1146" s="2">
        <v>0</v>
      </c>
      <c r="E1146" s="2">
        <v>3804285.3590000002</v>
      </c>
      <c r="F1146" s="2">
        <v>-8804718.0999999996</v>
      </c>
      <c r="G1146" s="2">
        <v>4</v>
      </c>
      <c r="H1146" s="2">
        <v>1</v>
      </c>
      <c r="I1146" s="2">
        <v>4</v>
      </c>
      <c r="J1146" s="2">
        <v>3.1</v>
      </c>
      <c r="K1146" s="2" t="s">
        <v>306</v>
      </c>
      <c r="L1146" s="2" t="str">
        <f t="shared" si="102"/>
        <v>Loss Making</v>
      </c>
      <c r="M1146" s="2" t="str">
        <f t="shared" si="103"/>
        <v>Stable Earnings</v>
      </c>
      <c r="N1146" s="2" t="str">
        <f t="shared" si="104"/>
        <v>Moderate</v>
      </c>
      <c r="O1146" s="4" t="str">
        <f t="shared" si="105"/>
        <v>Accounting Risk</v>
      </c>
      <c r="P1146" s="4" t="str">
        <f t="shared" si="106"/>
        <v>Moderate</v>
      </c>
      <c r="Q1146" s="4" t="str">
        <f t="shared" si="107"/>
        <v>Strong Long-Term Growth</v>
      </c>
    </row>
    <row r="1147" spans="1:17" x14ac:dyDescent="0.35">
      <c r="A1147" s="2" t="s">
        <v>1157</v>
      </c>
      <c r="B1147" s="2">
        <v>5</v>
      </c>
      <c r="C1147" s="2">
        <v>-22687954.5</v>
      </c>
      <c r="D1147" s="2">
        <v>0</v>
      </c>
      <c r="E1147" s="2">
        <v>8874911.4069999997</v>
      </c>
      <c r="F1147" s="2">
        <v>-8831493.4000000004</v>
      </c>
      <c r="G1147" s="2">
        <v>4</v>
      </c>
      <c r="H1147" s="2">
        <v>1</v>
      </c>
      <c r="I1147" s="2">
        <v>4</v>
      </c>
      <c r="J1147" s="2">
        <v>3.1</v>
      </c>
      <c r="K1147" s="2" t="s">
        <v>306</v>
      </c>
      <c r="L1147" s="2" t="str">
        <f t="shared" si="102"/>
        <v>Loss Making</v>
      </c>
      <c r="M1147" s="2" t="str">
        <f t="shared" si="103"/>
        <v>Stable Earnings</v>
      </c>
      <c r="N1147" s="2" t="str">
        <f t="shared" si="104"/>
        <v>Moderate</v>
      </c>
      <c r="O1147" s="4" t="str">
        <f t="shared" si="105"/>
        <v>Accounting Risk</v>
      </c>
      <c r="P1147" s="4" t="str">
        <f t="shared" si="106"/>
        <v>Moderate</v>
      </c>
      <c r="Q1147" s="4" t="str">
        <f t="shared" si="107"/>
        <v>Strong Long-Term Growth</v>
      </c>
    </row>
    <row r="1148" spans="1:17" x14ac:dyDescent="0.35">
      <c r="A1148" s="2" t="s">
        <v>1158</v>
      </c>
      <c r="B1148" s="2">
        <v>5</v>
      </c>
      <c r="C1148" s="2">
        <v>-18788791.199999999</v>
      </c>
      <c r="D1148" s="2">
        <v>0</v>
      </c>
      <c r="E1148" s="2">
        <v>6879006.415</v>
      </c>
      <c r="F1148" s="2">
        <v>-8856280.5999999996</v>
      </c>
      <c r="G1148" s="2">
        <v>4</v>
      </c>
      <c r="H1148" s="2">
        <v>1</v>
      </c>
      <c r="I1148" s="2">
        <v>4</v>
      </c>
      <c r="J1148" s="2">
        <v>3.1</v>
      </c>
      <c r="K1148" s="2" t="s">
        <v>306</v>
      </c>
      <c r="L1148" s="2" t="str">
        <f t="shared" si="102"/>
        <v>Loss Making</v>
      </c>
      <c r="M1148" s="2" t="str">
        <f t="shared" si="103"/>
        <v>Stable Earnings</v>
      </c>
      <c r="N1148" s="2" t="str">
        <f t="shared" si="104"/>
        <v>Moderate</v>
      </c>
      <c r="O1148" s="4" t="str">
        <f t="shared" si="105"/>
        <v>Accounting Risk</v>
      </c>
      <c r="P1148" s="4" t="str">
        <f t="shared" si="106"/>
        <v>Moderate</v>
      </c>
      <c r="Q1148" s="4" t="str">
        <f t="shared" si="107"/>
        <v>Strong Long-Term Growth</v>
      </c>
    </row>
    <row r="1149" spans="1:17" x14ac:dyDescent="0.35">
      <c r="A1149" s="2" t="s">
        <v>1159</v>
      </c>
      <c r="B1149" s="2">
        <v>5</v>
      </c>
      <c r="C1149" s="2">
        <v>-6198429.6799999997</v>
      </c>
      <c r="D1149" s="2">
        <v>0.4</v>
      </c>
      <c r="E1149" s="2">
        <v>10764178.949999999</v>
      </c>
      <c r="F1149" s="2">
        <v>-11955210.6</v>
      </c>
      <c r="G1149" s="2">
        <v>4</v>
      </c>
      <c r="H1149" s="2">
        <v>1</v>
      </c>
      <c r="I1149" s="2">
        <v>4</v>
      </c>
      <c r="J1149" s="2">
        <v>3.1</v>
      </c>
      <c r="K1149" s="2" t="s">
        <v>306</v>
      </c>
      <c r="L1149" s="2" t="str">
        <f t="shared" si="102"/>
        <v>Loss Making</v>
      </c>
      <c r="M1149" s="2" t="str">
        <f t="shared" si="103"/>
        <v>Stable Earnings</v>
      </c>
      <c r="N1149" s="2" t="str">
        <f t="shared" si="104"/>
        <v>Moderate</v>
      </c>
      <c r="O1149" s="4" t="str">
        <f t="shared" si="105"/>
        <v>Accounting Risk</v>
      </c>
      <c r="P1149" s="4" t="str">
        <f t="shared" si="106"/>
        <v>Moderate</v>
      </c>
      <c r="Q1149" s="4" t="str">
        <f t="shared" si="107"/>
        <v>Strong Long-Term Growth</v>
      </c>
    </row>
    <row r="1150" spans="1:17" x14ac:dyDescent="0.35">
      <c r="A1150" s="2" t="s">
        <v>1160</v>
      </c>
      <c r="B1150" s="2">
        <v>5</v>
      </c>
      <c r="C1150" s="2">
        <v>-7501424.4199999999</v>
      </c>
      <c r="D1150" s="2">
        <v>0.4</v>
      </c>
      <c r="E1150" s="2">
        <v>10273239.75</v>
      </c>
      <c r="F1150" s="2">
        <v>-12173723</v>
      </c>
      <c r="G1150" s="2">
        <v>4</v>
      </c>
      <c r="H1150" s="2">
        <v>1</v>
      </c>
      <c r="I1150" s="2">
        <v>4</v>
      </c>
      <c r="J1150" s="2">
        <v>3.1</v>
      </c>
      <c r="K1150" s="2" t="s">
        <v>306</v>
      </c>
      <c r="L1150" s="2" t="str">
        <f t="shared" si="102"/>
        <v>Loss Making</v>
      </c>
      <c r="M1150" s="2" t="str">
        <f t="shared" si="103"/>
        <v>Stable Earnings</v>
      </c>
      <c r="N1150" s="2" t="str">
        <f t="shared" si="104"/>
        <v>Moderate</v>
      </c>
      <c r="O1150" s="4" t="str">
        <f t="shared" si="105"/>
        <v>Accounting Risk</v>
      </c>
      <c r="P1150" s="4" t="str">
        <f t="shared" si="106"/>
        <v>Moderate</v>
      </c>
      <c r="Q1150" s="4" t="str">
        <f t="shared" si="107"/>
        <v>Strong Long-Term Growth</v>
      </c>
    </row>
    <row r="1151" spans="1:17" x14ac:dyDescent="0.35">
      <c r="A1151" s="2" t="s">
        <v>1161</v>
      </c>
      <c r="B1151" s="2">
        <v>5</v>
      </c>
      <c r="C1151" s="2">
        <v>-8080114.1600000001</v>
      </c>
      <c r="D1151" s="2">
        <v>0.2</v>
      </c>
      <c r="E1151" s="2">
        <v>14401552.91</v>
      </c>
      <c r="F1151" s="2">
        <v>-12240715.5</v>
      </c>
      <c r="G1151" s="2">
        <v>4</v>
      </c>
      <c r="H1151" s="2">
        <v>1</v>
      </c>
      <c r="I1151" s="2">
        <v>4</v>
      </c>
      <c r="J1151" s="2">
        <v>3.1</v>
      </c>
      <c r="K1151" s="2" t="s">
        <v>306</v>
      </c>
      <c r="L1151" s="2" t="str">
        <f t="shared" si="102"/>
        <v>Loss Making</v>
      </c>
      <c r="M1151" s="2" t="str">
        <f t="shared" si="103"/>
        <v>Stable Earnings</v>
      </c>
      <c r="N1151" s="2" t="str">
        <f t="shared" si="104"/>
        <v>Moderate</v>
      </c>
      <c r="O1151" s="4" t="str">
        <f t="shared" si="105"/>
        <v>Accounting Risk</v>
      </c>
      <c r="P1151" s="4" t="str">
        <f t="shared" si="106"/>
        <v>Moderate</v>
      </c>
      <c r="Q1151" s="4" t="str">
        <f t="shared" si="107"/>
        <v>Strong Long-Term Growth</v>
      </c>
    </row>
    <row r="1152" spans="1:17" x14ac:dyDescent="0.35">
      <c r="A1152" s="2" t="s">
        <v>1162</v>
      </c>
      <c r="B1152" s="2">
        <v>5</v>
      </c>
      <c r="C1152" s="2">
        <v>-54878917.579999998</v>
      </c>
      <c r="D1152" s="2">
        <v>0</v>
      </c>
      <c r="E1152" s="2">
        <v>10460455.77</v>
      </c>
      <c r="F1152" s="2">
        <v>-12262453.1</v>
      </c>
      <c r="G1152" s="2">
        <v>4</v>
      </c>
      <c r="H1152" s="2">
        <v>1</v>
      </c>
      <c r="I1152" s="2">
        <v>4</v>
      </c>
      <c r="J1152" s="2">
        <v>3.1</v>
      </c>
      <c r="K1152" s="2" t="s">
        <v>306</v>
      </c>
      <c r="L1152" s="2" t="str">
        <f t="shared" si="102"/>
        <v>Loss Making</v>
      </c>
      <c r="M1152" s="2" t="str">
        <f t="shared" si="103"/>
        <v>Stable Earnings</v>
      </c>
      <c r="N1152" s="2" t="str">
        <f t="shared" si="104"/>
        <v>Moderate</v>
      </c>
      <c r="O1152" s="4" t="str">
        <f t="shared" si="105"/>
        <v>Accounting Risk</v>
      </c>
      <c r="P1152" s="4" t="str">
        <f t="shared" si="106"/>
        <v>Moderate</v>
      </c>
      <c r="Q1152" s="4" t="str">
        <f t="shared" si="107"/>
        <v>Strong Long-Term Growth</v>
      </c>
    </row>
    <row r="1153" spans="1:17" x14ac:dyDescent="0.35">
      <c r="A1153" s="2" t="s">
        <v>1163</v>
      </c>
      <c r="B1153" s="2">
        <v>5</v>
      </c>
      <c r="C1153" s="2">
        <v>-3443497.2</v>
      </c>
      <c r="D1153" s="2">
        <v>0.4</v>
      </c>
      <c r="E1153" s="2">
        <v>7286984.7199999997</v>
      </c>
      <c r="F1153" s="2">
        <v>-10836413.699999999</v>
      </c>
      <c r="G1153" s="2">
        <v>4</v>
      </c>
      <c r="H1153" s="2">
        <v>1</v>
      </c>
      <c r="I1153" s="2">
        <v>4</v>
      </c>
      <c r="J1153" s="2">
        <v>3.1</v>
      </c>
      <c r="K1153" s="2" t="s">
        <v>306</v>
      </c>
      <c r="L1153" s="2" t="str">
        <f t="shared" si="102"/>
        <v>Loss Making</v>
      </c>
      <c r="M1153" s="2" t="str">
        <f t="shared" si="103"/>
        <v>Stable Earnings</v>
      </c>
      <c r="N1153" s="2" t="str">
        <f t="shared" si="104"/>
        <v>Moderate</v>
      </c>
      <c r="O1153" s="4" t="str">
        <f t="shared" si="105"/>
        <v>Accounting Risk</v>
      </c>
      <c r="P1153" s="4" t="str">
        <f t="shared" si="106"/>
        <v>Moderate</v>
      </c>
      <c r="Q1153" s="4" t="str">
        <f t="shared" si="107"/>
        <v>Strong Long-Term Growth</v>
      </c>
    </row>
    <row r="1154" spans="1:17" x14ac:dyDescent="0.35">
      <c r="A1154" s="2" t="s">
        <v>1164</v>
      </c>
      <c r="B1154" s="2">
        <v>5</v>
      </c>
      <c r="C1154" s="2">
        <v>-5950339.7199999997</v>
      </c>
      <c r="D1154" s="2">
        <v>0.2</v>
      </c>
      <c r="E1154" s="2">
        <v>15396532.189999999</v>
      </c>
      <c r="F1154" s="2">
        <v>-12597051.5</v>
      </c>
      <c r="G1154" s="2">
        <v>4</v>
      </c>
      <c r="H1154" s="2">
        <v>1</v>
      </c>
      <c r="I1154" s="2">
        <v>4</v>
      </c>
      <c r="J1154" s="2">
        <v>3.1</v>
      </c>
      <c r="K1154" s="2" t="s">
        <v>306</v>
      </c>
      <c r="L1154" s="2" t="str">
        <f t="shared" ref="L1154:L1217" si="108">IF(C1154&gt;0,"Profitable","Loss Making")</f>
        <v>Loss Making</v>
      </c>
      <c r="M1154" s="2" t="str">
        <f t="shared" ref="M1154:M1217" si="109">IF(C1154&gt;500000000,"High Volatility","Stable Earnings")</f>
        <v>Stable Earnings</v>
      </c>
      <c r="N1154" s="2" t="str">
        <f t="shared" ref="N1154:N1217" si="110">IF(G1154&gt;=7,"High Quality",IF(G1154&gt;=4,"Moderate","Low Quality"))</f>
        <v>Moderate</v>
      </c>
      <c r="O1154" s="4" t="str">
        <f t="shared" ref="O1154:O1217" si="111">IF(AND(F1154&gt;0,D1154&gt;0.6),"Operational Growth","Accounting Risk")</f>
        <v>Accounting Risk</v>
      </c>
      <c r="P1154" s="4" t="str">
        <f t="shared" ref="P1154:P1217" si="112">IF(G1154&gt;=7,"High Quality", IF(G1154&gt;=4,"Moderate","Low Quality"))</f>
        <v>Moderate</v>
      </c>
      <c r="Q1154" s="4" t="str">
        <f t="shared" ref="Q1154:Q1217" si="113">IF(I1154&gt;=4,"Strong Long-Term Growth",IF(I1154&gt;=2,"Moderate Growth","Weak Growth"))</f>
        <v>Strong Long-Term Growth</v>
      </c>
    </row>
    <row r="1155" spans="1:17" x14ac:dyDescent="0.35">
      <c r="A1155" s="2" t="s">
        <v>1165</v>
      </c>
      <c r="B1155" s="2">
        <v>5</v>
      </c>
      <c r="C1155" s="2">
        <v>-25120944.219999999</v>
      </c>
      <c r="D1155" s="2">
        <v>0</v>
      </c>
      <c r="E1155" s="2">
        <v>13539230.23</v>
      </c>
      <c r="F1155" s="2">
        <v>-12709534.800000001</v>
      </c>
      <c r="G1155" s="2">
        <v>4</v>
      </c>
      <c r="H1155" s="2">
        <v>1</v>
      </c>
      <c r="I1155" s="2">
        <v>4</v>
      </c>
      <c r="J1155" s="2">
        <v>3.1</v>
      </c>
      <c r="K1155" s="2" t="s">
        <v>306</v>
      </c>
      <c r="L1155" s="2" t="str">
        <f t="shared" si="108"/>
        <v>Loss Making</v>
      </c>
      <c r="M1155" s="2" t="str">
        <f t="shared" si="109"/>
        <v>Stable Earnings</v>
      </c>
      <c r="N1155" s="2" t="str">
        <f t="shared" si="110"/>
        <v>Moderate</v>
      </c>
      <c r="O1155" s="4" t="str">
        <f t="shared" si="111"/>
        <v>Accounting Risk</v>
      </c>
      <c r="P1155" s="4" t="str">
        <f t="shared" si="112"/>
        <v>Moderate</v>
      </c>
      <c r="Q1155" s="4" t="str">
        <f t="shared" si="113"/>
        <v>Strong Long-Term Growth</v>
      </c>
    </row>
    <row r="1156" spans="1:17" x14ac:dyDescent="0.35">
      <c r="A1156" s="2" t="s">
        <v>1166</v>
      </c>
      <c r="B1156" s="2">
        <v>5</v>
      </c>
      <c r="C1156" s="2">
        <v>-6528535.7599999998</v>
      </c>
      <c r="D1156" s="2">
        <v>0.2</v>
      </c>
      <c r="E1156" s="2">
        <v>5290021.1220000004</v>
      </c>
      <c r="F1156" s="2">
        <v>-12924635.9</v>
      </c>
      <c r="G1156" s="2">
        <v>4</v>
      </c>
      <c r="H1156" s="2">
        <v>1</v>
      </c>
      <c r="I1156" s="2">
        <v>4</v>
      </c>
      <c r="J1156" s="2">
        <v>3.1</v>
      </c>
      <c r="K1156" s="2" t="s">
        <v>306</v>
      </c>
      <c r="L1156" s="2" t="str">
        <f t="shared" si="108"/>
        <v>Loss Making</v>
      </c>
      <c r="M1156" s="2" t="str">
        <f t="shared" si="109"/>
        <v>Stable Earnings</v>
      </c>
      <c r="N1156" s="2" t="str">
        <f t="shared" si="110"/>
        <v>Moderate</v>
      </c>
      <c r="O1156" s="4" t="str">
        <f t="shared" si="111"/>
        <v>Accounting Risk</v>
      </c>
      <c r="P1156" s="4" t="str">
        <f t="shared" si="112"/>
        <v>Moderate</v>
      </c>
      <c r="Q1156" s="4" t="str">
        <f t="shared" si="113"/>
        <v>Strong Long-Term Growth</v>
      </c>
    </row>
    <row r="1157" spans="1:17" x14ac:dyDescent="0.35">
      <c r="A1157" s="2" t="s">
        <v>1167</v>
      </c>
      <c r="B1157" s="2">
        <v>5</v>
      </c>
      <c r="C1157" s="2">
        <v>758035.6</v>
      </c>
      <c r="D1157" s="2">
        <v>0.4</v>
      </c>
      <c r="E1157" s="2">
        <v>12906810.41</v>
      </c>
      <c r="F1157" s="2">
        <v>-13016848.1</v>
      </c>
      <c r="G1157" s="2">
        <v>4</v>
      </c>
      <c r="H1157" s="2">
        <v>1</v>
      </c>
      <c r="I1157" s="2">
        <v>4</v>
      </c>
      <c r="J1157" s="2">
        <v>3.1</v>
      </c>
      <c r="K1157" s="2" t="s">
        <v>306</v>
      </c>
      <c r="L1157" s="2" t="str">
        <f t="shared" si="108"/>
        <v>Profitable</v>
      </c>
      <c r="M1157" s="2" t="str">
        <f t="shared" si="109"/>
        <v>Stable Earnings</v>
      </c>
      <c r="N1157" s="2" t="str">
        <f t="shared" si="110"/>
        <v>Moderate</v>
      </c>
      <c r="O1157" s="4" t="str">
        <f t="shared" si="111"/>
        <v>Accounting Risk</v>
      </c>
      <c r="P1157" s="4" t="str">
        <f t="shared" si="112"/>
        <v>Moderate</v>
      </c>
      <c r="Q1157" s="4" t="str">
        <f t="shared" si="113"/>
        <v>Strong Long-Term Growth</v>
      </c>
    </row>
    <row r="1158" spans="1:17" x14ac:dyDescent="0.35">
      <c r="A1158" s="2" t="s">
        <v>1168</v>
      </c>
      <c r="B1158" s="2">
        <v>5</v>
      </c>
      <c r="C1158" s="2">
        <v>1533613.36</v>
      </c>
      <c r="D1158" s="2">
        <v>0.4</v>
      </c>
      <c r="E1158" s="2">
        <v>13389824.210000001</v>
      </c>
      <c r="F1158" s="2">
        <v>-13777136.199999999</v>
      </c>
      <c r="G1158" s="2">
        <v>4</v>
      </c>
      <c r="H1158" s="2">
        <v>1</v>
      </c>
      <c r="I1158" s="2">
        <v>4</v>
      </c>
      <c r="J1158" s="2">
        <v>3.1</v>
      </c>
      <c r="K1158" s="2" t="s">
        <v>306</v>
      </c>
      <c r="L1158" s="2" t="str">
        <f t="shared" si="108"/>
        <v>Profitable</v>
      </c>
      <c r="M1158" s="2" t="str">
        <f t="shared" si="109"/>
        <v>Stable Earnings</v>
      </c>
      <c r="N1158" s="2" t="str">
        <f t="shared" si="110"/>
        <v>Moderate</v>
      </c>
      <c r="O1158" s="4" t="str">
        <f t="shared" si="111"/>
        <v>Accounting Risk</v>
      </c>
      <c r="P1158" s="4" t="str">
        <f t="shared" si="112"/>
        <v>Moderate</v>
      </c>
      <c r="Q1158" s="4" t="str">
        <f t="shared" si="113"/>
        <v>Strong Long-Term Growth</v>
      </c>
    </row>
    <row r="1159" spans="1:17" x14ac:dyDescent="0.35">
      <c r="A1159" s="2" t="s">
        <v>1169</v>
      </c>
      <c r="B1159" s="2">
        <v>5</v>
      </c>
      <c r="C1159" s="2">
        <v>-5345773.9400000004</v>
      </c>
      <c r="D1159" s="2">
        <v>0.2</v>
      </c>
      <c r="E1159" s="2">
        <v>5555230.0800000001</v>
      </c>
      <c r="F1159" s="2">
        <v>-13811152.1</v>
      </c>
      <c r="G1159" s="2">
        <v>4</v>
      </c>
      <c r="H1159" s="2">
        <v>1</v>
      </c>
      <c r="I1159" s="2">
        <v>4</v>
      </c>
      <c r="J1159" s="2">
        <v>3.1</v>
      </c>
      <c r="K1159" s="2" t="s">
        <v>306</v>
      </c>
      <c r="L1159" s="2" t="str">
        <f t="shared" si="108"/>
        <v>Loss Making</v>
      </c>
      <c r="M1159" s="2" t="str">
        <f t="shared" si="109"/>
        <v>Stable Earnings</v>
      </c>
      <c r="N1159" s="2" t="str">
        <f t="shared" si="110"/>
        <v>Moderate</v>
      </c>
      <c r="O1159" s="4" t="str">
        <f t="shared" si="111"/>
        <v>Accounting Risk</v>
      </c>
      <c r="P1159" s="4" t="str">
        <f t="shared" si="112"/>
        <v>Moderate</v>
      </c>
      <c r="Q1159" s="4" t="str">
        <f t="shared" si="113"/>
        <v>Strong Long-Term Growth</v>
      </c>
    </row>
    <row r="1160" spans="1:17" x14ac:dyDescent="0.35">
      <c r="A1160" s="2" t="s">
        <v>1170</v>
      </c>
      <c r="B1160" s="2">
        <v>5</v>
      </c>
      <c r="C1160" s="2">
        <v>-6923951.3200000003</v>
      </c>
      <c r="D1160" s="2">
        <v>0.2</v>
      </c>
      <c r="E1160" s="2">
        <v>7687772.1749999998</v>
      </c>
      <c r="F1160" s="2">
        <v>-14959513.199999999</v>
      </c>
      <c r="G1160" s="2">
        <v>4</v>
      </c>
      <c r="H1160" s="2">
        <v>1</v>
      </c>
      <c r="I1160" s="2">
        <v>4</v>
      </c>
      <c r="J1160" s="2">
        <v>3.1</v>
      </c>
      <c r="K1160" s="2" t="s">
        <v>306</v>
      </c>
      <c r="L1160" s="2" t="str">
        <f t="shared" si="108"/>
        <v>Loss Making</v>
      </c>
      <c r="M1160" s="2" t="str">
        <f t="shared" si="109"/>
        <v>Stable Earnings</v>
      </c>
      <c r="N1160" s="2" t="str">
        <f t="shared" si="110"/>
        <v>Moderate</v>
      </c>
      <c r="O1160" s="4" t="str">
        <f t="shared" si="111"/>
        <v>Accounting Risk</v>
      </c>
      <c r="P1160" s="4" t="str">
        <f t="shared" si="112"/>
        <v>Moderate</v>
      </c>
      <c r="Q1160" s="4" t="str">
        <f t="shared" si="113"/>
        <v>Strong Long-Term Growth</v>
      </c>
    </row>
    <row r="1161" spans="1:17" x14ac:dyDescent="0.35">
      <c r="A1161" s="2" t="s">
        <v>1171</v>
      </c>
      <c r="B1161" s="2">
        <v>5</v>
      </c>
      <c r="C1161" s="2">
        <v>-2964628.58</v>
      </c>
      <c r="D1161" s="2">
        <v>0.2</v>
      </c>
      <c r="E1161" s="2">
        <v>7842431.4890000001</v>
      </c>
      <c r="F1161" s="2">
        <v>-17013420.199999999</v>
      </c>
      <c r="G1161" s="2">
        <v>4</v>
      </c>
      <c r="H1161" s="2">
        <v>1</v>
      </c>
      <c r="I1161" s="2">
        <v>4</v>
      </c>
      <c r="J1161" s="2">
        <v>3.1</v>
      </c>
      <c r="K1161" s="2" t="s">
        <v>306</v>
      </c>
      <c r="L1161" s="2" t="str">
        <f t="shared" si="108"/>
        <v>Loss Making</v>
      </c>
      <c r="M1161" s="2" t="str">
        <f t="shared" si="109"/>
        <v>Stable Earnings</v>
      </c>
      <c r="N1161" s="2" t="str">
        <f t="shared" si="110"/>
        <v>Moderate</v>
      </c>
      <c r="O1161" s="4" t="str">
        <f t="shared" si="111"/>
        <v>Accounting Risk</v>
      </c>
      <c r="P1161" s="4" t="str">
        <f t="shared" si="112"/>
        <v>Moderate</v>
      </c>
      <c r="Q1161" s="4" t="str">
        <f t="shared" si="113"/>
        <v>Strong Long-Term Growth</v>
      </c>
    </row>
    <row r="1162" spans="1:17" x14ac:dyDescent="0.35">
      <c r="A1162" s="2" t="s">
        <v>1172</v>
      </c>
      <c r="B1162" s="2">
        <v>5</v>
      </c>
      <c r="C1162" s="2">
        <v>-31530486</v>
      </c>
      <c r="D1162" s="2">
        <v>0</v>
      </c>
      <c r="E1162" s="2">
        <v>13725916.130000001</v>
      </c>
      <c r="F1162" s="2">
        <v>-17527622.300000001</v>
      </c>
      <c r="G1162" s="2">
        <v>4</v>
      </c>
      <c r="H1162" s="2">
        <v>1</v>
      </c>
      <c r="I1162" s="2">
        <v>4</v>
      </c>
      <c r="J1162" s="2">
        <v>3.1</v>
      </c>
      <c r="K1162" s="2" t="s">
        <v>306</v>
      </c>
      <c r="L1162" s="2" t="str">
        <f t="shared" si="108"/>
        <v>Loss Making</v>
      </c>
      <c r="M1162" s="2" t="str">
        <f t="shared" si="109"/>
        <v>Stable Earnings</v>
      </c>
      <c r="N1162" s="2" t="str">
        <f t="shared" si="110"/>
        <v>Moderate</v>
      </c>
      <c r="O1162" s="4" t="str">
        <f t="shared" si="111"/>
        <v>Accounting Risk</v>
      </c>
      <c r="P1162" s="4" t="str">
        <f t="shared" si="112"/>
        <v>Moderate</v>
      </c>
      <c r="Q1162" s="4" t="str">
        <f t="shared" si="113"/>
        <v>Strong Long-Term Growth</v>
      </c>
    </row>
    <row r="1163" spans="1:17" x14ac:dyDescent="0.35">
      <c r="A1163" s="2" t="s">
        <v>1173</v>
      </c>
      <c r="B1163" s="2">
        <v>5</v>
      </c>
      <c r="C1163" s="2">
        <v>-12042978.640000001</v>
      </c>
      <c r="D1163" s="2">
        <v>0</v>
      </c>
      <c r="E1163" s="2">
        <v>7074463.2180000003</v>
      </c>
      <c r="F1163" s="2">
        <v>-15881859.1</v>
      </c>
      <c r="G1163" s="2">
        <v>4</v>
      </c>
      <c r="H1163" s="2">
        <v>1</v>
      </c>
      <c r="I1163" s="2">
        <v>4</v>
      </c>
      <c r="J1163" s="2">
        <v>3.1</v>
      </c>
      <c r="K1163" s="2" t="s">
        <v>306</v>
      </c>
      <c r="L1163" s="2" t="str">
        <f t="shared" si="108"/>
        <v>Loss Making</v>
      </c>
      <c r="M1163" s="2" t="str">
        <f t="shared" si="109"/>
        <v>Stable Earnings</v>
      </c>
      <c r="N1163" s="2" t="str">
        <f t="shared" si="110"/>
        <v>Moderate</v>
      </c>
      <c r="O1163" s="4" t="str">
        <f t="shared" si="111"/>
        <v>Accounting Risk</v>
      </c>
      <c r="P1163" s="4" t="str">
        <f t="shared" si="112"/>
        <v>Moderate</v>
      </c>
      <c r="Q1163" s="4" t="str">
        <f t="shared" si="113"/>
        <v>Strong Long-Term Growth</v>
      </c>
    </row>
    <row r="1164" spans="1:17" x14ac:dyDescent="0.35">
      <c r="A1164" s="2" t="s">
        <v>1174</v>
      </c>
      <c r="B1164" s="2">
        <v>5</v>
      </c>
      <c r="C1164" s="2">
        <v>-5512719.5599999996</v>
      </c>
      <c r="D1164" s="2">
        <v>0.2</v>
      </c>
      <c r="E1164" s="2">
        <v>8848716.9690000005</v>
      </c>
      <c r="F1164" s="2">
        <v>-16294464</v>
      </c>
      <c r="G1164" s="2">
        <v>4</v>
      </c>
      <c r="H1164" s="2">
        <v>1</v>
      </c>
      <c r="I1164" s="2">
        <v>4</v>
      </c>
      <c r="J1164" s="2">
        <v>3.1</v>
      </c>
      <c r="K1164" s="2" t="s">
        <v>306</v>
      </c>
      <c r="L1164" s="2" t="str">
        <f t="shared" si="108"/>
        <v>Loss Making</v>
      </c>
      <c r="M1164" s="2" t="str">
        <f t="shared" si="109"/>
        <v>Stable Earnings</v>
      </c>
      <c r="N1164" s="2" t="str">
        <f t="shared" si="110"/>
        <v>Moderate</v>
      </c>
      <c r="O1164" s="4" t="str">
        <f t="shared" si="111"/>
        <v>Accounting Risk</v>
      </c>
      <c r="P1164" s="4" t="str">
        <f t="shared" si="112"/>
        <v>Moderate</v>
      </c>
      <c r="Q1164" s="4" t="str">
        <f t="shared" si="113"/>
        <v>Strong Long-Term Growth</v>
      </c>
    </row>
    <row r="1165" spans="1:17" x14ac:dyDescent="0.35">
      <c r="A1165" s="2" t="s">
        <v>1175</v>
      </c>
      <c r="B1165" s="2">
        <v>5</v>
      </c>
      <c r="C1165" s="2">
        <v>-7721389.7599999998</v>
      </c>
      <c r="D1165" s="2">
        <v>0.2</v>
      </c>
      <c r="E1165" s="2">
        <v>7891567.7240000004</v>
      </c>
      <c r="F1165" s="2">
        <v>-16405991.699999999</v>
      </c>
      <c r="G1165" s="2">
        <v>4</v>
      </c>
      <c r="H1165" s="2">
        <v>1</v>
      </c>
      <c r="I1165" s="2">
        <v>4</v>
      </c>
      <c r="J1165" s="2">
        <v>3.1</v>
      </c>
      <c r="K1165" s="2" t="s">
        <v>306</v>
      </c>
      <c r="L1165" s="2" t="str">
        <f t="shared" si="108"/>
        <v>Loss Making</v>
      </c>
      <c r="M1165" s="2" t="str">
        <f t="shared" si="109"/>
        <v>Stable Earnings</v>
      </c>
      <c r="N1165" s="2" t="str">
        <f t="shared" si="110"/>
        <v>Moderate</v>
      </c>
      <c r="O1165" s="4" t="str">
        <f t="shared" si="111"/>
        <v>Accounting Risk</v>
      </c>
      <c r="P1165" s="4" t="str">
        <f t="shared" si="112"/>
        <v>Moderate</v>
      </c>
      <c r="Q1165" s="4" t="str">
        <f t="shared" si="113"/>
        <v>Strong Long-Term Growth</v>
      </c>
    </row>
    <row r="1166" spans="1:17" x14ac:dyDescent="0.35">
      <c r="A1166" s="2" t="s">
        <v>1176</v>
      </c>
      <c r="B1166" s="2">
        <v>5</v>
      </c>
      <c r="C1166" s="2">
        <v>-21152428.34</v>
      </c>
      <c r="D1166" s="2">
        <v>0</v>
      </c>
      <c r="E1166" s="2">
        <v>10198833.83</v>
      </c>
      <c r="F1166" s="2">
        <v>-16615963.9</v>
      </c>
      <c r="G1166" s="2">
        <v>4</v>
      </c>
      <c r="H1166" s="2">
        <v>1</v>
      </c>
      <c r="I1166" s="2">
        <v>4</v>
      </c>
      <c r="J1166" s="2">
        <v>3.1</v>
      </c>
      <c r="K1166" s="2" t="s">
        <v>306</v>
      </c>
      <c r="L1166" s="2" t="str">
        <f t="shared" si="108"/>
        <v>Loss Making</v>
      </c>
      <c r="M1166" s="2" t="str">
        <f t="shared" si="109"/>
        <v>Stable Earnings</v>
      </c>
      <c r="N1166" s="2" t="str">
        <f t="shared" si="110"/>
        <v>Moderate</v>
      </c>
      <c r="O1166" s="4" t="str">
        <f t="shared" si="111"/>
        <v>Accounting Risk</v>
      </c>
      <c r="P1166" s="4" t="str">
        <f t="shared" si="112"/>
        <v>Moderate</v>
      </c>
      <c r="Q1166" s="4" t="str">
        <f t="shared" si="113"/>
        <v>Strong Long-Term Growth</v>
      </c>
    </row>
    <row r="1167" spans="1:17" x14ac:dyDescent="0.35">
      <c r="A1167" s="2" t="s">
        <v>1177</v>
      </c>
      <c r="B1167" s="2">
        <v>5</v>
      </c>
      <c r="C1167" s="2">
        <v>-6652676.3799999999</v>
      </c>
      <c r="D1167" s="2">
        <v>0.4</v>
      </c>
      <c r="E1167" s="2">
        <v>14059133.16</v>
      </c>
      <c r="F1167" s="2">
        <v>-14771656.4</v>
      </c>
      <c r="G1167" s="2">
        <v>4</v>
      </c>
      <c r="H1167" s="2">
        <v>1</v>
      </c>
      <c r="I1167" s="2">
        <v>4</v>
      </c>
      <c r="J1167" s="2">
        <v>3.1</v>
      </c>
      <c r="K1167" s="2" t="s">
        <v>306</v>
      </c>
      <c r="L1167" s="2" t="str">
        <f t="shared" si="108"/>
        <v>Loss Making</v>
      </c>
      <c r="M1167" s="2" t="str">
        <f t="shared" si="109"/>
        <v>Stable Earnings</v>
      </c>
      <c r="N1167" s="2" t="str">
        <f t="shared" si="110"/>
        <v>Moderate</v>
      </c>
      <c r="O1167" s="4" t="str">
        <f t="shared" si="111"/>
        <v>Accounting Risk</v>
      </c>
      <c r="P1167" s="4" t="str">
        <f t="shared" si="112"/>
        <v>Moderate</v>
      </c>
      <c r="Q1167" s="4" t="str">
        <f t="shared" si="113"/>
        <v>Strong Long-Term Growth</v>
      </c>
    </row>
    <row r="1168" spans="1:17" x14ac:dyDescent="0.35">
      <c r="A1168" s="2" t="s">
        <v>1178</v>
      </c>
      <c r="B1168" s="2">
        <v>5</v>
      </c>
      <c r="C1168" s="2">
        <v>-11668606.300000001</v>
      </c>
      <c r="D1168" s="2">
        <v>0.2</v>
      </c>
      <c r="E1168" s="2">
        <v>9321680.1720000003</v>
      </c>
      <c r="F1168" s="2">
        <v>-22750237.600000001</v>
      </c>
      <c r="G1168" s="2">
        <v>4</v>
      </c>
      <c r="H1168" s="2">
        <v>1</v>
      </c>
      <c r="I1168" s="2">
        <v>4</v>
      </c>
      <c r="J1168" s="2">
        <v>3.1</v>
      </c>
      <c r="K1168" s="2" t="s">
        <v>306</v>
      </c>
      <c r="L1168" s="2" t="str">
        <f t="shared" si="108"/>
        <v>Loss Making</v>
      </c>
      <c r="M1168" s="2" t="str">
        <f t="shared" si="109"/>
        <v>Stable Earnings</v>
      </c>
      <c r="N1168" s="2" t="str">
        <f t="shared" si="110"/>
        <v>Moderate</v>
      </c>
      <c r="O1168" s="4" t="str">
        <f t="shared" si="111"/>
        <v>Accounting Risk</v>
      </c>
      <c r="P1168" s="4" t="str">
        <f t="shared" si="112"/>
        <v>Moderate</v>
      </c>
      <c r="Q1168" s="4" t="str">
        <f t="shared" si="113"/>
        <v>Strong Long-Term Growth</v>
      </c>
    </row>
    <row r="1169" spans="1:17" x14ac:dyDescent="0.35">
      <c r="A1169" s="2" t="s">
        <v>1179</v>
      </c>
      <c r="B1169" s="2">
        <v>5</v>
      </c>
      <c r="C1169" s="2">
        <v>-11568339.18</v>
      </c>
      <c r="D1169" s="2">
        <v>0.2</v>
      </c>
      <c r="E1169" s="2">
        <v>9885234.6870000008</v>
      </c>
      <c r="F1169" s="2">
        <v>-23587302.300000001</v>
      </c>
      <c r="G1169" s="2">
        <v>4</v>
      </c>
      <c r="H1169" s="2">
        <v>1</v>
      </c>
      <c r="I1169" s="2">
        <v>4</v>
      </c>
      <c r="J1169" s="2">
        <v>3.1</v>
      </c>
      <c r="K1169" s="2" t="s">
        <v>306</v>
      </c>
      <c r="L1169" s="2" t="str">
        <f t="shared" si="108"/>
        <v>Loss Making</v>
      </c>
      <c r="M1169" s="2" t="str">
        <f t="shared" si="109"/>
        <v>Stable Earnings</v>
      </c>
      <c r="N1169" s="2" t="str">
        <f t="shared" si="110"/>
        <v>Moderate</v>
      </c>
      <c r="O1169" s="4" t="str">
        <f t="shared" si="111"/>
        <v>Accounting Risk</v>
      </c>
      <c r="P1169" s="4" t="str">
        <f t="shared" si="112"/>
        <v>Moderate</v>
      </c>
      <c r="Q1169" s="4" t="str">
        <f t="shared" si="113"/>
        <v>Strong Long-Term Growth</v>
      </c>
    </row>
    <row r="1170" spans="1:17" x14ac:dyDescent="0.35">
      <c r="A1170" s="2" t="s">
        <v>1180</v>
      </c>
      <c r="B1170" s="2">
        <v>5</v>
      </c>
      <c r="C1170" s="2">
        <v>-35227624.140000001</v>
      </c>
      <c r="D1170" s="2">
        <v>0</v>
      </c>
      <c r="E1170" s="2">
        <v>13490010.82</v>
      </c>
      <c r="F1170" s="2">
        <v>-26386198.199999999</v>
      </c>
      <c r="G1170" s="2">
        <v>4</v>
      </c>
      <c r="H1170" s="2">
        <v>1</v>
      </c>
      <c r="I1170" s="2">
        <v>4</v>
      </c>
      <c r="J1170" s="2">
        <v>3.1</v>
      </c>
      <c r="K1170" s="2" t="s">
        <v>306</v>
      </c>
      <c r="L1170" s="2" t="str">
        <f t="shared" si="108"/>
        <v>Loss Making</v>
      </c>
      <c r="M1170" s="2" t="str">
        <f t="shared" si="109"/>
        <v>Stable Earnings</v>
      </c>
      <c r="N1170" s="2" t="str">
        <f t="shared" si="110"/>
        <v>Moderate</v>
      </c>
      <c r="O1170" s="4" t="str">
        <f t="shared" si="111"/>
        <v>Accounting Risk</v>
      </c>
      <c r="P1170" s="4" t="str">
        <f t="shared" si="112"/>
        <v>Moderate</v>
      </c>
      <c r="Q1170" s="4" t="str">
        <f t="shared" si="113"/>
        <v>Strong Long-Term Growth</v>
      </c>
    </row>
    <row r="1171" spans="1:17" x14ac:dyDescent="0.35">
      <c r="A1171" s="2" t="s">
        <v>1181</v>
      </c>
      <c r="B1171" s="2">
        <v>5</v>
      </c>
      <c r="C1171" s="2">
        <v>-35513086.859999999</v>
      </c>
      <c r="D1171" s="2">
        <v>0</v>
      </c>
      <c r="E1171" s="2">
        <v>10214652.9</v>
      </c>
      <c r="F1171" s="2">
        <v>-25788294.899999999</v>
      </c>
      <c r="G1171" s="2">
        <v>4</v>
      </c>
      <c r="H1171" s="2">
        <v>1</v>
      </c>
      <c r="I1171" s="2">
        <v>4</v>
      </c>
      <c r="J1171" s="2">
        <v>3.1</v>
      </c>
      <c r="K1171" s="2" t="s">
        <v>306</v>
      </c>
      <c r="L1171" s="2" t="str">
        <f t="shared" si="108"/>
        <v>Loss Making</v>
      </c>
      <c r="M1171" s="2" t="str">
        <f t="shared" si="109"/>
        <v>Stable Earnings</v>
      </c>
      <c r="N1171" s="2" t="str">
        <f t="shared" si="110"/>
        <v>Moderate</v>
      </c>
      <c r="O1171" s="4" t="str">
        <f t="shared" si="111"/>
        <v>Accounting Risk</v>
      </c>
      <c r="P1171" s="4" t="str">
        <f t="shared" si="112"/>
        <v>Moderate</v>
      </c>
      <c r="Q1171" s="4" t="str">
        <f t="shared" si="113"/>
        <v>Strong Long-Term Growth</v>
      </c>
    </row>
    <row r="1172" spans="1:17" x14ac:dyDescent="0.35">
      <c r="A1172" s="2" t="s">
        <v>1182</v>
      </c>
      <c r="B1172" s="2">
        <v>5</v>
      </c>
      <c r="C1172" s="2">
        <v>-9280179.6400000006</v>
      </c>
      <c r="D1172" s="2">
        <v>0.4</v>
      </c>
      <c r="E1172" s="2">
        <v>11845043.66</v>
      </c>
      <c r="F1172" s="2">
        <v>-21033061.699999999</v>
      </c>
      <c r="G1172" s="2">
        <v>4</v>
      </c>
      <c r="H1172" s="2">
        <v>1</v>
      </c>
      <c r="I1172" s="2">
        <v>4</v>
      </c>
      <c r="J1172" s="2">
        <v>3.1</v>
      </c>
      <c r="K1172" s="2" t="s">
        <v>306</v>
      </c>
      <c r="L1172" s="2" t="str">
        <f t="shared" si="108"/>
        <v>Loss Making</v>
      </c>
      <c r="M1172" s="2" t="str">
        <f t="shared" si="109"/>
        <v>Stable Earnings</v>
      </c>
      <c r="N1172" s="2" t="str">
        <f t="shared" si="110"/>
        <v>Moderate</v>
      </c>
      <c r="O1172" s="4" t="str">
        <f t="shared" si="111"/>
        <v>Accounting Risk</v>
      </c>
      <c r="P1172" s="4" t="str">
        <f t="shared" si="112"/>
        <v>Moderate</v>
      </c>
      <c r="Q1172" s="4" t="str">
        <f t="shared" si="113"/>
        <v>Strong Long-Term Growth</v>
      </c>
    </row>
    <row r="1173" spans="1:17" x14ac:dyDescent="0.35">
      <c r="A1173" s="2" t="s">
        <v>1183</v>
      </c>
      <c r="B1173" s="2">
        <v>5</v>
      </c>
      <c r="C1173" s="2">
        <v>-25751452.32</v>
      </c>
      <c r="D1173" s="2">
        <v>0</v>
      </c>
      <c r="E1173" s="2">
        <v>7673084.9589999998</v>
      </c>
      <c r="F1173" s="2">
        <v>-19194581.300000001</v>
      </c>
      <c r="G1173" s="2">
        <v>4</v>
      </c>
      <c r="H1173" s="2">
        <v>1</v>
      </c>
      <c r="I1173" s="2">
        <v>4</v>
      </c>
      <c r="J1173" s="2">
        <v>3.1</v>
      </c>
      <c r="K1173" s="2" t="s">
        <v>306</v>
      </c>
      <c r="L1173" s="2" t="str">
        <f t="shared" si="108"/>
        <v>Loss Making</v>
      </c>
      <c r="M1173" s="2" t="str">
        <f t="shared" si="109"/>
        <v>Stable Earnings</v>
      </c>
      <c r="N1173" s="2" t="str">
        <f t="shared" si="110"/>
        <v>Moderate</v>
      </c>
      <c r="O1173" s="4" t="str">
        <f t="shared" si="111"/>
        <v>Accounting Risk</v>
      </c>
      <c r="P1173" s="4" t="str">
        <f t="shared" si="112"/>
        <v>Moderate</v>
      </c>
      <c r="Q1173" s="4" t="str">
        <f t="shared" si="113"/>
        <v>Strong Long-Term Growth</v>
      </c>
    </row>
    <row r="1174" spans="1:17" x14ac:dyDescent="0.35">
      <c r="A1174" s="2" t="s">
        <v>1184</v>
      </c>
      <c r="B1174" s="2">
        <v>5</v>
      </c>
      <c r="C1174" s="2">
        <v>5629668.8200000003</v>
      </c>
      <c r="D1174" s="2">
        <v>0.4</v>
      </c>
      <c r="E1174" s="2">
        <v>12293253.439999999</v>
      </c>
      <c r="F1174" s="2">
        <v>-19945053.199999999</v>
      </c>
      <c r="G1174" s="2">
        <v>4</v>
      </c>
      <c r="H1174" s="2">
        <v>1</v>
      </c>
      <c r="I1174" s="2">
        <v>4</v>
      </c>
      <c r="J1174" s="2">
        <v>3.1</v>
      </c>
      <c r="K1174" s="2" t="s">
        <v>306</v>
      </c>
      <c r="L1174" s="2" t="str">
        <f t="shared" si="108"/>
        <v>Profitable</v>
      </c>
      <c r="M1174" s="2" t="str">
        <f t="shared" si="109"/>
        <v>Stable Earnings</v>
      </c>
      <c r="N1174" s="2" t="str">
        <f t="shared" si="110"/>
        <v>Moderate</v>
      </c>
      <c r="O1174" s="4" t="str">
        <f t="shared" si="111"/>
        <v>Accounting Risk</v>
      </c>
      <c r="P1174" s="4" t="str">
        <f t="shared" si="112"/>
        <v>Moderate</v>
      </c>
      <c r="Q1174" s="4" t="str">
        <f t="shared" si="113"/>
        <v>Strong Long-Term Growth</v>
      </c>
    </row>
    <row r="1175" spans="1:17" x14ac:dyDescent="0.35">
      <c r="A1175" s="2" t="s">
        <v>1185</v>
      </c>
      <c r="B1175" s="2">
        <v>5</v>
      </c>
      <c r="C1175" s="2">
        <v>-27718304.600000001</v>
      </c>
      <c r="D1175" s="2">
        <v>0</v>
      </c>
      <c r="E1175" s="2">
        <v>11718653.529999999</v>
      </c>
      <c r="F1175" s="2">
        <v>-18532535.399999999</v>
      </c>
      <c r="G1175" s="2">
        <v>4</v>
      </c>
      <c r="H1175" s="2">
        <v>1</v>
      </c>
      <c r="I1175" s="2">
        <v>4</v>
      </c>
      <c r="J1175" s="2">
        <v>3.1</v>
      </c>
      <c r="K1175" s="2" t="s">
        <v>306</v>
      </c>
      <c r="L1175" s="2" t="str">
        <f t="shared" si="108"/>
        <v>Loss Making</v>
      </c>
      <c r="M1175" s="2" t="str">
        <f t="shared" si="109"/>
        <v>Stable Earnings</v>
      </c>
      <c r="N1175" s="2" t="str">
        <f t="shared" si="110"/>
        <v>Moderate</v>
      </c>
      <c r="O1175" s="4" t="str">
        <f t="shared" si="111"/>
        <v>Accounting Risk</v>
      </c>
      <c r="P1175" s="4" t="str">
        <f t="shared" si="112"/>
        <v>Moderate</v>
      </c>
      <c r="Q1175" s="4" t="str">
        <f t="shared" si="113"/>
        <v>Strong Long-Term Growth</v>
      </c>
    </row>
    <row r="1176" spans="1:17" x14ac:dyDescent="0.35">
      <c r="A1176" s="2" t="s">
        <v>1186</v>
      </c>
      <c r="B1176" s="2">
        <v>5</v>
      </c>
      <c r="C1176" s="2">
        <v>-35357348.280000001</v>
      </c>
      <c r="D1176" s="2">
        <v>0</v>
      </c>
      <c r="E1176" s="2">
        <v>14156093.289999999</v>
      </c>
      <c r="F1176" s="2">
        <v>-34242636.399999999</v>
      </c>
      <c r="G1176" s="2">
        <v>4</v>
      </c>
      <c r="H1176" s="2">
        <v>1</v>
      </c>
      <c r="I1176" s="2">
        <v>4</v>
      </c>
      <c r="J1176" s="2">
        <v>3.1</v>
      </c>
      <c r="K1176" s="2" t="s">
        <v>306</v>
      </c>
      <c r="L1176" s="2" t="str">
        <f t="shared" si="108"/>
        <v>Loss Making</v>
      </c>
      <c r="M1176" s="2" t="str">
        <f t="shared" si="109"/>
        <v>Stable Earnings</v>
      </c>
      <c r="N1176" s="2" t="str">
        <f t="shared" si="110"/>
        <v>Moderate</v>
      </c>
      <c r="O1176" s="4" t="str">
        <f t="shared" si="111"/>
        <v>Accounting Risk</v>
      </c>
      <c r="P1176" s="4" t="str">
        <f t="shared" si="112"/>
        <v>Moderate</v>
      </c>
      <c r="Q1176" s="4" t="str">
        <f t="shared" si="113"/>
        <v>Strong Long-Term Growth</v>
      </c>
    </row>
    <row r="1177" spans="1:17" x14ac:dyDescent="0.35">
      <c r="A1177" s="2" t="s">
        <v>1187</v>
      </c>
      <c r="B1177" s="2">
        <v>5</v>
      </c>
      <c r="C1177" s="2">
        <v>-16038652.92</v>
      </c>
      <c r="D1177" s="2">
        <v>0.2</v>
      </c>
      <c r="E1177" s="2">
        <v>11981114.23</v>
      </c>
      <c r="F1177" s="2">
        <v>-33603402.399999999</v>
      </c>
      <c r="G1177" s="2">
        <v>4</v>
      </c>
      <c r="H1177" s="2">
        <v>1</v>
      </c>
      <c r="I1177" s="2">
        <v>4</v>
      </c>
      <c r="J1177" s="2">
        <v>3.1</v>
      </c>
      <c r="K1177" s="2" t="s">
        <v>306</v>
      </c>
      <c r="L1177" s="2" t="str">
        <f t="shared" si="108"/>
        <v>Loss Making</v>
      </c>
      <c r="M1177" s="2" t="str">
        <f t="shared" si="109"/>
        <v>Stable Earnings</v>
      </c>
      <c r="N1177" s="2" t="str">
        <f t="shared" si="110"/>
        <v>Moderate</v>
      </c>
      <c r="O1177" s="4" t="str">
        <f t="shared" si="111"/>
        <v>Accounting Risk</v>
      </c>
      <c r="P1177" s="4" t="str">
        <f t="shared" si="112"/>
        <v>Moderate</v>
      </c>
      <c r="Q1177" s="4" t="str">
        <f t="shared" si="113"/>
        <v>Strong Long-Term Growth</v>
      </c>
    </row>
    <row r="1178" spans="1:17" x14ac:dyDescent="0.35">
      <c r="A1178" s="2" t="s">
        <v>1188</v>
      </c>
      <c r="B1178" s="2">
        <v>5</v>
      </c>
      <c r="C1178" s="2">
        <v>-14600280.68</v>
      </c>
      <c r="D1178" s="2">
        <v>0.2</v>
      </c>
      <c r="E1178" s="2">
        <v>14435026.35</v>
      </c>
      <c r="F1178" s="2">
        <v>-29300857</v>
      </c>
      <c r="G1178" s="2">
        <v>4</v>
      </c>
      <c r="H1178" s="2">
        <v>1</v>
      </c>
      <c r="I1178" s="2">
        <v>4</v>
      </c>
      <c r="J1178" s="2">
        <v>3.1</v>
      </c>
      <c r="K1178" s="2" t="s">
        <v>306</v>
      </c>
      <c r="L1178" s="2" t="str">
        <f t="shared" si="108"/>
        <v>Loss Making</v>
      </c>
      <c r="M1178" s="2" t="str">
        <f t="shared" si="109"/>
        <v>Stable Earnings</v>
      </c>
      <c r="N1178" s="2" t="str">
        <f t="shared" si="110"/>
        <v>Moderate</v>
      </c>
      <c r="O1178" s="4" t="str">
        <f t="shared" si="111"/>
        <v>Accounting Risk</v>
      </c>
      <c r="P1178" s="4" t="str">
        <f t="shared" si="112"/>
        <v>Moderate</v>
      </c>
      <c r="Q1178" s="4" t="str">
        <f t="shared" si="113"/>
        <v>Strong Long-Term Growth</v>
      </c>
    </row>
    <row r="1179" spans="1:17" x14ac:dyDescent="0.35">
      <c r="A1179" s="2" t="s">
        <v>1189</v>
      </c>
      <c r="B1179" s="2">
        <v>5</v>
      </c>
      <c r="C1179" s="2">
        <v>-1534662.62</v>
      </c>
      <c r="D1179" s="2">
        <v>0.2</v>
      </c>
      <c r="E1179" s="2">
        <v>3486673.7450000001</v>
      </c>
      <c r="F1179" s="2">
        <v>-6108800.2999999998</v>
      </c>
      <c r="G1179" s="2">
        <v>4</v>
      </c>
      <c r="H1179" s="2">
        <v>1</v>
      </c>
      <c r="I1179" s="2">
        <v>4</v>
      </c>
      <c r="J1179" s="2">
        <v>3.1</v>
      </c>
      <c r="K1179" s="2" t="s">
        <v>306</v>
      </c>
      <c r="L1179" s="2" t="str">
        <f t="shared" si="108"/>
        <v>Loss Making</v>
      </c>
      <c r="M1179" s="2" t="str">
        <f t="shared" si="109"/>
        <v>Stable Earnings</v>
      </c>
      <c r="N1179" s="2" t="str">
        <f t="shared" si="110"/>
        <v>Moderate</v>
      </c>
      <c r="O1179" s="4" t="str">
        <f t="shared" si="111"/>
        <v>Accounting Risk</v>
      </c>
      <c r="P1179" s="4" t="str">
        <f t="shared" si="112"/>
        <v>Moderate</v>
      </c>
      <c r="Q1179" s="4" t="str">
        <f t="shared" si="113"/>
        <v>Strong Long-Term Growth</v>
      </c>
    </row>
    <row r="1180" spans="1:17" x14ac:dyDescent="0.35">
      <c r="A1180" s="2" t="s">
        <v>1190</v>
      </c>
      <c r="B1180" s="2">
        <v>5</v>
      </c>
      <c r="C1180" s="2">
        <v>-29609089.120000001</v>
      </c>
      <c r="D1180" s="2">
        <v>0</v>
      </c>
      <c r="E1180" s="2">
        <v>5578927.682</v>
      </c>
      <c r="F1180" s="2">
        <v>-6779905.2999999998</v>
      </c>
      <c r="G1180" s="2">
        <v>4</v>
      </c>
      <c r="H1180" s="2">
        <v>1</v>
      </c>
      <c r="I1180" s="2">
        <v>4</v>
      </c>
      <c r="J1180" s="2">
        <v>3.1</v>
      </c>
      <c r="K1180" s="2" t="s">
        <v>306</v>
      </c>
      <c r="L1180" s="2" t="str">
        <f t="shared" si="108"/>
        <v>Loss Making</v>
      </c>
      <c r="M1180" s="2" t="str">
        <f t="shared" si="109"/>
        <v>Stable Earnings</v>
      </c>
      <c r="N1180" s="2" t="str">
        <f t="shared" si="110"/>
        <v>Moderate</v>
      </c>
      <c r="O1180" s="4" t="str">
        <f t="shared" si="111"/>
        <v>Accounting Risk</v>
      </c>
      <c r="P1180" s="4" t="str">
        <f t="shared" si="112"/>
        <v>Moderate</v>
      </c>
      <c r="Q1180" s="4" t="str">
        <f t="shared" si="113"/>
        <v>Strong Long-Term Growth</v>
      </c>
    </row>
    <row r="1181" spans="1:17" x14ac:dyDescent="0.35">
      <c r="A1181" s="2" t="s">
        <v>1191</v>
      </c>
      <c r="B1181" s="2">
        <v>5</v>
      </c>
      <c r="C1181" s="2">
        <v>-2761500.18</v>
      </c>
      <c r="D1181" s="2">
        <v>0.4</v>
      </c>
      <c r="E1181" s="2">
        <v>12882733.699999999</v>
      </c>
      <c r="F1181" s="2">
        <v>-6816923.7999999998</v>
      </c>
      <c r="G1181" s="2">
        <v>4</v>
      </c>
      <c r="H1181" s="2">
        <v>1</v>
      </c>
      <c r="I1181" s="2">
        <v>4</v>
      </c>
      <c r="J1181" s="2">
        <v>3.1</v>
      </c>
      <c r="K1181" s="2" t="s">
        <v>306</v>
      </c>
      <c r="L1181" s="2" t="str">
        <f t="shared" si="108"/>
        <v>Loss Making</v>
      </c>
      <c r="M1181" s="2" t="str">
        <f t="shared" si="109"/>
        <v>Stable Earnings</v>
      </c>
      <c r="N1181" s="2" t="str">
        <f t="shared" si="110"/>
        <v>Moderate</v>
      </c>
      <c r="O1181" s="4" t="str">
        <f t="shared" si="111"/>
        <v>Accounting Risk</v>
      </c>
      <c r="P1181" s="4" t="str">
        <f t="shared" si="112"/>
        <v>Moderate</v>
      </c>
      <c r="Q1181" s="4" t="str">
        <f t="shared" si="113"/>
        <v>Strong Long-Term Growth</v>
      </c>
    </row>
    <row r="1182" spans="1:17" x14ac:dyDescent="0.35">
      <c r="A1182" s="2" t="s">
        <v>1192</v>
      </c>
      <c r="B1182" s="2">
        <v>5</v>
      </c>
      <c r="C1182" s="2">
        <v>-1651318.66</v>
      </c>
      <c r="D1182" s="2">
        <v>0.2</v>
      </c>
      <c r="E1182" s="2">
        <v>2398656.176</v>
      </c>
      <c r="F1182" s="2">
        <v>-5748969.7000000002</v>
      </c>
      <c r="G1182" s="2">
        <v>4</v>
      </c>
      <c r="H1182" s="2">
        <v>1</v>
      </c>
      <c r="I1182" s="2">
        <v>4</v>
      </c>
      <c r="J1182" s="2">
        <v>3.1</v>
      </c>
      <c r="K1182" s="2" t="s">
        <v>306</v>
      </c>
      <c r="L1182" s="2" t="str">
        <f t="shared" si="108"/>
        <v>Loss Making</v>
      </c>
      <c r="M1182" s="2" t="str">
        <f t="shared" si="109"/>
        <v>Stable Earnings</v>
      </c>
      <c r="N1182" s="2" t="str">
        <f t="shared" si="110"/>
        <v>Moderate</v>
      </c>
      <c r="O1182" s="4" t="str">
        <f t="shared" si="111"/>
        <v>Accounting Risk</v>
      </c>
      <c r="P1182" s="4" t="str">
        <f t="shared" si="112"/>
        <v>Moderate</v>
      </c>
      <c r="Q1182" s="4" t="str">
        <f t="shared" si="113"/>
        <v>Strong Long-Term Growth</v>
      </c>
    </row>
    <row r="1183" spans="1:17" x14ac:dyDescent="0.35">
      <c r="A1183" s="2" t="s">
        <v>1193</v>
      </c>
      <c r="B1183" s="2">
        <v>5</v>
      </c>
      <c r="C1183" s="2">
        <v>-14805734.68</v>
      </c>
      <c r="D1183" s="2">
        <v>0</v>
      </c>
      <c r="E1183" s="2">
        <v>4675360.7659999998</v>
      </c>
      <c r="F1183" s="2">
        <v>-5677604.9000000004</v>
      </c>
      <c r="G1183" s="2">
        <v>4</v>
      </c>
      <c r="H1183" s="2">
        <v>1</v>
      </c>
      <c r="I1183" s="2">
        <v>4</v>
      </c>
      <c r="J1183" s="2">
        <v>3.1</v>
      </c>
      <c r="K1183" s="2" t="s">
        <v>306</v>
      </c>
      <c r="L1183" s="2" t="str">
        <f t="shared" si="108"/>
        <v>Loss Making</v>
      </c>
      <c r="M1183" s="2" t="str">
        <f t="shared" si="109"/>
        <v>Stable Earnings</v>
      </c>
      <c r="N1183" s="2" t="str">
        <f t="shared" si="110"/>
        <v>Moderate</v>
      </c>
      <c r="O1183" s="4" t="str">
        <f t="shared" si="111"/>
        <v>Accounting Risk</v>
      </c>
      <c r="P1183" s="4" t="str">
        <f t="shared" si="112"/>
        <v>Moderate</v>
      </c>
      <c r="Q1183" s="4" t="str">
        <f t="shared" si="113"/>
        <v>Strong Long-Term Growth</v>
      </c>
    </row>
    <row r="1184" spans="1:17" x14ac:dyDescent="0.35">
      <c r="A1184" s="2" t="s">
        <v>1194</v>
      </c>
      <c r="B1184" s="2">
        <v>5</v>
      </c>
      <c r="C1184" s="2">
        <v>-8123364.2400000002</v>
      </c>
      <c r="D1184" s="2">
        <v>0.6</v>
      </c>
      <c r="E1184" s="2">
        <v>36513750.140000001</v>
      </c>
      <c r="F1184" s="2">
        <v>-93795938.5</v>
      </c>
      <c r="G1184" s="2">
        <v>3</v>
      </c>
      <c r="H1184" s="2">
        <v>2</v>
      </c>
      <c r="I1184" s="2">
        <v>5</v>
      </c>
      <c r="J1184" s="2">
        <v>3.1</v>
      </c>
      <c r="K1184" s="2" t="s">
        <v>306</v>
      </c>
      <c r="L1184" s="2" t="str">
        <f t="shared" si="108"/>
        <v>Loss Making</v>
      </c>
      <c r="M1184" s="2" t="str">
        <f t="shared" si="109"/>
        <v>Stable Earnings</v>
      </c>
      <c r="N1184" s="2" t="str">
        <f t="shared" si="110"/>
        <v>Low Quality</v>
      </c>
      <c r="O1184" s="4" t="str">
        <f t="shared" si="111"/>
        <v>Accounting Risk</v>
      </c>
      <c r="P1184" s="4" t="str">
        <f t="shared" si="112"/>
        <v>Low Quality</v>
      </c>
      <c r="Q1184" s="4" t="str">
        <f t="shared" si="113"/>
        <v>Strong Long-Term Growth</v>
      </c>
    </row>
    <row r="1185" spans="1:17" x14ac:dyDescent="0.35">
      <c r="A1185" s="2" t="s">
        <v>1195</v>
      </c>
      <c r="B1185" s="2">
        <v>5</v>
      </c>
      <c r="C1185" s="2">
        <v>27617679.34</v>
      </c>
      <c r="D1185" s="2">
        <v>0.8</v>
      </c>
      <c r="E1185" s="2">
        <v>42154935.32</v>
      </c>
      <c r="F1185" s="2">
        <v>-78693238.400000006</v>
      </c>
      <c r="G1185" s="2">
        <v>3</v>
      </c>
      <c r="H1185" s="2">
        <v>2</v>
      </c>
      <c r="I1185" s="2">
        <v>5</v>
      </c>
      <c r="J1185" s="2">
        <v>3.1</v>
      </c>
      <c r="K1185" s="2" t="s">
        <v>306</v>
      </c>
      <c r="L1185" s="2" t="str">
        <f t="shared" si="108"/>
        <v>Profitable</v>
      </c>
      <c r="M1185" s="2" t="str">
        <f t="shared" si="109"/>
        <v>Stable Earnings</v>
      </c>
      <c r="N1185" s="2" t="str">
        <f t="shared" si="110"/>
        <v>Low Quality</v>
      </c>
      <c r="O1185" s="4" t="str">
        <f t="shared" si="111"/>
        <v>Accounting Risk</v>
      </c>
      <c r="P1185" s="4" t="str">
        <f t="shared" si="112"/>
        <v>Low Quality</v>
      </c>
      <c r="Q1185" s="4" t="str">
        <f t="shared" si="113"/>
        <v>Strong Long-Term Growth</v>
      </c>
    </row>
    <row r="1186" spans="1:17" x14ac:dyDescent="0.35">
      <c r="A1186" s="2" t="s">
        <v>1196</v>
      </c>
      <c r="B1186" s="2">
        <v>5</v>
      </c>
      <c r="C1186" s="2">
        <v>-14074736.279999999</v>
      </c>
      <c r="D1186" s="2">
        <v>0.2</v>
      </c>
      <c r="E1186" s="2">
        <v>15143419.25</v>
      </c>
      <c r="F1186" s="2">
        <v>-39049481.799999997</v>
      </c>
      <c r="G1186" s="2">
        <v>4</v>
      </c>
      <c r="H1186" s="2">
        <v>1</v>
      </c>
      <c r="I1186" s="2">
        <v>4</v>
      </c>
      <c r="J1186" s="2">
        <v>3.1</v>
      </c>
      <c r="K1186" s="2" t="s">
        <v>306</v>
      </c>
      <c r="L1186" s="2" t="str">
        <f t="shared" si="108"/>
        <v>Loss Making</v>
      </c>
      <c r="M1186" s="2" t="str">
        <f t="shared" si="109"/>
        <v>Stable Earnings</v>
      </c>
      <c r="N1186" s="2" t="str">
        <f t="shared" si="110"/>
        <v>Moderate</v>
      </c>
      <c r="O1186" s="4" t="str">
        <f t="shared" si="111"/>
        <v>Accounting Risk</v>
      </c>
      <c r="P1186" s="4" t="str">
        <f t="shared" si="112"/>
        <v>Moderate</v>
      </c>
      <c r="Q1186" s="4" t="str">
        <f t="shared" si="113"/>
        <v>Strong Long-Term Growth</v>
      </c>
    </row>
    <row r="1187" spans="1:17" x14ac:dyDescent="0.35">
      <c r="A1187" s="2" t="s">
        <v>1197</v>
      </c>
      <c r="B1187" s="2">
        <v>5</v>
      </c>
      <c r="C1187" s="2">
        <v>119477255.3</v>
      </c>
      <c r="D1187" s="2">
        <v>0.8</v>
      </c>
      <c r="E1187" s="2">
        <v>188550300.5</v>
      </c>
      <c r="F1187" s="2">
        <v>-67700593.299999997</v>
      </c>
      <c r="G1187" s="2">
        <v>2</v>
      </c>
      <c r="H1187" s="2">
        <v>4</v>
      </c>
      <c r="I1187" s="2">
        <v>4</v>
      </c>
      <c r="J1187" s="2">
        <v>3</v>
      </c>
      <c r="K1187" s="2" t="s">
        <v>306</v>
      </c>
      <c r="L1187" s="2" t="str">
        <f t="shared" si="108"/>
        <v>Profitable</v>
      </c>
      <c r="M1187" s="2" t="str">
        <f t="shared" si="109"/>
        <v>Stable Earnings</v>
      </c>
      <c r="N1187" s="2" t="str">
        <f t="shared" si="110"/>
        <v>Low Quality</v>
      </c>
      <c r="O1187" s="4" t="str">
        <f t="shared" si="111"/>
        <v>Accounting Risk</v>
      </c>
      <c r="P1187" s="4" t="str">
        <f t="shared" si="112"/>
        <v>Low Quality</v>
      </c>
      <c r="Q1187" s="4" t="str">
        <f t="shared" si="113"/>
        <v>Strong Long-Term Growth</v>
      </c>
    </row>
    <row r="1188" spans="1:17" x14ac:dyDescent="0.35">
      <c r="A1188" s="2" t="s">
        <v>1198</v>
      </c>
      <c r="B1188" s="2">
        <v>5</v>
      </c>
      <c r="C1188" s="2">
        <v>215225936.90000001</v>
      </c>
      <c r="D1188" s="2">
        <v>1</v>
      </c>
      <c r="E1188" s="2">
        <v>304121157.80000001</v>
      </c>
      <c r="F1188" s="2">
        <v>-72086265.700000003</v>
      </c>
      <c r="G1188" s="2">
        <v>2</v>
      </c>
      <c r="H1188" s="2">
        <v>4</v>
      </c>
      <c r="I1188" s="2">
        <v>4</v>
      </c>
      <c r="J1188" s="2">
        <v>3</v>
      </c>
      <c r="K1188" s="2" t="s">
        <v>306</v>
      </c>
      <c r="L1188" s="2" t="str">
        <f t="shared" si="108"/>
        <v>Profitable</v>
      </c>
      <c r="M1188" s="2" t="str">
        <f t="shared" si="109"/>
        <v>Stable Earnings</v>
      </c>
      <c r="N1188" s="2" t="str">
        <f t="shared" si="110"/>
        <v>Low Quality</v>
      </c>
      <c r="O1188" s="4" t="str">
        <f t="shared" si="111"/>
        <v>Accounting Risk</v>
      </c>
      <c r="P1188" s="4" t="str">
        <f t="shared" si="112"/>
        <v>Low Quality</v>
      </c>
      <c r="Q1188" s="4" t="str">
        <f t="shared" si="113"/>
        <v>Strong Long-Term Growth</v>
      </c>
    </row>
    <row r="1189" spans="1:17" x14ac:dyDescent="0.35">
      <c r="A1189" s="2" t="s">
        <v>1199</v>
      </c>
      <c r="B1189" s="2">
        <v>5</v>
      </c>
      <c r="C1189" s="2">
        <v>2253121042</v>
      </c>
      <c r="D1189" s="2">
        <v>1</v>
      </c>
      <c r="E1189" s="2">
        <v>337100785</v>
      </c>
      <c r="F1189" s="2">
        <v>-81877050</v>
      </c>
      <c r="G1189" s="2">
        <v>1</v>
      </c>
      <c r="H1189" s="2">
        <v>5</v>
      </c>
      <c r="I1189" s="2">
        <v>5</v>
      </c>
      <c r="J1189" s="2">
        <v>3</v>
      </c>
      <c r="K1189" s="2" t="s">
        <v>306</v>
      </c>
      <c r="L1189" s="2" t="str">
        <f t="shared" si="108"/>
        <v>Profitable</v>
      </c>
      <c r="M1189" s="2" t="str">
        <f t="shared" si="109"/>
        <v>High Volatility</v>
      </c>
      <c r="N1189" s="2" t="str">
        <f t="shared" si="110"/>
        <v>Low Quality</v>
      </c>
      <c r="O1189" s="4" t="str">
        <f t="shared" si="111"/>
        <v>Accounting Risk</v>
      </c>
      <c r="P1189" s="4" t="str">
        <f t="shared" si="112"/>
        <v>Low Quality</v>
      </c>
      <c r="Q1189" s="4" t="str">
        <f t="shared" si="113"/>
        <v>Strong Long-Term Growth</v>
      </c>
    </row>
    <row r="1190" spans="1:17" x14ac:dyDescent="0.35">
      <c r="A1190" s="2" t="s">
        <v>1200</v>
      </c>
      <c r="B1190" s="2">
        <v>5</v>
      </c>
      <c r="C1190" s="2">
        <v>485183210.60000002</v>
      </c>
      <c r="D1190" s="2">
        <v>1</v>
      </c>
      <c r="E1190" s="2">
        <v>145228917.69999999</v>
      </c>
      <c r="F1190" s="2">
        <v>-72524558.599999994</v>
      </c>
      <c r="G1190" s="2">
        <v>2</v>
      </c>
      <c r="H1190" s="2">
        <v>4</v>
      </c>
      <c r="I1190" s="2">
        <v>4</v>
      </c>
      <c r="J1190" s="2">
        <v>3</v>
      </c>
      <c r="K1190" s="2" t="s">
        <v>306</v>
      </c>
      <c r="L1190" s="2" t="str">
        <f t="shared" si="108"/>
        <v>Profitable</v>
      </c>
      <c r="M1190" s="2" t="str">
        <f t="shared" si="109"/>
        <v>Stable Earnings</v>
      </c>
      <c r="N1190" s="2" t="str">
        <f t="shared" si="110"/>
        <v>Low Quality</v>
      </c>
      <c r="O1190" s="4" t="str">
        <f t="shared" si="111"/>
        <v>Accounting Risk</v>
      </c>
      <c r="P1190" s="4" t="str">
        <f t="shared" si="112"/>
        <v>Low Quality</v>
      </c>
      <c r="Q1190" s="4" t="str">
        <f t="shared" si="113"/>
        <v>Strong Long-Term Growth</v>
      </c>
    </row>
    <row r="1191" spans="1:17" x14ac:dyDescent="0.35">
      <c r="A1191" s="2" t="s">
        <v>1201</v>
      </c>
      <c r="B1191" s="2">
        <v>5</v>
      </c>
      <c r="C1191" s="2">
        <v>370982918.89999998</v>
      </c>
      <c r="D1191" s="2">
        <v>1</v>
      </c>
      <c r="E1191" s="2">
        <v>384102058</v>
      </c>
      <c r="F1191" s="2">
        <v>-92647037.099999994</v>
      </c>
      <c r="G1191" s="2">
        <v>1</v>
      </c>
      <c r="H1191" s="2">
        <v>5</v>
      </c>
      <c r="I1191" s="2">
        <v>5</v>
      </c>
      <c r="J1191" s="2">
        <v>3</v>
      </c>
      <c r="K1191" s="2" t="s">
        <v>306</v>
      </c>
      <c r="L1191" s="2" t="str">
        <f t="shared" si="108"/>
        <v>Profitable</v>
      </c>
      <c r="M1191" s="2" t="str">
        <f t="shared" si="109"/>
        <v>Stable Earnings</v>
      </c>
      <c r="N1191" s="2" t="str">
        <f t="shared" si="110"/>
        <v>Low Quality</v>
      </c>
      <c r="O1191" s="4" t="str">
        <f t="shared" si="111"/>
        <v>Accounting Risk</v>
      </c>
      <c r="P1191" s="4" t="str">
        <f t="shared" si="112"/>
        <v>Low Quality</v>
      </c>
      <c r="Q1191" s="4" t="str">
        <f t="shared" si="113"/>
        <v>Strong Long-Term Growth</v>
      </c>
    </row>
    <row r="1192" spans="1:17" x14ac:dyDescent="0.35">
      <c r="A1192" s="2" t="s">
        <v>1202</v>
      </c>
      <c r="B1192" s="2">
        <v>5</v>
      </c>
      <c r="C1192" s="2">
        <v>3859433665</v>
      </c>
      <c r="D1192" s="2">
        <v>1</v>
      </c>
      <c r="E1192" s="2">
        <v>1658581010</v>
      </c>
      <c r="F1192" s="2">
        <v>-108437299</v>
      </c>
      <c r="G1192" s="2">
        <v>1</v>
      </c>
      <c r="H1192" s="2">
        <v>5</v>
      </c>
      <c r="I1192" s="2">
        <v>5</v>
      </c>
      <c r="J1192" s="2">
        <v>3</v>
      </c>
      <c r="K1192" s="2" t="s">
        <v>306</v>
      </c>
      <c r="L1192" s="2" t="str">
        <f t="shared" si="108"/>
        <v>Profitable</v>
      </c>
      <c r="M1192" s="2" t="str">
        <f t="shared" si="109"/>
        <v>High Volatility</v>
      </c>
      <c r="N1192" s="2" t="str">
        <f t="shared" si="110"/>
        <v>Low Quality</v>
      </c>
      <c r="O1192" s="4" t="str">
        <f t="shared" si="111"/>
        <v>Accounting Risk</v>
      </c>
      <c r="P1192" s="4" t="str">
        <f t="shared" si="112"/>
        <v>Low Quality</v>
      </c>
      <c r="Q1192" s="4" t="str">
        <f t="shared" si="113"/>
        <v>Strong Long-Term Growth</v>
      </c>
    </row>
    <row r="1193" spans="1:17" x14ac:dyDescent="0.35">
      <c r="A1193" s="2" t="s">
        <v>1203</v>
      </c>
      <c r="B1193" s="2">
        <v>5</v>
      </c>
      <c r="C1193" s="2">
        <v>2178803922</v>
      </c>
      <c r="D1193" s="2">
        <v>1</v>
      </c>
      <c r="E1193" s="2">
        <v>414149838.30000001</v>
      </c>
      <c r="F1193" s="2">
        <v>-495160758</v>
      </c>
      <c r="G1193" s="2">
        <v>1</v>
      </c>
      <c r="H1193" s="2">
        <v>5</v>
      </c>
      <c r="I1193" s="2">
        <v>5</v>
      </c>
      <c r="J1193" s="2">
        <v>3</v>
      </c>
      <c r="K1193" s="2" t="s">
        <v>306</v>
      </c>
      <c r="L1193" s="2" t="str">
        <f t="shared" si="108"/>
        <v>Profitable</v>
      </c>
      <c r="M1193" s="2" t="str">
        <f t="shared" si="109"/>
        <v>High Volatility</v>
      </c>
      <c r="N1193" s="2" t="str">
        <f t="shared" si="110"/>
        <v>Low Quality</v>
      </c>
      <c r="O1193" s="4" t="str">
        <f t="shared" si="111"/>
        <v>Accounting Risk</v>
      </c>
      <c r="P1193" s="4" t="str">
        <f t="shared" si="112"/>
        <v>Low Quality</v>
      </c>
      <c r="Q1193" s="4" t="str">
        <f t="shared" si="113"/>
        <v>Strong Long-Term Growth</v>
      </c>
    </row>
    <row r="1194" spans="1:17" x14ac:dyDescent="0.35">
      <c r="A1194" s="2" t="s">
        <v>1204</v>
      </c>
      <c r="B1194" s="2">
        <v>5</v>
      </c>
      <c r="C1194" s="2">
        <v>655119354.39999998</v>
      </c>
      <c r="D1194" s="2">
        <v>1</v>
      </c>
      <c r="E1194" s="2">
        <v>419159724.89999998</v>
      </c>
      <c r="F1194" s="2">
        <v>-464662923.5</v>
      </c>
      <c r="G1194" s="2">
        <v>1</v>
      </c>
      <c r="H1194" s="2">
        <v>5</v>
      </c>
      <c r="I1194" s="2">
        <v>5</v>
      </c>
      <c r="J1194" s="2">
        <v>3</v>
      </c>
      <c r="K1194" s="2" t="s">
        <v>306</v>
      </c>
      <c r="L1194" s="2" t="str">
        <f t="shared" si="108"/>
        <v>Profitable</v>
      </c>
      <c r="M1194" s="2" t="str">
        <f t="shared" si="109"/>
        <v>High Volatility</v>
      </c>
      <c r="N1194" s="2" t="str">
        <f t="shared" si="110"/>
        <v>Low Quality</v>
      </c>
      <c r="O1194" s="4" t="str">
        <f t="shared" si="111"/>
        <v>Accounting Risk</v>
      </c>
      <c r="P1194" s="4" t="str">
        <f t="shared" si="112"/>
        <v>Low Quality</v>
      </c>
      <c r="Q1194" s="4" t="str">
        <f t="shared" si="113"/>
        <v>Strong Long-Term Growth</v>
      </c>
    </row>
    <row r="1195" spans="1:17" x14ac:dyDescent="0.35">
      <c r="A1195" s="2" t="s">
        <v>1205</v>
      </c>
      <c r="B1195" s="2">
        <v>5</v>
      </c>
      <c r="C1195" s="2">
        <v>2414033148</v>
      </c>
      <c r="D1195" s="2">
        <v>1</v>
      </c>
      <c r="E1195" s="2">
        <v>1883482073</v>
      </c>
      <c r="F1195" s="2">
        <v>-735901824</v>
      </c>
      <c r="G1195" s="2">
        <v>1</v>
      </c>
      <c r="H1195" s="2">
        <v>5</v>
      </c>
      <c r="I1195" s="2">
        <v>5</v>
      </c>
      <c r="J1195" s="2">
        <v>3</v>
      </c>
      <c r="K1195" s="2" t="s">
        <v>306</v>
      </c>
      <c r="L1195" s="2" t="str">
        <f t="shared" si="108"/>
        <v>Profitable</v>
      </c>
      <c r="M1195" s="2" t="str">
        <f t="shared" si="109"/>
        <v>High Volatility</v>
      </c>
      <c r="N1195" s="2" t="str">
        <f t="shared" si="110"/>
        <v>Low Quality</v>
      </c>
      <c r="O1195" s="4" t="str">
        <f t="shared" si="111"/>
        <v>Accounting Risk</v>
      </c>
      <c r="P1195" s="4" t="str">
        <f t="shared" si="112"/>
        <v>Low Quality</v>
      </c>
      <c r="Q1195" s="4" t="str">
        <f t="shared" si="113"/>
        <v>Strong Long-Term Growth</v>
      </c>
    </row>
    <row r="1196" spans="1:17" x14ac:dyDescent="0.35">
      <c r="A1196" s="2" t="s">
        <v>1206</v>
      </c>
      <c r="B1196" s="2">
        <v>5</v>
      </c>
      <c r="C1196" s="2">
        <v>2191905700</v>
      </c>
      <c r="D1196" s="2">
        <v>1</v>
      </c>
      <c r="E1196" s="2">
        <v>868143714.60000002</v>
      </c>
      <c r="F1196" s="2">
        <v>-814113998</v>
      </c>
      <c r="G1196" s="2">
        <v>1</v>
      </c>
      <c r="H1196" s="2">
        <v>5</v>
      </c>
      <c r="I1196" s="2">
        <v>5</v>
      </c>
      <c r="J1196" s="2">
        <v>3</v>
      </c>
      <c r="K1196" s="2" t="s">
        <v>306</v>
      </c>
      <c r="L1196" s="2" t="str">
        <f t="shared" si="108"/>
        <v>Profitable</v>
      </c>
      <c r="M1196" s="2" t="str">
        <f t="shared" si="109"/>
        <v>High Volatility</v>
      </c>
      <c r="N1196" s="2" t="str">
        <f t="shared" si="110"/>
        <v>Low Quality</v>
      </c>
      <c r="O1196" s="4" t="str">
        <f t="shared" si="111"/>
        <v>Accounting Risk</v>
      </c>
      <c r="P1196" s="4" t="str">
        <f t="shared" si="112"/>
        <v>Low Quality</v>
      </c>
      <c r="Q1196" s="4" t="str">
        <f t="shared" si="113"/>
        <v>Strong Long-Term Growth</v>
      </c>
    </row>
    <row r="1197" spans="1:17" x14ac:dyDescent="0.35">
      <c r="A1197" s="2" t="s">
        <v>1207</v>
      </c>
      <c r="B1197" s="2">
        <v>5</v>
      </c>
      <c r="C1197" s="2">
        <v>2641921146</v>
      </c>
      <c r="D1197" s="2">
        <v>1</v>
      </c>
      <c r="E1197" s="2">
        <v>2000420260</v>
      </c>
      <c r="F1197" s="2">
        <v>-817254646</v>
      </c>
      <c r="G1197" s="2">
        <v>1</v>
      </c>
      <c r="H1197" s="2">
        <v>5</v>
      </c>
      <c r="I1197" s="2">
        <v>5</v>
      </c>
      <c r="J1197" s="2">
        <v>3</v>
      </c>
      <c r="K1197" s="2" t="s">
        <v>306</v>
      </c>
      <c r="L1197" s="2" t="str">
        <f t="shared" si="108"/>
        <v>Profitable</v>
      </c>
      <c r="M1197" s="2" t="str">
        <f t="shared" si="109"/>
        <v>High Volatility</v>
      </c>
      <c r="N1197" s="2" t="str">
        <f t="shared" si="110"/>
        <v>Low Quality</v>
      </c>
      <c r="O1197" s="4" t="str">
        <f t="shared" si="111"/>
        <v>Accounting Risk</v>
      </c>
      <c r="P1197" s="4" t="str">
        <f t="shared" si="112"/>
        <v>Low Quality</v>
      </c>
      <c r="Q1197" s="4" t="str">
        <f t="shared" si="113"/>
        <v>Strong Long-Term Growth</v>
      </c>
    </row>
    <row r="1198" spans="1:17" x14ac:dyDescent="0.35">
      <c r="A1198" s="2" t="s">
        <v>1208</v>
      </c>
      <c r="B1198" s="2">
        <v>5</v>
      </c>
      <c r="C1198" s="2">
        <v>1785125745</v>
      </c>
      <c r="D1198" s="2">
        <v>1</v>
      </c>
      <c r="E1198" s="2">
        <v>942475566.79999995</v>
      </c>
      <c r="F1198" s="2">
        <v>-694523541</v>
      </c>
      <c r="G1198" s="2">
        <v>1</v>
      </c>
      <c r="H1198" s="2">
        <v>5</v>
      </c>
      <c r="I1198" s="2">
        <v>5</v>
      </c>
      <c r="J1198" s="2">
        <v>3</v>
      </c>
      <c r="K1198" s="2" t="s">
        <v>306</v>
      </c>
      <c r="L1198" s="2" t="str">
        <f t="shared" si="108"/>
        <v>Profitable</v>
      </c>
      <c r="M1198" s="2" t="str">
        <f t="shared" si="109"/>
        <v>High Volatility</v>
      </c>
      <c r="N1198" s="2" t="str">
        <f t="shared" si="110"/>
        <v>Low Quality</v>
      </c>
      <c r="O1198" s="4" t="str">
        <f t="shared" si="111"/>
        <v>Accounting Risk</v>
      </c>
      <c r="P1198" s="4" t="str">
        <f t="shared" si="112"/>
        <v>Low Quality</v>
      </c>
      <c r="Q1198" s="4" t="str">
        <f t="shared" si="113"/>
        <v>Strong Long-Term Growth</v>
      </c>
    </row>
    <row r="1199" spans="1:17" x14ac:dyDescent="0.35">
      <c r="A1199" s="2" t="s">
        <v>1209</v>
      </c>
      <c r="B1199" s="2">
        <v>5</v>
      </c>
      <c r="C1199" s="2">
        <v>1032159466</v>
      </c>
      <c r="D1199" s="2">
        <v>1</v>
      </c>
      <c r="E1199" s="2">
        <v>625995613.70000005</v>
      </c>
      <c r="F1199" s="2">
        <v>-888502997.10000002</v>
      </c>
      <c r="G1199" s="2">
        <v>1</v>
      </c>
      <c r="H1199" s="2">
        <v>5</v>
      </c>
      <c r="I1199" s="2">
        <v>5</v>
      </c>
      <c r="J1199" s="2">
        <v>3</v>
      </c>
      <c r="K1199" s="2" t="s">
        <v>306</v>
      </c>
      <c r="L1199" s="2" t="str">
        <f t="shared" si="108"/>
        <v>Profitable</v>
      </c>
      <c r="M1199" s="2" t="str">
        <f t="shared" si="109"/>
        <v>High Volatility</v>
      </c>
      <c r="N1199" s="2" t="str">
        <f t="shared" si="110"/>
        <v>Low Quality</v>
      </c>
      <c r="O1199" s="4" t="str">
        <f t="shared" si="111"/>
        <v>Accounting Risk</v>
      </c>
      <c r="P1199" s="4" t="str">
        <f t="shared" si="112"/>
        <v>Low Quality</v>
      </c>
      <c r="Q1199" s="4" t="str">
        <f t="shared" si="113"/>
        <v>Strong Long-Term Growth</v>
      </c>
    </row>
    <row r="1200" spans="1:17" x14ac:dyDescent="0.35">
      <c r="A1200" s="2" t="s">
        <v>1210</v>
      </c>
      <c r="B1200" s="2">
        <v>5</v>
      </c>
      <c r="C1200" s="2">
        <v>2891199138</v>
      </c>
      <c r="D1200" s="2">
        <v>1</v>
      </c>
      <c r="E1200" s="2">
        <v>1034450939</v>
      </c>
      <c r="F1200" s="2">
        <v>-1005635394</v>
      </c>
      <c r="G1200" s="2">
        <v>1</v>
      </c>
      <c r="H1200" s="2">
        <v>5</v>
      </c>
      <c r="I1200" s="2">
        <v>5</v>
      </c>
      <c r="J1200" s="2">
        <v>3</v>
      </c>
      <c r="K1200" s="2" t="s">
        <v>306</v>
      </c>
      <c r="L1200" s="2" t="str">
        <f t="shared" si="108"/>
        <v>Profitable</v>
      </c>
      <c r="M1200" s="2" t="str">
        <f t="shared" si="109"/>
        <v>High Volatility</v>
      </c>
      <c r="N1200" s="2" t="str">
        <f t="shared" si="110"/>
        <v>Low Quality</v>
      </c>
      <c r="O1200" s="4" t="str">
        <f t="shared" si="111"/>
        <v>Accounting Risk</v>
      </c>
      <c r="P1200" s="4" t="str">
        <f t="shared" si="112"/>
        <v>Low Quality</v>
      </c>
      <c r="Q1200" s="4" t="str">
        <f t="shared" si="113"/>
        <v>Strong Long-Term Growth</v>
      </c>
    </row>
    <row r="1201" spans="1:17" x14ac:dyDescent="0.35">
      <c r="A1201" s="2" t="s">
        <v>1211</v>
      </c>
      <c r="B1201" s="2">
        <v>5</v>
      </c>
      <c r="C1201" s="2">
        <v>1066519647</v>
      </c>
      <c r="D1201" s="2">
        <v>1</v>
      </c>
      <c r="E1201" s="2">
        <v>594368653.60000002</v>
      </c>
      <c r="F1201" s="2">
        <v>-356655817.80000001</v>
      </c>
      <c r="G1201" s="2">
        <v>1</v>
      </c>
      <c r="H1201" s="2">
        <v>5</v>
      </c>
      <c r="I1201" s="2">
        <v>5</v>
      </c>
      <c r="J1201" s="2">
        <v>3</v>
      </c>
      <c r="K1201" s="2" t="s">
        <v>306</v>
      </c>
      <c r="L1201" s="2" t="str">
        <f t="shared" si="108"/>
        <v>Profitable</v>
      </c>
      <c r="M1201" s="2" t="str">
        <f t="shared" si="109"/>
        <v>High Volatility</v>
      </c>
      <c r="N1201" s="2" t="str">
        <f t="shared" si="110"/>
        <v>Low Quality</v>
      </c>
      <c r="O1201" s="4" t="str">
        <f t="shared" si="111"/>
        <v>Accounting Risk</v>
      </c>
      <c r="P1201" s="4" t="str">
        <f t="shared" si="112"/>
        <v>Low Quality</v>
      </c>
      <c r="Q1201" s="4" t="str">
        <f t="shared" si="113"/>
        <v>Strong Long-Term Growth</v>
      </c>
    </row>
    <row r="1202" spans="1:17" x14ac:dyDescent="0.35">
      <c r="A1202" s="2" t="s">
        <v>1212</v>
      </c>
      <c r="B1202" s="2">
        <v>5</v>
      </c>
      <c r="C1202" s="2">
        <v>1307346668</v>
      </c>
      <c r="D1202" s="2">
        <v>1</v>
      </c>
      <c r="E1202" s="2">
        <v>788361857</v>
      </c>
      <c r="F1202" s="2">
        <v>-370021339.5</v>
      </c>
      <c r="G1202" s="2">
        <v>1</v>
      </c>
      <c r="H1202" s="2">
        <v>5</v>
      </c>
      <c r="I1202" s="2">
        <v>5</v>
      </c>
      <c r="J1202" s="2">
        <v>3</v>
      </c>
      <c r="K1202" s="2" t="s">
        <v>306</v>
      </c>
      <c r="L1202" s="2" t="str">
        <f t="shared" si="108"/>
        <v>Profitable</v>
      </c>
      <c r="M1202" s="2" t="str">
        <f t="shared" si="109"/>
        <v>High Volatility</v>
      </c>
      <c r="N1202" s="2" t="str">
        <f t="shared" si="110"/>
        <v>Low Quality</v>
      </c>
      <c r="O1202" s="4" t="str">
        <f t="shared" si="111"/>
        <v>Accounting Risk</v>
      </c>
      <c r="P1202" s="4" t="str">
        <f t="shared" si="112"/>
        <v>Low Quality</v>
      </c>
      <c r="Q1202" s="4" t="str">
        <f t="shared" si="113"/>
        <v>Strong Long-Term Growth</v>
      </c>
    </row>
    <row r="1203" spans="1:17" x14ac:dyDescent="0.35">
      <c r="A1203" s="2" t="s">
        <v>1213</v>
      </c>
      <c r="B1203" s="2">
        <v>5</v>
      </c>
      <c r="C1203" s="2">
        <v>1434733548</v>
      </c>
      <c r="D1203" s="2">
        <v>1</v>
      </c>
      <c r="E1203" s="2">
        <v>480890546.80000001</v>
      </c>
      <c r="F1203" s="2">
        <v>-377029945</v>
      </c>
      <c r="G1203" s="2">
        <v>1</v>
      </c>
      <c r="H1203" s="2">
        <v>5</v>
      </c>
      <c r="I1203" s="2">
        <v>5</v>
      </c>
      <c r="J1203" s="2">
        <v>3</v>
      </c>
      <c r="K1203" s="2" t="s">
        <v>306</v>
      </c>
      <c r="L1203" s="2" t="str">
        <f t="shared" si="108"/>
        <v>Profitable</v>
      </c>
      <c r="M1203" s="2" t="str">
        <f t="shared" si="109"/>
        <v>High Volatility</v>
      </c>
      <c r="N1203" s="2" t="str">
        <f t="shared" si="110"/>
        <v>Low Quality</v>
      </c>
      <c r="O1203" s="4" t="str">
        <f t="shared" si="111"/>
        <v>Accounting Risk</v>
      </c>
      <c r="P1203" s="4" t="str">
        <f t="shared" si="112"/>
        <v>Low Quality</v>
      </c>
      <c r="Q1203" s="4" t="str">
        <f t="shared" si="113"/>
        <v>Strong Long-Term Growth</v>
      </c>
    </row>
    <row r="1204" spans="1:17" x14ac:dyDescent="0.35">
      <c r="A1204" s="2" t="s">
        <v>1214</v>
      </c>
      <c r="B1204" s="2">
        <v>5</v>
      </c>
      <c r="C1204" s="2">
        <v>1715631214</v>
      </c>
      <c r="D1204" s="2">
        <v>1</v>
      </c>
      <c r="E1204" s="2">
        <v>419505478.19999999</v>
      </c>
      <c r="F1204" s="2">
        <v>-311573063</v>
      </c>
      <c r="G1204" s="2">
        <v>1</v>
      </c>
      <c r="H1204" s="2">
        <v>5</v>
      </c>
      <c r="I1204" s="2">
        <v>5</v>
      </c>
      <c r="J1204" s="2">
        <v>3</v>
      </c>
      <c r="K1204" s="2" t="s">
        <v>306</v>
      </c>
      <c r="L1204" s="2" t="str">
        <f t="shared" si="108"/>
        <v>Profitable</v>
      </c>
      <c r="M1204" s="2" t="str">
        <f t="shared" si="109"/>
        <v>High Volatility</v>
      </c>
      <c r="N1204" s="2" t="str">
        <f t="shared" si="110"/>
        <v>Low Quality</v>
      </c>
      <c r="O1204" s="4" t="str">
        <f t="shared" si="111"/>
        <v>Accounting Risk</v>
      </c>
      <c r="P1204" s="4" t="str">
        <f t="shared" si="112"/>
        <v>Low Quality</v>
      </c>
      <c r="Q1204" s="4" t="str">
        <f t="shared" si="113"/>
        <v>Strong Long-Term Growth</v>
      </c>
    </row>
    <row r="1205" spans="1:17" x14ac:dyDescent="0.35">
      <c r="A1205" s="2" t="s">
        <v>1215</v>
      </c>
      <c r="B1205" s="2">
        <v>5</v>
      </c>
      <c r="C1205" s="2">
        <v>1257454492</v>
      </c>
      <c r="D1205" s="2">
        <v>1</v>
      </c>
      <c r="E1205" s="2">
        <v>405603426.39999998</v>
      </c>
      <c r="F1205" s="2">
        <v>-316363167.39999998</v>
      </c>
      <c r="G1205" s="2">
        <v>1</v>
      </c>
      <c r="H1205" s="2">
        <v>5</v>
      </c>
      <c r="I1205" s="2">
        <v>5</v>
      </c>
      <c r="J1205" s="2">
        <v>3</v>
      </c>
      <c r="K1205" s="2" t="s">
        <v>306</v>
      </c>
      <c r="L1205" s="2" t="str">
        <f t="shared" si="108"/>
        <v>Profitable</v>
      </c>
      <c r="M1205" s="2" t="str">
        <f t="shared" si="109"/>
        <v>High Volatility</v>
      </c>
      <c r="N1205" s="2" t="str">
        <f t="shared" si="110"/>
        <v>Low Quality</v>
      </c>
      <c r="O1205" s="4" t="str">
        <f t="shared" si="111"/>
        <v>Accounting Risk</v>
      </c>
      <c r="P1205" s="4" t="str">
        <f t="shared" si="112"/>
        <v>Low Quality</v>
      </c>
      <c r="Q1205" s="4" t="str">
        <f t="shared" si="113"/>
        <v>Strong Long-Term Growth</v>
      </c>
    </row>
    <row r="1206" spans="1:17" x14ac:dyDescent="0.35">
      <c r="A1206" s="2" t="s">
        <v>1216</v>
      </c>
      <c r="B1206" s="2">
        <v>5</v>
      </c>
      <c r="C1206" s="2">
        <v>882354602.10000002</v>
      </c>
      <c r="D1206" s="2">
        <v>1</v>
      </c>
      <c r="E1206" s="2">
        <v>1216483966</v>
      </c>
      <c r="F1206" s="2">
        <v>-194985658.59999999</v>
      </c>
      <c r="G1206" s="2">
        <v>1</v>
      </c>
      <c r="H1206" s="2">
        <v>5</v>
      </c>
      <c r="I1206" s="2">
        <v>5</v>
      </c>
      <c r="J1206" s="2">
        <v>3</v>
      </c>
      <c r="K1206" s="2" t="s">
        <v>306</v>
      </c>
      <c r="L1206" s="2" t="str">
        <f t="shared" si="108"/>
        <v>Profitable</v>
      </c>
      <c r="M1206" s="2" t="str">
        <f t="shared" si="109"/>
        <v>High Volatility</v>
      </c>
      <c r="N1206" s="2" t="str">
        <f t="shared" si="110"/>
        <v>Low Quality</v>
      </c>
      <c r="O1206" s="4" t="str">
        <f t="shared" si="111"/>
        <v>Accounting Risk</v>
      </c>
      <c r="P1206" s="4" t="str">
        <f t="shared" si="112"/>
        <v>Low Quality</v>
      </c>
      <c r="Q1206" s="4" t="str">
        <f t="shared" si="113"/>
        <v>Strong Long-Term Growth</v>
      </c>
    </row>
    <row r="1207" spans="1:17" x14ac:dyDescent="0.35">
      <c r="A1207" s="2" t="s">
        <v>1217</v>
      </c>
      <c r="B1207" s="2">
        <v>5</v>
      </c>
      <c r="C1207" s="2">
        <v>1199961505</v>
      </c>
      <c r="D1207" s="2">
        <v>1</v>
      </c>
      <c r="E1207" s="2">
        <v>411165729</v>
      </c>
      <c r="F1207" s="2">
        <v>-234431692.30000001</v>
      </c>
      <c r="G1207" s="2">
        <v>1</v>
      </c>
      <c r="H1207" s="2">
        <v>5</v>
      </c>
      <c r="I1207" s="2">
        <v>5</v>
      </c>
      <c r="J1207" s="2">
        <v>3</v>
      </c>
      <c r="K1207" s="2" t="s">
        <v>306</v>
      </c>
      <c r="L1207" s="2" t="str">
        <f t="shared" si="108"/>
        <v>Profitable</v>
      </c>
      <c r="M1207" s="2" t="str">
        <f t="shared" si="109"/>
        <v>High Volatility</v>
      </c>
      <c r="N1207" s="2" t="str">
        <f t="shared" si="110"/>
        <v>Low Quality</v>
      </c>
      <c r="O1207" s="4" t="str">
        <f t="shared" si="111"/>
        <v>Accounting Risk</v>
      </c>
      <c r="P1207" s="4" t="str">
        <f t="shared" si="112"/>
        <v>Low Quality</v>
      </c>
      <c r="Q1207" s="4" t="str">
        <f t="shared" si="113"/>
        <v>Strong Long-Term Growth</v>
      </c>
    </row>
    <row r="1208" spans="1:17" x14ac:dyDescent="0.35">
      <c r="A1208" s="2" t="s">
        <v>1218</v>
      </c>
      <c r="B1208" s="2">
        <v>5</v>
      </c>
      <c r="C1208" s="2">
        <v>38943265.039999999</v>
      </c>
      <c r="D1208" s="2">
        <v>0.6</v>
      </c>
      <c r="E1208" s="2">
        <v>52493559.299999997</v>
      </c>
      <c r="F1208" s="2">
        <v>-4804765.7</v>
      </c>
      <c r="G1208" s="2">
        <v>3</v>
      </c>
      <c r="H1208" s="2">
        <v>3</v>
      </c>
      <c r="I1208" s="2">
        <v>3</v>
      </c>
      <c r="J1208" s="2">
        <v>3</v>
      </c>
      <c r="K1208" s="2" t="s">
        <v>306</v>
      </c>
      <c r="L1208" s="2" t="str">
        <f t="shared" si="108"/>
        <v>Profitable</v>
      </c>
      <c r="M1208" s="2" t="str">
        <f t="shared" si="109"/>
        <v>Stable Earnings</v>
      </c>
      <c r="N1208" s="2" t="str">
        <f t="shared" si="110"/>
        <v>Low Quality</v>
      </c>
      <c r="O1208" s="4" t="str">
        <f t="shared" si="111"/>
        <v>Accounting Risk</v>
      </c>
      <c r="P1208" s="4" t="str">
        <f t="shared" si="112"/>
        <v>Low Quality</v>
      </c>
      <c r="Q1208" s="4" t="str">
        <f t="shared" si="113"/>
        <v>Moderate Growth</v>
      </c>
    </row>
    <row r="1209" spans="1:17" x14ac:dyDescent="0.35">
      <c r="A1209" s="2" t="s">
        <v>1219</v>
      </c>
      <c r="B1209" s="2">
        <v>5</v>
      </c>
      <c r="C1209" s="2">
        <v>-9117123.5800000001</v>
      </c>
      <c r="D1209" s="2">
        <v>0.6</v>
      </c>
      <c r="E1209" s="2">
        <v>64217244.590000004</v>
      </c>
      <c r="F1209" s="2">
        <v>-2866623.4</v>
      </c>
      <c r="G1209" s="2">
        <v>3</v>
      </c>
      <c r="H1209" s="2">
        <v>3</v>
      </c>
      <c r="I1209" s="2">
        <v>3</v>
      </c>
      <c r="J1209" s="2">
        <v>3</v>
      </c>
      <c r="K1209" s="2" t="s">
        <v>306</v>
      </c>
      <c r="L1209" s="2" t="str">
        <f t="shared" si="108"/>
        <v>Loss Making</v>
      </c>
      <c r="M1209" s="2" t="str">
        <f t="shared" si="109"/>
        <v>Stable Earnings</v>
      </c>
      <c r="N1209" s="2" t="str">
        <f t="shared" si="110"/>
        <v>Low Quality</v>
      </c>
      <c r="O1209" s="4" t="str">
        <f t="shared" si="111"/>
        <v>Accounting Risk</v>
      </c>
      <c r="P1209" s="4" t="str">
        <f t="shared" si="112"/>
        <v>Low Quality</v>
      </c>
      <c r="Q1209" s="4" t="str">
        <f t="shared" si="113"/>
        <v>Moderate Growth</v>
      </c>
    </row>
    <row r="1210" spans="1:17" x14ac:dyDescent="0.35">
      <c r="A1210" s="2" t="s">
        <v>1220</v>
      </c>
      <c r="B1210" s="2">
        <v>5</v>
      </c>
      <c r="C1210" s="2">
        <v>-75510660.959999993</v>
      </c>
      <c r="D1210" s="2">
        <v>0.4</v>
      </c>
      <c r="E1210" s="2">
        <v>104653904.8</v>
      </c>
      <c r="F1210" s="2">
        <v>4781032.5</v>
      </c>
      <c r="G1210" s="2">
        <v>3</v>
      </c>
      <c r="H1210" s="2">
        <v>3</v>
      </c>
      <c r="I1210" s="2">
        <v>3</v>
      </c>
      <c r="J1210" s="2">
        <v>3</v>
      </c>
      <c r="K1210" s="2" t="s">
        <v>306</v>
      </c>
      <c r="L1210" s="2" t="str">
        <f t="shared" si="108"/>
        <v>Loss Making</v>
      </c>
      <c r="M1210" s="2" t="str">
        <f t="shared" si="109"/>
        <v>Stable Earnings</v>
      </c>
      <c r="N1210" s="2" t="str">
        <f t="shared" si="110"/>
        <v>Low Quality</v>
      </c>
      <c r="O1210" s="4" t="str">
        <f t="shared" si="111"/>
        <v>Accounting Risk</v>
      </c>
      <c r="P1210" s="4" t="str">
        <f t="shared" si="112"/>
        <v>Low Quality</v>
      </c>
      <c r="Q1210" s="4" t="str">
        <f t="shared" si="113"/>
        <v>Moderate Growth</v>
      </c>
    </row>
    <row r="1211" spans="1:17" x14ac:dyDescent="0.35">
      <c r="A1211" s="2" t="s">
        <v>1221</v>
      </c>
      <c r="B1211" s="2">
        <v>5</v>
      </c>
      <c r="C1211" s="2">
        <v>33139634.199999999</v>
      </c>
      <c r="D1211" s="2">
        <v>0.8</v>
      </c>
      <c r="E1211" s="2">
        <v>82602182.590000004</v>
      </c>
      <c r="F1211" s="2">
        <v>4267012.3</v>
      </c>
      <c r="G1211" s="2">
        <v>3</v>
      </c>
      <c r="H1211" s="2">
        <v>3</v>
      </c>
      <c r="I1211" s="2">
        <v>3</v>
      </c>
      <c r="J1211" s="2">
        <v>3</v>
      </c>
      <c r="K1211" s="2" t="s">
        <v>306</v>
      </c>
      <c r="L1211" s="2" t="str">
        <f t="shared" si="108"/>
        <v>Profitable</v>
      </c>
      <c r="M1211" s="2" t="str">
        <f t="shared" si="109"/>
        <v>Stable Earnings</v>
      </c>
      <c r="N1211" s="2" t="str">
        <f t="shared" si="110"/>
        <v>Low Quality</v>
      </c>
      <c r="O1211" s="4" t="str">
        <f t="shared" si="111"/>
        <v>Operational Growth</v>
      </c>
      <c r="P1211" s="4" t="str">
        <f t="shared" si="112"/>
        <v>Low Quality</v>
      </c>
      <c r="Q1211" s="4" t="str">
        <f t="shared" si="113"/>
        <v>Moderate Growth</v>
      </c>
    </row>
    <row r="1212" spans="1:17" x14ac:dyDescent="0.35">
      <c r="A1212" s="2" t="s">
        <v>1222</v>
      </c>
      <c r="B1212" s="2">
        <v>5</v>
      </c>
      <c r="C1212" s="2">
        <v>25819667.420000002</v>
      </c>
      <c r="D1212" s="2">
        <v>0.6</v>
      </c>
      <c r="E1212" s="2">
        <v>60262491.280000001</v>
      </c>
      <c r="F1212" s="2">
        <v>4354952</v>
      </c>
      <c r="G1212" s="2">
        <v>3</v>
      </c>
      <c r="H1212" s="2">
        <v>3</v>
      </c>
      <c r="I1212" s="2">
        <v>3</v>
      </c>
      <c r="J1212" s="2">
        <v>3</v>
      </c>
      <c r="K1212" s="2" t="s">
        <v>306</v>
      </c>
      <c r="L1212" s="2" t="str">
        <f t="shared" si="108"/>
        <v>Profitable</v>
      </c>
      <c r="M1212" s="2" t="str">
        <f t="shared" si="109"/>
        <v>Stable Earnings</v>
      </c>
      <c r="N1212" s="2" t="str">
        <f t="shared" si="110"/>
        <v>Low Quality</v>
      </c>
      <c r="O1212" s="4" t="str">
        <f t="shared" si="111"/>
        <v>Accounting Risk</v>
      </c>
      <c r="P1212" s="4" t="str">
        <f t="shared" si="112"/>
        <v>Low Quality</v>
      </c>
      <c r="Q1212" s="4" t="str">
        <f t="shared" si="113"/>
        <v>Moderate Growth</v>
      </c>
    </row>
    <row r="1213" spans="1:17" x14ac:dyDescent="0.35">
      <c r="A1213" s="2" t="s">
        <v>1223</v>
      </c>
      <c r="B1213" s="2">
        <v>5</v>
      </c>
      <c r="C1213" s="2">
        <v>54369087.100000001</v>
      </c>
      <c r="D1213" s="2">
        <v>0.8</v>
      </c>
      <c r="E1213" s="2">
        <v>87188569.180000007</v>
      </c>
      <c r="F1213" s="2">
        <v>2446223.1</v>
      </c>
      <c r="G1213" s="2">
        <v>3</v>
      </c>
      <c r="H1213" s="2">
        <v>3</v>
      </c>
      <c r="I1213" s="2">
        <v>3</v>
      </c>
      <c r="J1213" s="2">
        <v>3</v>
      </c>
      <c r="K1213" s="2" t="s">
        <v>306</v>
      </c>
      <c r="L1213" s="2" t="str">
        <f t="shared" si="108"/>
        <v>Profitable</v>
      </c>
      <c r="M1213" s="2" t="str">
        <f t="shared" si="109"/>
        <v>Stable Earnings</v>
      </c>
      <c r="N1213" s="2" t="str">
        <f t="shared" si="110"/>
        <v>Low Quality</v>
      </c>
      <c r="O1213" s="4" t="str">
        <f t="shared" si="111"/>
        <v>Operational Growth</v>
      </c>
      <c r="P1213" s="4" t="str">
        <f t="shared" si="112"/>
        <v>Low Quality</v>
      </c>
      <c r="Q1213" s="4" t="str">
        <f t="shared" si="113"/>
        <v>Moderate Growth</v>
      </c>
    </row>
    <row r="1214" spans="1:17" x14ac:dyDescent="0.35">
      <c r="A1214" s="2" t="s">
        <v>1224</v>
      </c>
      <c r="B1214" s="2">
        <v>5</v>
      </c>
      <c r="C1214" s="2">
        <v>682270711.20000005</v>
      </c>
      <c r="D1214" s="2">
        <v>1</v>
      </c>
      <c r="E1214" s="2">
        <v>238884955.80000001</v>
      </c>
      <c r="F1214" s="2">
        <v>-36622864.100000001</v>
      </c>
      <c r="G1214" s="2">
        <v>2</v>
      </c>
      <c r="H1214" s="2">
        <v>4</v>
      </c>
      <c r="I1214" s="2">
        <v>4</v>
      </c>
      <c r="J1214" s="2">
        <v>3</v>
      </c>
      <c r="K1214" s="2" t="s">
        <v>306</v>
      </c>
      <c r="L1214" s="2" t="str">
        <f t="shared" si="108"/>
        <v>Profitable</v>
      </c>
      <c r="M1214" s="2" t="str">
        <f t="shared" si="109"/>
        <v>High Volatility</v>
      </c>
      <c r="N1214" s="2" t="str">
        <f t="shared" si="110"/>
        <v>Low Quality</v>
      </c>
      <c r="O1214" s="4" t="str">
        <f t="shared" si="111"/>
        <v>Accounting Risk</v>
      </c>
      <c r="P1214" s="4" t="str">
        <f t="shared" si="112"/>
        <v>Low Quality</v>
      </c>
      <c r="Q1214" s="4" t="str">
        <f t="shared" si="113"/>
        <v>Strong Long-Term Growth</v>
      </c>
    </row>
    <row r="1215" spans="1:17" x14ac:dyDescent="0.35">
      <c r="A1215" s="2" t="s">
        <v>1225</v>
      </c>
      <c r="B1215" s="2">
        <v>5</v>
      </c>
      <c r="C1215" s="2">
        <v>-28192718.780000001</v>
      </c>
      <c r="D1215" s="2">
        <v>0.4</v>
      </c>
      <c r="E1215" s="2">
        <v>40011026.530000001</v>
      </c>
      <c r="F1215" s="2">
        <v>95528800.200000003</v>
      </c>
      <c r="G1215" s="2">
        <v>4</v>
      </c>
      <c r="H1215" s="2">
        <v>2</v>
      </c>
      <c r="I1215" s="2">
        <v>2</v>
      </c>
      <c r="J1215" s="2">
        <v>3</v>
      </c>
      <c r="K1215" s="2" t="s">
        <v>306</v>
      </c>
      <c r="L1215" s="2" t="str">
        <f t="shared" si="108"/>
        <v>Loss Making</v>
      </c>
      <c r="M1215" s="2" t="str">
        <f t="shared" si="109"/>
        <v>Stable Earnings</v>
      </c>
      <c r="N1215" s="2" t="str">
        <f t="shared" si="110"/>
        <v>Moderate</v>
      </c>
      <c r="O1215" s="4" t="str">
        <f t="shared" si="111"/>
        <v>Accounting Risk</v>
      </c>
      <c r="P1215" s="4" t="str">
        <f t="shared" si="112"/>
        <v>Moderate</v>
      </c>
      <c r="Q1215" s="4" t="str">
        <f t="shared" si="113"/>
        <v>Moderate Growth</v>
      </c>
    </row>
    <row r="1216" spans="1:17" x14ac:dyDescent="0.35">
      <c r="A1216" s="2" t="s">
        <v>1226</v>
      </c>
      <c r="B1216" s="2">
        <v>5</v>
      </c>
      <c r="C1216" s="2">
        <v>-1726763.7</v>
      </c>
      <c r="D1216" s="2">
        <v>0.4</v>
      </c>
      <c r="E1216" s="2">
        <v>37756951.939999998</v>
      </c>
      <c r="F1216" s="2">
        <v>102004400.5</v>
      </c>
      <c r="G1216" s="2">
        <v>4</v>
      </c>
      <c r="H1216" s="2">
        <v>2</v>
      </c>
      <c r="I1216" s="2">
        <v>2</v>
      </c>
      <c r="J1216" s="2">
        <v>3</v>
      </c>
      <c r="K1216" s="2" t="s">
        <v>306</v>
      </c>
      <c r="L1216" s="2" t="str">
        <f t="shared" si="108"/>
        <v>Loss Making</v>
      </c>
      <c r="M1216" s="2" t="str">
        <f t="shared" si="109"/>
        <v>Stable Earnings</v>
      </c>
      <c r="N1216" s="2" t="str">
        <f t="shared" si="110"/>
        <v>Moderate</v>
      </c>
      <c r="O1216" s="4" t="str">
        <f t="shared" si="111"/>
        <v>Accounting Risk</v>
      </c>
      <c r="P1216" s="4" t="str">
        <f t="shared" si="112"/>
        <v>Moderate</v>
      </c>
      <c r="Q1216" s="4" t="str">
        <f t="shared" si="113"/>
        <v>Moderate Growth</v>
      </c>
    </row>
    <row r="1217" spans="1:17" x14ac:dyDescent="0.35">
      <c r="A1217" s="2" t="s">
        <v>1227</v>
      </c>
      <c r="B1217" s="2">
        <v>5</v>
      </c>
      <c r="C1217" s="2">
        <v>-75882191.480000004</v>
      </c>
      <c r="D1217" s="2">
        <v>0</v>
      </c>
      <c r="E1217" s="2">
        <v>45198346</v>
      </c>
      <c r="F1217" s="2">
        <v>117568134.40000001</v>
      </c>
      <c r="G1217" s="2">
        <v>4</v>
      </c>
      <c r="H1217" s="2">
        <v>2</v>
      </c>
      <c r="I1217" s="2">
        <v>2</v>
      </c>
      <c r="J1217" s="2">
        <v>3</v>
      </c>
      <c r="K1217" s="2" t="s">
        <v>306</v>
      </c>
      <c r="L1217" s="2" t="str">
        <f t="shared" si="108"/>
        <v>Loss Making</v>
      </c>
      <c r="M1217" s="2" t="str">
        <f t="shared" si="109"/>
        <v>Stable Earnings</v>
      </c>
      <c r="N1217" s="2" t="str">
        <f t="shared" si="110"/>
        <v>Moderate</v>
      </c>
      <c r="O1217" s="4" t="str">
        <f t="shared" si="111"/>
        <v>Accounting Risk</v>
      </c>
      <c r="P1217" s="4" t="str">
        <f t="shared" si="112"/>
        <v>Moderate</v>
      </c>
      <c r="Q1217" s="4" t="str">
        <f t="shared" si="113"/>
        <v>Moderate Growth</v>
      </c>
    </row>
    <row r="1218" spans="1:17" x14ac:dyDescent="0.35">
      <c r="A1218" s="2" t="s">
        <v>1228</v>
      </c>
      <c r="B1218" s="2">
        <v>5</v>
      </c>
      <c r="C1218" s="2">
        <v>-70765323.939999998</v>
      </c>
      <c r="D1218" s="2">
        <v>0</v>
      </c>
      <c r="E1218" s="2">
        <v>37180022.600000001</v>
      </c>
      <c r="F1218" s="2">
        <v>89991244.599999994</v>
      </c>
      <c r="G1218" s="2">
        <v>4</v>
      </c>
      <c r="H1218" s="2">
        <v>2</v>
      </c>
      <c r="I1218" s="2">
        <v>2</v>
      </c>
      <c r="J1218" s="2">
        <v>3</v>
      </c>
      <c r="K1218" s="2" t="s">
        <v>306</v>
      </c>
      <c r="L1218" s="2" t="str">
        <f t="shared" ref="L1218:L1281" si="114">IF(C1218&gt;0,"Profitable","Loss Making")</f>
        <v>Loss Making</v>
      </c>
      <c r="M1218" s="2" t="str">
        <f t="shared" ref="M1218:M1281" si="115">IF(C1218&gt;500000000,"High Volatility","Stable Earnings")</f>
        <v>Stable Earnings</v>
      </c>
      <c r="N1218" s="2" t="str">
        <f t="shared" ref="N1218:N1281" si="116">IF(G1218&gt;=7,"High Quality",IF(G1218&gt;=4,"Moderate","Low Quality"))</f>
        <v>Moderate</v>
      </c>
      <c r="O1218" s="4" t="str">
        <f t="shared" ref="O1218:O1281" si="117">IF(AND(F1218&gt;0,D1218&gt;0.6),"Operational Growth","Accounting Risk")</f>
        <v>Accounting Risk</v>
      </c>
      <c r="P1218" s="4" t="str">
        <f t="shared" ref="P1218:P1281" si="118">IF(G1218&gt;=7,"High Quality", IF(G1218&gt;=4,"Moderate","Low Quality"))</f>
        <v>Moderate</v>
      </c>
      <c r="Q1218" s="4" t="str">
        <f t="shared" ref="Q1218:Q1281" si="119">IF(I1218&gt;=4,"Strong Long-Term Growth",IF(I1218&gt;=2,"Moderate Growth","Weak Growth"))</f>
        <v>Moderate Growth</v>
      </c>
    </row>
    <row r="1219" spans="1:17" x14ac:dyDescent="0.35">
      <c r="A1219" s="2" t="s">
        <v>1229</v>
      </c>
      <c r="B1219" s="2">
        <v>5</v>
      </c>
      <c r="C1219" s="2">
        <v>-20433999.82</v>
      </c>
      <c r="D1219" s="2">
        <v>0.2</v>
      </c>
      <c r="E1219" s="2">
        <v>33288904.23</v>
      </c>
      <c r="F1219" s="2">
        <v>89136689.799999997</v>
      </c>
      <c r="G1219" s="2">
        <v>4</v>
      </c>
      <c r="H1219" s="2">
        <v>2</v>
      </c>
      <c r="I1219" s="2">
        <v>2</v>
      </c>
      <c r="J1219" s="2">
        <v>3</v>
      </c>
      <c r="K1219" s="2" t="s">
        <v>306</v>
      </c>
      <c r="L1219" s="2" t="str">
        <f t="shared" si="114"/>
        <v>Loss Making</v>
      </c>
      <c r="M1219" s="2" t="str">
        <f t="shared" si="115"/>
        <v>Stable Earnings</v>
      </c>
      <c r="N1219" s="2" t="str">
        <f t="shared" si="116"/>
        <v>Moderate</v>
      </c>
      <c r="O1219" s="4" t="str">
        <f t="shared" si="117"/>
        <v>Accounting Risk</v>
      </c>
      <c r="P1219" s="4" t="str">
        <f t="shared" si="118"/>
        <v>Moderate</v>
      </c>
      <c r="Q1219" s="4" t="str">
        <f t="shared" si="119"/>
        <v>Moderate Growth</v>
      </c>
    </row>
    <row r="1220" spans="1:17" x14ac:dyDescent="0.35">
      <c r="A1220" s="2" t="s">
        <v>1230</v>
      </c>
      <c r="B1220" s="2">
        <v>5</v>
      </c>
      <c r="C1220" s="2">
        <v>-11861807.199999999</v>
      </c>
      <c r="D1220" s="2">
        <v>0.2</v>
      </c>
      <c r="E1220" s="2">
        <v>41387052.979999997</v>
      </c>
      <c r="F1220" s="2">
        <v>82669393.700000003</v>
      </c>
      <c r="G1220" s="2">
        <v>4</v>
      </c>
      <c r="H1220" s="2">
        <v>2</v>
      </c>
      <c r="I1220" s="2">
        <v>2</v>
      </c>
      <c r="J1220" s="2">
        <v>3</v>
      </c>
      <c r="K1220" s="2" t="s">
        <v>306</v>
      </c>
      <c r="L1220" s="2" t="str">
        <f t="shared" si="114"/>
        <v>Loss Making</v>
      </c>
      <c r="M1220" s="2" t="str">
        <f t="shared" si="115"/>
        <v>Stable Earnings</v>
      </c>
      <c r="N1220" s="2" t="str">
        <f t="shared" si="116"/>
        <v>Moderate</v>
      </c>
      <c r="O1220" s="4" t="str">
        <f t="shared" si="117"/>
        <v>Accounting Risk</v>
      </c>
      <c r="P1220" s="4" t="str">
        <f t="shared" si="118"/>
        <v>Moderate</v>
      </c>
      <c r="Q1220" s="4" t="str">
        <f t="shared" si="119"/>
        <v>Moderate Growth</v>
      </c>
    </row>
    <row r="1221" spans="1:17" x14ac:dyDescent="0.35">
      <c r="A1221" s="2" t="s">
        <v>1231</v>
      </c>
      <c r="B1221" s="2">
        <v>5</v>
      </c>
      <c r="C1221" s="2">
        <v>-50985153.719999999</v>
      </c>
      <c r="D1221" s="2">
        <v>0.2</v>
      </c>
      <c r="E1221" s="2">
        <v>44720923.890000001</v>
      </c>
      <c r="F1221" s="2">
        <v>82122284.900000006</v>
      </c>
      <c r="G1221" s="2">
        <v>4</v>
      </c>
      <c r="H1221" s="2">
        <v>2</v>
      </c>
      <c r="I1221" s="2">
        <v>2</v>
      </c>
      <c r="J1221" s="2">
        <v>3</v>
      </c>
      <c r="K1221" s="2" t="s">
        <v>306</v>
      </c>
      <c r="L1221" s="2" t="str">
        <f t="shared" si="114"/>
        <v>Loss Making</v>
      </c>
      <c r="M1221" s="2" t="str">
        <f t="shared" si="115"/>
        <v>Stable Earnings</v>
      </c>
      <c r="N1221" s="2" t="str">
        <f t="shared" si="116"/>
        <v>Moderate</v>
      </c>
      <c r="O1221" s="4" t="str">
        <f t="shared" si="117"/>
        <v>Accounting Risk</v>
      </c>
      <c r="P1221" s="4" t="str">
        <f t="shared" si="118"/>
        <v>Moderate</v>
      </c>
      <c r="Q1221" s="4" t="str">
        <f t="shared" si="119"/>
        <v>Moderate Growth</v>
      </c>
    </row>
    <row r="1222" spans="1:17" x14ac:dyDescent="0.35">
      <c r="A1222" s="2" t="s">
        <v>1232</v>
      </c>
      <c r="B1222" s="2">
        <v>5</v>
      </c>
      <c r="C1222" s="2">
        <v>-29624381.440000001</v>
      </c>
      <c r="D1222" s="2">
        <v>0.2</v>
      </c>
      <c r="E1222" s="2">
        <v>40636063.600000001</v>
      </c>
      <c r="F1222" s="2">
        <v>65305547.899999999</v>
      </c>
      <c r="G1222" s="2">
        <v>4</v>
      </c>
      <c r="H1222" s="2">
        <v>2</v>
      </c>
      <c r="I1222" s="2">
        <v>2</v>
      </c>
      <c r="J1222" s="2">
        <v>3</v>
      </c>
      <c r="K1222" s="2" t="s">
        <v>306</v>
      </c>
      <c r="L1222" s="2" t="str">
        <f t="shared" si="114"/>
        <v>Loss Making</v>
      </c>
      <c r="M1222" s="2" t="str">
        <f t="shared" si="115"/>
        <v>Stable Earnings</v>
      </c>
      <c r="N1222" s="2" t="str">
        <f t="shared" si="116"/>
        <v>Moderate</v>
      </c>
      <c r="O1222" s="4" t="str">
        <f t="shared" si="117"/>
        <v>Accounting Risk</v>
      </c>
      <c r="P1222" s="4" t="str">
        <f t="shared" si="118"/>
        <v>Moderate</v>
      </c>
      <c r="Q1222" s="4" t="str">
        <f t="shared" si="119"/>
        <v>Moderate Growth</v>
      </c>
    </row>
    <row r="1223" spans="1:17" x14ac:dyDescent="0.35">
      <c r="A1223" s="2" t="s">
        <v>1233</v>
      </c>
      <c r="B1223" s="2">
        <v>5</v>
      </c>
      <c r="C1223" s="2">
        <v>-12255273.199999999</v>
      </c>
      <c r="D1223" s="2">
        <v>0.2</v>
      </c>
      <c r="E1223" s="2">
        <v>36935768.259999998</v>
      </c>
      <c r="F1223" s="2">
        <v>66455314.799999997</v>
      </c>
      <c r="G1223" s="2">
        <v>4</v>
      </c>
      <c r="H1223" s="2">
        <v>2</v>
      </c>
      <c r="I1223" s="2">
        <v>2</v>
      </c>
      <c r="J1223" s="2">
        <v>3</v>
      </c>
      <c r="K1223" s="2" t="s">
        <v>306</v>
      </c>
      <c r="L1223" s="2" t="str">
        <f t="shared" si="114"/>
        <v>Loss Making</v>
      </c>
      <c r="M1223" s="2" t="str">
        <f t="shared" si="115"/>
        <v>Stable Earnings</v>
      </c>
      <c r="N1223" s="2" t="str">
        <f t="shared" si="116"/>
        <v>Moderate</v>
      </c>
      <c r="O1223" s="4" t="str">
        <f t="shared" si="117"/>
        <v>Accounting Risk</v>
      </c>
      <c r="P1223" s="4" t="str">
        <f t="shared" si="118"/>
        <v>Moderate</v>
      </c>
      <c r="Q1223" s="4" t="str">
        <f t="shared" si="119"/>
        <v>Moderate Growth</v>
      </c>
    </row>
    <row r="1224" spans="1:17" x14ac:dyDescent="0.35">
      <c r="A1224" s="2" t="s">
        <v>1234</v>
      </c>
      <c r="B1224" s="2">
        <v>5</v>
      </c>
      <c r="C1224" s="2">
        <v>-89320506.159999996</v>
      </c>
      <c r="D1224" s="2">
        <v>0</v>
      </c>
      <c r="E1224" s="2">
        <v>33252114.98</v>
      </c>
      <c r="F1224" s="2">
        <v>62926416.5</v>
      </c>
      <c r="G1224" s="2">
        <v>4</v>
      </c>
      <c r="H1224" s="2">
        <v>2</v>
      </c>
      <c r="I1224" s="2">
        <v>2</v>
      </c>
      <c r="J1224" s="2">
        <v>3</v>
      </c>
      <c r="K1224" s="2" t="s">
        <v>306</v>
      </c>
      <c r="L1224" s="2" t="str">
        <f t="shared" si="114"/>
        <v>Loss Making</v>
      </c>
      <c r="M1224" s="2" t="str">
        <f t="shared" si="115"/>
        <v>Stable Earnings</v>
      </c>
      <c r="N1224" s="2" t="str">
        <f t="shared" si="116"/>
        <v>Moderate</v>
      </c>
      <c r="O1224" s="4" t="str">
        <f t="shared" si="117"/>
        <v>Accounting Risk</v>
      </c>
      <c r="P1224" s="4" t="str">
        <f t="shared" si="118"/>
        <v>Moderate</v>
      </c>
      <c r="Q1224" s="4" t="str">
        <f t="shared" si="119"/>
        <v>Moderate Growth</v>
      </c>
    </row>
    <row r="1225" spans="1:17" x14ac:dyDescent="0.35">
      <c r="A1225" s="2" t="s">
        <v>1235</v>
      </c>
      <c r="B1225" s="2">
        <v>5</v>
      </c>
      <c r="C1225" s="2">
        <v>-18782387.02</v>
      </c>
      <c r="D1225" s="2">
        <v>0.2</v>
      </c>
      <c r="E1225" s="2">
        <v>37461547.850000001</v>
      </c>
      <c r="F1225" s="2">
        <v>71289001.799999997</v>
      </c>
      <c r="G1225" s="2">
        <v>4</v>
      </c>
      <c r="H1225" s="2">
        <v>2</v>
      </c>
      <c r="I1225" s="2">
        <v>2</v>
      </c>
      <c r="J1225" s="2">
        <v>3</v>
      </c>
      <c r="K1225" s="2" t="s">
        <v>306</v>
      </c>
      <c r="L1225" s="2" t="str">
        <f t="shared" si="114"/>
        <v>Loss Making</v>
      </c>
      <c r="M1225" s="2" t="str">
        <f t="shared" si="115"/>
        <v>Stable Earnings</v>
      </c>
      <c r="N1225" s="2" t="str">
        <f t="shared" si="116"/>
        <v>Moderate</v>
      </c>
      <c r="O1225" s="4" t="str">
        <f t="shared" si="117"/>
        <v>Accounting Risk</v>
      </c>
      <c r="P1225" s="4" t="str">
        <f t="shared" si="118"/>
        <v>Moderate</v>
      </c>
      <c r="Q1225" s="4" t="str">
        <f t="shared" si="119"/>
        <v>Moderate Growth</v>
      </c>
    </row>
    <row r="1226" spans="1:17" x14ac:dyDescent="0.35">
      <c r="A1226" s="2" t="s">
        <v>1236</v>
      </c>
      <c r="B1226" s="2">
        <v>5</v>
      </c>
      <c r="C1226" s="2">
        <v>-74463774.040000007</v>
      </c>
      <c r="D1226" s="2">
        <v>0</v>
      </c>
      <c r="E1226" s="2">
        <v>38742397.909999996</v>
      </c>
      <c r="F1226" s="2">
        <v>56919238.399999999</v>
      </c>
      <c r="G1226" s="2">
        <v>4</v>
      </c>
      <c r="H1226" s="2">
        <v>2</v>
      </c>
      <c r="I1226" s="2">
        <v>2</v>
      </c>
      <c r="J1226" s="2">
        <v>3</v>
      </c>
      <c r="K1226" s="2" t="s">
        <v>306</v>
      </c>
      <c r="L1226" s="2" t="str">
        <f t="shared" si="114"/>
        <v>Loss Making</v>
      </c>
      <c r="M1226" s="2" t="str">
        <f t="shared" si="115"/>
        <v>Stable Earnings</v>
      </c>
      <c r="N1226" s="2" t="str">
        <f t="shared" si="116"/>
        <v>Moderate</v>
      </c>
      <c r="O1226" s="4" t="str">
        <f t="shared" si="117"/>
        <v>Accounting Risk</v>
      </c>
      <c r="P1226" s="4" t="str">
        <f t="shared" si="118"/>
        <v>Moderate</v>
      </c>
      <c r="Q1226" s="4" t="str">
        <f t="shared" si="119"/>
        <v>Moderate Growth</v>
      </c>
    </row>
    <row r="1227" spans="1:17" x14ac:dyDescent="0.35">
      <c r="A1227" s="2" t="s">
        <v>1237</v>
      </c>
      <c r="B1227" s="2">
        <v>5</v>
      </c>
      <c r="C1227" s="2">
        <v>-11306780.02</v>
      </c>
      <c r="D1227" s="2">
        <v>0.4</v>
      </c>
      <c r="E1227" s="2">
        <v>23922282.02</v>
      </c>
      <c r="F1227" s="2">
        <v>56793262</v>
      </c>
      <c r="G1227" s="2">
        <v>4</v>
      </c>
      <c r="H1227" s="2">
        <v>2</v>
      </c>
      <c r="I1227" s="2">
        <v>2</v>
      </c>
      <c r="J1227" s="2">
        <v>3</v>
      </c>
      <c r="K1227" s="2" t="s">
        <v>306</v>
      </c>
      <c r="L1227" s="2" t="str">
        <f t="shared" si="114"/>
        <v>Loss Making</v>
      </c>
      <c r="M1227" s="2" t="str">
        <f t="shared" si="115"/>
        <v>Stable Earnings</v>
      </c>
      <c r="N1227" s="2" t="str">
        <f t="shared" si="116"/>
        <v>Moderate</v>
      </c>
      <c r="O1227" s="4" t="str">
        <f t="shared" si="117"/>
        <v>Accounting Risk</v>
      </c>
      <c r="P1227" s="4" t="str">
        <f t="shared" si="118"/>
        <v>Moderate</v>
      </c>
      <c r="Q1227" s="4" t="str">
        <f t="shared" si="119"/>
        <v>Moderate Growth</v>
      </c>
    </row>
    <row r="1228" spans="1:17" x14ac:dyDescent="0.35">
      <c r="A1228" s="2" t="s">
        <v>1238</v>
      </c>
      <c r="B1228" s="2">
        <v>5</v>
      </c>
      <c r="C1228" s="2">
        <v>-12098825.779999999</v>
      </c>
      <c r="D1228" s="2">
        <v>0.4</v>
      </c>
      <c r="E1228" s="2">
        <v>19777503.989999998</v>
      </c>
      <c r="F1228" s="2">
        <v>43044315.700000003</v>
      </c>
      <c r="G1228" s="2">
        <v>4</v>
      </c>
      <c r="H1228" s="2">
        <v>2</v>
      </c>
      <c r="I1228" s="2">
        <v>2</v>
      </c>
      <c r="J1228" s="2">
        <v>3</v>
      </c>
      <c r="K1228" s="2" t="s">
        <v>306</v>
      </c>
      <c r="L1228" s="2" t="str">
        <f t="shared" si="114"/>
        <v>Loss Making</v>
      </c>
      <c r="M1228" s="2" t="str">
        <f t="shared" si="115"/>
        <v>Stable Earnings</v>
      </c>
      <c r="N1228" s="2" t="str">
        <f t="shared" si="116"/>
        <v>Moderate</v>
      </c>
      <c r="O1228" s="4" t="str">
        <f t="shared" si="117"/>
        <v>Accounting Risk</v>
      </c>
      <c r="P1228" s="4" t="str">
        <f t="shared" si="118"/>
        <v>Moderate</v>
      </c>
      <c r="Q1228" s="4" t="str">
        <f t="shared" si="119"/>
        <v>Moderate Growth</v>
      </c>
    </row>
    <row r="1229" spans="1:17" x14ac:dyDescent="0.35">
      <c r="A1229" s="2" t="s">
        <v>1239</v>
      </c>
      <c r="B1229" s="2">
        <v>5</v>
      </c>
      <c r="C1229" s="2">
        <v>-36957826.579999998</v>
      </c>
      <c r="D1229" s="2">
        <v>0.2</v>
      </c>
      <c r="E1229" s="2">
        <v>27890003.899999999</v>
      </c>
      <c r="F1229" s="2">
        <v>43859482.100000001</v>
      </c>
      <c r="G1229" s="2">
        <v>4</v>
      </c>
      <c r="H1229" s="2">
        <v>2</v>
      </c>
      <c r="I1229" s="2">
        <v>2</v>
      </c>
      <c r="J1229" s="2">
        <v>3</v>
      </c>
      <c r="K1229" s="2" t="s">
        <v>306</v>
      </c>
      <c r="L1229" s="2" t="str">
        <f t="shared" si="114"/>
        <v>Loss Making</v>
      </c>
      <c r="M1229" s="2" t="str">
        <f t="shared" si="115"/>
        <v>Stable Earnings</v>
      </c>
      <c r="N1229" s="2" t="str">
        <f t="shared" si="116"/>
        <v>Moderate</v>
      </c>
      <c r="O1229" s="4" t="str">
        <f t="shared" si="117"/>
        <v>Accounting Risk</v>
      </c>
      <c r="P1229" s="4" t="str">
        <f t="shared" si="118"/>
        <v>Moderate</v>
      </c>
      <c r="Q1229" s="4" t="str">
        <f t="shared" si="119"/>
        <v>Moderate Growth</v>
      </c>
    </row>
    <row r="1230" spans="1:17" x14ac:dyDescent="0.35">
      <c r="A1230" s="2" t="s">
        <v>1240</v>
      </c>
      <c r="B1230" s="2">
        <v>5</v>
      </c>
      <c r="C1230" s="2">
        <v>-17611074.120000001</v>
      </c>
      <c r="D1230" s="2">
        <v>0.4</v>
      </c>
      <c r="E1230" s="2">
        <v>29798704.25</v>
      </c>
      <c r="F1230" s="2">
        <v>50379513.700000003</v>
      </c>
      <c r="G1230" s="2">
        <v>4</v>
      </c>
      <c r="H1230" s="2">
        <v>2</v>
      </c>
      <c r="I1230" s="2">
        <v>2</v>
      </c>
      <c r="J1230" s="2">
        <v>3</v>
      </c>
      <c r="K1230" s="2" t="s">
        <v>306</v>
      </c>
      <c r="L1230" s="2" t="str">
        <f t="shared" si="114"/>
        <v>Loss Making</v>
      </c>
      <c r="M1230" s="2" t="str">
        <f t="shared" si="115"/>
        <v>Stable Earnings</v>
      </c>
      <c r="N1230" s="2" t="str">
        <f t="shared" si="116"/>
        <v>Moderate</v>
      </c>
      <c r="O1230" s="4" t="str">
        <f t="shared" si="117"/>
        <v>Accounting Risk</v>
      </c>
      <c r="P1230" s="4" t="str">
        <f t="shared" si="118"/>
        <v>Moderate</v>
      </c>
      <c r="Q1230" s="4" t="str">
        <f t="shared" si="119"/>
        <v>Moderate Growth</v>
      </c>
    </row>
    <row r="1231" spans="1:17" x14ac:dyDescent="0.35">
      <c r="A1231" s="2" t="s">
        <v>1241</v>
      </c>
      <c r="B1231" s="2">
        <v>5</v>
      </c>
      <c r="C1231" s="2">
        <v>-6384421.2999999998</v>
      </c>
      <c r="D1231" s="2">
        <v>0.4</v>
      </c>
      <c r="E1231" s="2">
        <v>38230671.07</v>
      </c>
      <c r="F1231" s="2">
        <v>46610577.700000003</v>
      </c>
      <c r="G1231" s="2">
        <v>4</v>
      </c>
      <c r="H1231" s="2">
        <v>2</v>
      </c>
      <c r="I1231" s="2">
        <v>2</v>
      </c>
      <c r="J1231" s="2">
        <v>3</v>
      </c>
      <c r="K1231" s="2" t="s">
        <v>306</v>
      </c>
      <c r="L1231" s="2" t="str">
        <f t="shared" si="114"/>
        <v>Loss Making</v>
      </c>
      <c r="M1231" s="2" t="str">
        <f t="shared" si="115"/>
        <v>Stable Earnings</v>
      </c>
      <c r="N1231" s="2" t="str">
        <f t="shared" si="116"/>
        <v>Moderate</v>
      </c>
      <c r="O1231" s="4" t="str">
        <f t="shared" si="117"/>
        <v>Accounting Risk</v>
      </c>
      <c r="P1231" s="4" t="str">
        <f t="shared" si="118"/>
        <v>Moderate</v>
      </c>
      <c r="Q1231" s="4" t="str">
        <f t="shared" si="119"/>
        <v>Moderate Growth</v>
      </c>
    </row>
    <row r="1232" spans="1:17" x14ac:dyDescent="0.35">
      <c r="A1232" s="2" t="s">
        <v>1242</v>
      </c>
      <c r="B1232" s="2">
        <v>5</v>
      </c>
      <c r="C1232" s="2">
        <v>-39610783.119999997</v>
      </c>
      <c r="D1232" s="2">
        <v>0</v>
      </c>
      <c r="E1232" s="2">
        <v>39368283.82</v>
      </c>
      <c r="F1232" s="2">
        <v>46606854.600000001</v>
      </c>
      <c r="G1232" s="2">
        <v>4</v>
      </c>
      <c r="H1232" s="2">
        <v>2</v>
      </c>
      <c r="I1232" s="2">
        <v>2</v>
      </c>
      <c r="J1232" s="2">
        <v>3</v>
      </c>
      <c r="K1232" s="2" t="s">
        <v>306</v>
      </c>
      <c r="L1232" s="2" t="str">
        <f t="shared" si="114"/>
        <v>Loss Making</v>
      </c>
      <c r="M1232" s="2" t="str">
        <f t="shared" si="115"/>
        <v>Stable Earnings</v>
      </c>
      <c r="N1232" s="2" t="str">
        <f t="shared" si="116"/>
        <v>Moderate</v>
      </c>
      <c r="O1232" s="4" t="str">
        <f t="shared" si="117"/>
        <v>Accounting Risk</v>
      </c>
      <c r="P1232" s="4" t="str">
        <f t="shared" si="118"/>
        <v>Moderate</v>
      </c>
      <c r="Q1232" s="4" t="str">
        <f t="shared" si="119"/>
        <v>Moderate Growth</v>
      </c>
    </row>
    <row r="1233" spans="1:17" x14ac:dyDescent="0.35">
      <c r="A1233" s="2" t="s">
        <v>1243</v>
      </c>
      <c r="B1233" s="2">
        <v>5</v>
      </c>
      <c r="C1233" s="2">
        <v>-16485970.279999999</v>
      </c>
      <c r="D1233" s="2">
        <v>0.2</v>
      </c>
      <c r="E1233" s="2">
        <v>18897096.010000002</v>
      </c>
      <c r="F1233" s="2">
        <v>31780951.199999999</v>
      </c>
      <c r="G1233" s="2">
        <v>4</v>
      </c>
      <c r="H1233" s="2">
        <v>2</v>
      </c>
      <c r="I1233" s="2">
        <v>2</v>
      </c>
      <c r="J1233" s="2">
        <v>3</v>
      </c>
      <c r="K1233" s="2" t="s">
        <v>306</v>
      </c>
      <c r="L1233" s="2" t="str">
        <f t="shared" si="114"/>
        <v>Loss Making</v>
      </c>
      <c r="M1233" s="2" t="str">
        <f t="shared" si="115"/>
        <v>Stable Earnings</v>
      </c>
      <c r="N1233" s="2" t="str">
        <f t="shared" si="116"/>
        <v>Moderate</v>
      </c>
      <c r="O1233" s="4" t="str">
        <f t="shared" si="117"/>
        <v>Accounting Risk</v>
      </c>
      <c r="P1233" s="4" t="str">
        <f t="shared" si="118"/>
        <v>Moderate</v>
      </c>
      <c r="Q1233" s="4" t="str">
        <f t="shared" si="119"/>
        <v>Moderate Growth</v>
      </c>
    </row>
    <row r="1234" spans="1:17" x14ac:dyDescent="0.35">
      <c r="A1234" s="2" t="s">
        <v>1244</v>
      </c>
      <c r="B1234" s="2">
        <v>5</v>
      </c>
      <c r="C1234" s="2">
        <v>-20115156</v>
      </c>
      <c r="D1234" s="2">
        <v>0.4</v>
      </c>
      <c r="E1234" s="2">
        <v>28108040.559999999</v>
      </c>
      <c r="F1234" s="2">
        <v>28168438.399999999</v>
      </c>
      <c r="G1234" s="2">
        <v>4</v>
      </c>
      <c r="H1234" s="2">
        <v>2</v>
      </c>
      <c r="I1234" s="2">
        <v>2</v>
      </c>
      <c r="J1234" s="2">
        <v>3</v>
      </c>
      <c r="K1234" s="2" t="s">
        <v>306</v>
      </c>
      <c r="L1234" s="2" t="str">
        <f t="shared" si="114"/>
        <v>Loss Making</v>
      </c>
      <c r="M1234" s="2" t="str">
        <f t="shared" si="115"/>
        <v>Stable Earnings</v>
      </c>
      <c r="N1234" s="2" t="str">
        <f t="shared" si="116"/>
        <v>Moderate</v>
      </c>
      <c r="O1234" s="4" t="str">
        <f t="shared" si="117"/>
        <v>Accounting Risk</v>
      </c>
      <c r="P1234" s="4" t="str">
        <f t="shared" si="118"/>
        <v>Moderate</v>
      </c>
      <c r="Q1234" s="4" t="str">
        <f t="shared" si="119"/>
        <v>Moderate Growth</v>
      </c>
    </row>
    <row r="1235" spans="1:17" x14ac:dyDescent="0.35">
      <c r="A1235" s="2" t="s">
        <v>1245</v>
      </c>
      <c r="B1235" s="2">
        <v>5</v>
      </c>
      <c r="C1235" s="2">
        <v>7325657.5199999996</v>
      </c>
      <c r="D1235" s="2">
        <v>0.4</v>
      </c>
      <c r="E1235" s="2">
        <v>39788726.359999999</v>
      </c>
      <c r="F1235" s="2">
        <v>33348522.5</v>
      </c>
      <c r="G1235" s="2">
        <v>4</v>
      </c>
      <c r="H1235" s="2">
        <v>2</v>
      </c>
      <c r="I1235" s="2">
        <v>2</v>
      </c>
      <c r="J1235" s="2">
        <v>3</v>
      </c>
      <c r="K1235" s="2" t="s">
        <v>306</v>
      </c>
      <c r="L1235" s="2" t="str">
        <f t="shared" si="114"/>
        <v>Profitable</v>
      </c>
      <c r="M1235" s="2" t="str">
        <f t="shared" si="115"/>
        <v>Stable Earnings</v>
      </c>
      <c r="N1235" s="2" t="str">
        <f t="shared" si="116"/>
        <v>Moderate</v>
      </c>
      <c r="O1235" s="4" t="str">
        <f t="shared" si="117"/>
        <v>Accounting Risk</v>
      </c>
      <c r="P1235" s="4" t="str">
        <f t="shared" si="118"/>
        <v>Moderate</v>
      </c>
      <c r="Q1235" s="4" t="str">
        <f t="shared" si="119"/>
        <v>Moderate Growth</v>
      </c>
    </row>
    <row r="1236" spans="1:17" x14ac:dyDescent="0.35">
      <c r="A1236" s="2" t="s">
        <v>1246</v>
      </c>
      <c r="B1236" s="2">
        <v>5</v>
      </c>
      <c r="C1236" s="2">
        <v>-19793451.68</v>
      </c>
      <c r="D1236" s="2">
        <v>0.2</v>
      </c>
      <c r="E1236" s="2">
        <v>38436371.539999999</v>
      </c>
      <c r="F1236" s="2">
        <v>32396532.699999999</v>
      </c>
      <c r="G1236" s="2">
        <v>4</v>
      </c>
      <c r="H1236" s="2">
        <v>2</v>
      </c>
      <c r="I1236" s="2">
        <v>2</v>
      </c>
      <c r="J1236" s="2">
        <v>3</v>
      </c>
      <c r="K1236" s="2" t="s">
        <v>306</v>
      </c>
      <c r="L1236" s="2" t="str">
        <f t="shared" si="114"/>
        <v>Loss Making</v>
      </c>
      <c r="M1236" s="2" t="str">
        <f t="shared" si="115"/>
        <v>Stable Earnings</v>
      </c>
      <c r="N1236" s="2" t="str">
        <f t="shared" si="116"/>
        <v>Moderate</v>
      </c>
      <c r="O1236" s="4" t="str">
        <f t="shared" si="117"/>
        <v>Accounting Risk</v>
      </c>
      <c r="P1236" s="4" t="str">
        <f t="shared" si="118"/>
        <v>Moderate</v>
      </c>
      <c r="Q1236" s="4" t="str">
        <f t="shared" si="119"/>
        <v>Moderate Growth</v>
      </c>
    </row>
    <row r="1237" spans="1:17" x14ac:dyDescent="0.35">
      <c r="A1237" s="2" t="s">
        <v>1247</v>
      </c>
      <c r="B1237" s="2">
        <v>5</v>
      </c>
      <c r="C1237" s="2">
        <v>-19803668.780000001</v>
      </c>
      <c r="D1237" s="2">
        <v>0.4</v>
      </c>
      <c r="E1237" s="2">
        <v>34168297.039999999</v>
      </c>
      <c r="F1237" s="2">
        <v>33524784.5</v>
      </c>
      <c r="G1237" s="2">
        <v>4</v>
      </c>
      <c r="H1237" s="2">
        <v>2</v>
      </c>
      <c r="I1237" s="2">
        <v>2</v>
      </c>
      <c r="J1237" s="2">
        <v>3</v>
      </c>
      <c r="K1237" s="2" t="s">
        <v>306</v>
      </c>
      <c r="L1237" s="2" t="str">
        <f t="shared" si="114"/>
        <v>Loss Making</v>
      </c>
      <c r="M1237" s="2" t="str">
        <f t="shared" si="115"/>
        <v>Stable Earnings</v>
      </c>
      <c r="N1237" s="2" t="str">
        <f t="shared" si="116"/>
        <v>Moderate</v>
      </c>
      <c r="O1237" s="4" t="str">
        <f t="shared" si="117"/>
        <v>Accounting Risk</v>
      </c>
      <c r="P1237" s="4" t="str">
        <f t="shared" si="118"/>
        <v>Moderate</v>
      </c>
      <c r="Q1237" s="4" t="str">
        <f t="shared" si="119"/>
        <v>Moderate Growth</v>
      </c>
    </row>
    <row r="1238" spans="1:17" x14ac:dyDescent="0.35">
      <c r="A1238" s="2" t="s">
        <v>1248</v>
      </c>
      <c r="B1238" s="2">
        <v>5</v>
      </c>
      <c r="C1238" s="2">
        <v>2764503.68</v>
      </c>
      <c r="D1238" s="2">
        <v>0.4</v>
      </c>
      <c r="E1238" s="2">
        <v>32502251.579999998</v>
      </c>
      <c r="F1238" s="2">
        <v>37941312.399999999</v>
      </c>
      <c r="G1238" s="2">
        <v>4</v>
      </c>
      <c r="H1238" s="2">
        <v>2</v>
      </c>
      <c r="I1238" s="2">
        <v>2</v>
      </c>
      <c r="J1238" s="2">
        <v>3</v>
      </c>
      <c r="K1238" s="2" t="s">
        <v>306</v>
      </c>
      <c r="L1238" s="2" t="str">
        <f t="shared" si="114"/>
        <v>Profitable</v>
      </c>
      <c r="M1238" s="2" t="str">
        <f t="shared" si="115"/>
        <v>Stable Earnings</v>
      </c>
      <c r="N1238" s="2" t="str">
        <f t="shared" si="116"/>
        <v>Moderate</v>
      </c>
      <c r="O1238" s="4" t="str">
        <f t="shared" si="117"/>
        <v>Accounting Risk</v>
      </c>
      <c r="P1238" s="4" t="str">
        <f t="shared" si="118"/>
        <v>Moderate</v>
      </c>
      <c r="Q1238" s="4" t="str">
        <f t="shared" si="119"/>
        <v>Moderate Growth</v>
      </c>
    </row>
    <row r="1239" spans="1:17" x14ac:dyDescent="0.35">
      <c r="A1239" s="2" t="s">
        <v>1249</v>
      </c>
      <c r="B1239" s="2">
        <v>5</v>
      </c>
      <c r="C1239" s="2">
        <v>-8293129.3200000003</v>
      </c>
      <c r="D1239" s="2">
        <v>0.2</v>
      </c>
      <c r="E1239" s="2">
        <v>23822038.510000002</v>
      </c>
      <c r="F1239" s="2">
        <v>36413646.399999999</v>
      </c>
      <c r="G1239" s="2">
        <v>4</v>
      </c>
      <c r="H1239" s="2">
        <v>2</v>
      </c>
      <c r="I1239" s="2">
        <v>2</v>
      </c>
      <c r="J1239" s="2">
        <v>3</v>
      </c>
      <c r="K1239" s="2" t="s">
        <v>306</v>
      </c>
      <c r="L1239" s="2" t="str">
        <f t="shared" si="114"/>
        <v>Loss Making</v>
      </c>
      <c r="M1239" s="2" t="str">
        <f t="shared" si="115"/>
        <v>Stable Earnings</v>
      </c>
      <c r="N1239" s="2" t="str">
        <f t="shared" si="116"/>
        <v>Moderate</v>
      </c>
      <c r="O1239" s="4" t="str">
        <f t="shared" si="117"/>
        <v>Accounting Risk</v>
      </c>
      <c r="P1239" s="4" t="str">
        <f t="shared" si="118"/>
        <v>Moderate</v>
      </c>
      <c r="Q1239" s="4" t="str">
        <f t="shared" si="119"/>
        <v>Moderate Growth</v>
      </c>
    </row>
    <row r="1240" spans="1:17" x14ac:dyDescent="0.35">
      <c r="A1240" s="2" t="s">
        <v>1250</v>
      </c>
      <c r="B1240" s="2">
        <v>5</v>
      </c>
      <c r="C1240" s="2">
        <v>32814702.260000002</v>
      </c>
      <c r="D1240" s="2">
        <v>0.6</v>
      </c>
      <c r="E1240" s="2">
        <v>108037722.7</v>
      </c>
      <c r="F1240" s="2">
        <v>21688857.100000001</v>
      </c>
      <c r="G1240" s="2">
        <v>3</v>
      </c>
      <c r="H1240" s="2">
        <v>3</v>
      </c>
      <c r="I1240" s="2">
        <v>3</v>
      </c>
      <c r="J1240" s="2">
        <v>3</v>
      </c>
      <c r="K1240" s="2" t="s">
        <v>306</v>
      </c>
      <c r="L1240" s="2" t="str">
        <f t="shared" si="114"/>
        <v>Profitable</v>
      </c>
      <c r="M1240" s="2" t="str">
        <f t="shared" si="115"/>
        <v>Stable Earnings</v>
      </c>
      <c r="N1240" s="2" t="str">
        <f t="shared" si="116"/>
        <v>Low Quality</v>
      </c>
      <c r="O1240" s="4" t="str">
        <f t="shared" si="117"/>
        <v>Accounting Risk</v>
      </c>
      <c r="P1240" s="4" t="str">
        <f t="shared" si="118"/>
        <v>Low Quality</v>
      </c>
      <c r="Q1240" s="4" t="str">
        <f t="shared" si="119"/>
        <v>Moderate Growth</v>
      </c>
    </row>
    <row r="1241" spans="1:17" x14ac:dyDescent="0.35">
      <c r="A1241" s="2" t="s">
        <v>1251</v>
      </c>
      <c r="B1241" s="2">
        <v>5</v>
      </c>
      <c r="C1241" s="2">
        <v>-8301271.5</v>
      </c>
      <c r="D1241" s="2">
        <v>0.4</v>
      </c>
      <c r="E1241" s="2">
        <v>27480694.870000001</v>
      </c>
      <c r="F1241" s="2">
        <v>26802422.800000001</v>
      </c>
      <c r="G1241" s="2">
        <v>4</v>
      </c>
      <c r="H1241" s="2">
        <v>2</v>
      </c>
      <c r="I1241" s="2">
        <v>2</v>
      </c>
      <c r="J1241" s="2">
        <v>3</v>
      </c>
      <c r="K1241" s="2" t="s">
        <v>306</v>
      </c>
      <c r="L1241" s="2" t="str">
        <f t="shared" si="114"/>
        <v>Loss Making</v>
      </c>
      <c r="M1241" s="2" t="str">
        <f t="shared" si="115"/>
        <v>Stable Earnings</v>
      </c>
      <c r="N1241" s="2" t="str">
        <f t="shared" si="116"/>
        <v>Moderate</v>
      </c>
      <c r="O1241" s="4" t="str">
        <f t="shared" si="117"/>
        <v>Accounting Risk</v>
      </c>
      <c r="P1241" s="4" t="str">
        <f t="shared" si="118"/>
        <v>Moderate</v>
      </c>
      <c r="Q1241" s="4" t="str">
        <f t="shared" si="119"/>
        <v>Moderate Growth</v>
      </c>
    </row>
    <row r="1242" spans="1:17" x14ac:dyDescent="0.35">
      <c r="A1242" s="2" t="s">
        <v>1252</v>
      </c>
      <c r="B1242" s="2">
        <v>5</v>
      </c>
      <c r="C1242" s="2">
        <v>57210496.479999997</v>
      </c>
      <c r="D1242" s="2">
        <v>0.8</v>
      </c>
      <c r="E1242" s="2">
        <v>50865145.119999997</v>
      </c>
      <c r="F1242" s="2">
        <v>12319510.6</v>
      </c>
      <c r="G1242" s="2">
        <v>3</v>
      </c>
      <c r="H1242" s="2">
        <v>3</v>
      </c>
      <c r="I1242" s="2">
        <v>3</v>
      </c>
      <c r="J1242" s="2">
        <v>3</v>
      </c>
      <c r="K1242" s="2" t="s">
        <v>306</v>
      </c>
      <c r="L1242" s="2" t="str">
        <f t="shared" si="114"/>
        <v>Profitable</v>
      </c>
      <c r="M1242" s="2" t="str">
        <f t="shared" si="115"/>
        <v>Stable Earnings</v>
      </c>
      <c r="N1242" s="2" t="str">
        <f t="shared" si="116"/>
        <v>Low Quality</v>
      </c>
      <c r="O1242" s="4" t="str">
        <f t="shared" si="117"/>
        <v>Operational Growth</v>
      </c>
      <c r="P1242" s="4" t="str">
        <f t="shared" si="118"/>
        <v>Low Quality</v>
      </c>
      <c r="Q1242" s="4" t="str">
        <f t="shared" si="119"/>
        <v>Moderate Growth</v>
      </c>
    </row>
    <row r="1243" spans="1:17" x14ac:dyDescent="0.35">
      <c r="A1243" s="2" t="s">
        <v>1253</v>
      </c>
      <c r="B1243" s="2">
        <v>5</v>
      </c>
      <c r="C1243" s="2">
        <v>40080894.579999998</v>
      </c>
      <c r="D1243" s="2">
        <v>0.8</v>
      </c>
      <c r="E1243" s="2">
        <v>68791314.239999995</v>
      </c>
      <c r="F1243" s="2">
        <v>10471981.6</v>
      </c>
      <c r="G1243" s="2">
        <v>3</v>
      </c>
      <c r="H1243" s="2">
        <v>3</v>
      </c>
      <c r="I1243" s="2">
        <v>3</v>
      </c>
      <c r="J1243" s="2">
        <v>3</v>
      </c>
      <c r="K1243" s="2" t="s">
        <v>306</v>
      </c>
      <c r="L1243" s="2" t="str">
        <f t="shared" si="114"/>
        <v>Profitable</v>
      </c>
      <c r="M1243" s="2" t="str">
        <f t="shared" si="115"/>
        <v>Stable Earnings</v>
      </c>
      <c r="N1243" s="2" t="str">
        <f t="shared" si="116"/>
        <v>Low Quality</v>
      </c>
      <c r="O1243" s="4" t="str">
        <f t="shared" si="117"/>
        <v>Operational Growth</v>
      </c>
      <c r="P1243" s="4" t="str">
        <f t="shared" si="118"/>
        <v>Low Quality</v>
      </c>
      <c r="Q1243" s="4" t="str">
        <f t="shared" si="119"/>
        <v>Moderate Growth</v>
      </c>
    </row>
    <row r="1244" spans="1:17" x14ac:dyDescent="0.35">
      <c r="A1244" s="2" t="s">
        <v>1254</v>
      </c>
      <c r="B1244" s="2">
        <v>5</v>
      </c>
      <c r="C1244" s="2">
        <v>-1415958.54</v>
      </c>
      <c r="D1244" s="2">
        <v>0.6</v>
      </c>
      <c r="E1244" s="2">
        <v>50026691.170000002</v>
      </c>
      <c r="F1244" s="2">
        <v>10112654</v>
      </c>
      <c r="G1244" s="2">
        <v>3</v>
      </c>
      <c r="H1244" s="2">
        <v>3</v>
      </c>
      <c r="I1244" s="2">
        <v>3</v>
      </c>
      <c r="J1244" s="2">
        <v>3</v>
      </c>
      <c r="K1244" s="2" t="s">
        <v>306</v>
      </c>
      <c r="L1244" s="2" t="str">
        <f t="shared" si="114"/>
        <v>Loss Making</v>
      </c>
      <c r="M1244" s="2" t="str">
        <f t="shared" si="115"/>
        <v>Stable Earnings</v>
      </c>
      <c r="N1244" s="2" t="str">
        <f t="shared" si="116"/>
        <v>Low Quality</v>
      </c>
      <c r="O1244" s="4" t="str">
        <f t="shared" si="117"/>
        <v>Accounting Risk</v>
      </c>
      <c r="P1244" s="4" t="str">
        <f t="shared" si="118"/>
        <v>Low Quality</v>
      </c>
      <c r="Q1244" s="4" t="str">
        <f t="shared" si="119"/>
        <v>Moderate Growth</v>
      </c>
    </row>
    <row r="1245" spans="1:17" x14ac:dyDescent="0.35">
      <c r="A1245" s="2" t="s">
        <v>1255</v>
      </c>
      <c r="B1245" s="2">
        <v>5</v>
      </c>
      <c r="C1245" s="2">
        <v>43587398.159999996</v>
      </c>
      <c r="D1245" s="2">
        <v>0.8</v>
      </c>
      <c r="E1245" s="2">
        <v>47026571.920000002</v>
      </c>
      <c r="F1245" s="2">
        <v>7658625.7000000002</v>
      </c>
      <c r="G1245" s="2">
        <v>3</v>
      </c>
      <c r="H1245" s="2">
        <v>3</v>
      </c>
      <c r="I1245" s="2">
        <v>3</v>
      </c>
      <c r="J1245" s="2">
        <v>3</v>
      </c>
      <c r="K1245" s="2" t="s">
        <v>306</v>
      </c>
      <c r="L1245" s="2" t="str">
        <f t="shared" si="114"/>
        <v>Profitable</v>
      </c>
      <c r="M1245" s="2" t="str">
        <f t="shared" si="115"/>
        <v>Stable Earnings</v>
      </c>
      <c r="N1245" s="2" t="str">
        <f t="shared" si="116"/>
        <v>Low Quality</v>
      </c>
      <c r="O1245" s="4" t="str">
        <f t="shared" si="117"/>
        <v>Operational Growth</v>
      </c>
      <c r="P1245" s="4" t="str">
        <f t="shared" si="118"/>
        <v>Low Quality</v>
      </c>
      <c r="Q1245" s="4" t="str">
        <f t="shared" si="119"/>
        <v>Moderate Growth</v>
      </c>
    </row>
    <row r="1246" spans="1:17" x14ac:dyDescent="0.35">
      <c r="A1246" s="2" t="s">
        <v>1256</v>
      </c>
      <c r="B1246" s="2">
        <v>5</v>
      </c>
      <c r="C1246" s="2">
        <v>14805307554</v>
      </c>
      <c r="D1246" s="2">
        <v>1</v>
      </c>
      <c r="E1246" s="2">
        <v>9364319605</v>
      </c>
      <c r="F1246" s="2">
        <v>-20314473037</v>
      </c>
      <c r="G1246" s="2">
        <v>1</v>
      </c>
      <c r="H1246" s="2">
        <v>5</v>
      </c>
      <c r="I1246" s="2">
        <v>5</v>
      </c>
      <c r="J1246" s="2">
        <v>3</v>
      </c>
      <c r="K1246" s="2" t="s">
        <v>306</v>
      </c>
      <c r="L1246" s="2" t="str">
        <f t="shared" si="114"/>
        <v>Profitable</v>
      </c>
      <c r="M1246" s="2" t="str">
        <f t="shared" si="115"/>
        <v>High Volatility</v>
      </c>
      <c r="N1246" s="2" t="str">
        <f t="shared" si="116"/>
        <v>Low Quality</v>
      </c>
      <c r="O1246" s="4" t="str">
        <f t="shared" si="117"/>
        <v>Accounting Risk</v>
      </c>
      <c r="P1246" s="4" t="str">
        <f t="shared" si="118"/>
        <v>Low Quality</v>
      </c>
      <c r="Q1246" s="4" t="str">
        <f t="shared" si="119"/>
        <v>Strong Long-Term Growth</v>
      </c>
    </row>
    <row r="1247" spans="1:17" x14ac:dyDescent="0.35">
      <c r="A1247" s="2" t="s">
        <v>1257</v>
      </c>
      <c r="B1247" s="2">
        <v>5</v>
      </c>
      <c r="C1247" s="2">
        <v>3201402449</v>
      </c>
      <c r="D1247" s="2">
        <v>1</v>
      </c>
      <c r="E1247" s="2">
        <v>1962011912</v>
      </c>
      <c r="F1247" s="2">
        <v>-4842307325</v>
      </c>
      <c r="G1247" s="2">
        <v>1</v>
      </c>
      <c r="H1247" s="2">
        <v>5</v>
      </c>
      <c r="I1247" s="2">
        <v>5</v>
      </c>
      <c r="J1247" s="2">
        <v>3</v>
      </c>
      <c r="K1247" s="2" t="s">
        <v>306</v>
      </c>
      <c r="L1247" s="2" t="str">
        <f t="shared" si="114"/>
        <v>Profitable</v>
      </c>
      <c r="M1247" s="2" t="str">
        <f t="shared" si="115"/>
        <v>High Volatility</v>
      </c>
      <c r="N1247" s="2" t="str">
        <f t="shared" si="116"/>
        <v>Low Quality</v>
      </c>
      <c r="O1247" s="4" t="str">
        <f t="shared" si="117"/>
        <v>Accounting Risk</v>
      </c>
      <c r="P1247" s="4" t="str">
        <f t="shared" si="118"/>
        <v>Low Quality</v>
      </c>
      <c r="Q1247" s="4" t="str">
        <f t="shared" si="119"/>
        <v>Strong Long-Term Growth</v>
      </c>
    </row>
    <row r="1248" spans="1:17" x14ac:dyDescent="0.35">
      <c r="A1248" s="2" t="s">
        <v>1258</v>
      </c>
      <c r="B1248" s="2">
        <v>5</v>
      </c>
      <c r="C1248" s="2">
        <v>6282913694</v>
      </c>
      <c r="D1248" s="2">
        <v>1</v>
      </c>
      <c r="E1248" s="2">
        <v>1281383303</v>
      </c>
      <c r="F1248" s="2">
        <v>-3016328498</v>
      </c>
      <c r="G1248" s="2">
        <v>1</v>
      </c>
      <c r="H1248" s="2">
        <v>5</v>
      </c>
      <c r="I1248" s="2">
        <v>5</v>
      </c>
      <c r="J1248" s="2">
        <v>3</v>
      </c>
      <c r="K1248" s="2" t="s">
        <v>306</v>
      </c>
      <c r="L1248" s="2" t="str">
        <f t="shared" si="114"/>
        <v>Profitable</v>
      </c>
      <c r="M1248" s="2" t="str">
        <f t="shared" si="115"/>
        <v>High Volatility</v>
      </c>
      <c r="N1248" s="2" t="str">
        <f t="shared" si="116"/>
        <v>Low Quality</v>
      </c>
      <c r="O1248" s="4" t="str">
        <f t="shared" si="117"/>
        <v>Accounting Risk</v>
      </c>
      <c r="P1248" s="4" t="str">
        <f t="shared" si="118"/>
        <v>Low Quality</v>
      </c>
      <c r="Q1248" s="4" t="str">
        <f t="shared" si="119"/>
        <v>Strong Long-Term Growth</v>
      </c>
    </row>
    <row r="1249" spans="1:17" x14ac:dyDescent="0.35">
      <c r="A1249" s="2" t="s">
        <v>1259</v>
      </c>
      <c r="B1249" s="2">
        <v>5</v>
      </c>
      <c r="C1249" s="2">
        <v>7966151040</v>
      </c>
      <c r="D1249" s="2">
        <v>1</v>
      </c>
      <c r="E1249" s="2">
        <v>3299528105</v>
      </c>
      <c r="F1249" s="2">
        <v>-3260661980</v>
      </c>
      <c r="G1249" s="2">
        <v>1</v>
      </c>
      <c r="H1249" s="2">
        <v>5</v>
      </c>
      <c r="I1249" s="2">
        <v>5</v>
      </c>
      <c r="J1249" s="2">
        <v>3</v>
      </c>
      <c r="K1249" s="2" t="s">
        <v>306</v>
      </c>
      <c r="L1249" s="2" t="str">
        <f t="shared" si="114"/>
        <v>Profitable</v>
      </c>
      <c r="M1249" s="2" t="str">
        <f t="shared" si="115"/>
        <v>High Volatility</v>
      </c>
      <c r="N1249" s="2" t="str">
        <f t="shared" si="116"/>
        <v>Low Quality</v>
      </c>
      <c r="O1249" s="4" t="str">
        <f t="shared" si="117"/>
        <v>Accounting Risk</v>
      </c>
      <c r="P1249" s="4" t="str">
        <f t="shared" si="118"/>
        <v>Low Quality</v>
      </c>
      <c r="Q1249" s="4" t="str">
        <f t="shared" si="119"/>
        <v>Strong Long-Term Growth</v>
      </c>
    </row>
    <row r="1250" spans="1:17" x14ac:dyDescent="0.35">
      <c r="A1250" s="2" t="s">
        <v>1260</v>
      </c>
      <c r="B1250" s="2">
        <v>5</v>
      </c>
      <c r="C1250" s="2">
        <v>2190839731</v>
      </c>
      <c r="D1250" s="2">
        <v>1</v>
      </c>
      <c r="E1250" s="2">
        <v>1873091613</v>
      </c>
      <c r="F1250" s="2">
        <v>-3665172856</v>
      </c>
      <c r="G1250" s="2">
        <v>1</v>
      </c>
      <c r="H1250" s="2">
        <v>5</v>
      </c>
      <c r="I1250" s="2">
        <v>5</v>
      </c>
      <c r="J1250" s="2">
        <v>3</v>
      </c>
      <c r="K1250" s="2" t="s">
        <v>306</v>
      </c>
      <c r="L1250" s="2" t="str">
        <f t="shared" si="114"/>
        <v>Profitable</v>
      </c>
      <c r="M1250" s="2" t="str">
        <f t="shared" si="115"/>
        <v>High Volatility</v>
      </c>
      <c r="N1250" s="2" t="str">
        <f t="shared" si="116"/>
        <v>Low Quality</v>
      </c>
      <c r="O1250" s="4" t="str">
        <f t="shared" si="117"/>
        <v>Accounting Risk</v>
      </c>
      <c r="P1250" s="4" t="str">
        <f t="shared" si="118"/>
        <v>Low Quality</v>
      </c>
      <c r="Q1250" s="4" t="str">
        <f t="shared" si="119"/>
        <v>Strong Long-Term Growth</v>
      </c>
    </row>
    <row r="1251" spans="1:17" x14ac:dyDescent="0.35">
      <c r="A1251" s="2" t="s">
        <v>1261</v>
      </c>
      <c r="B1251" s="2">
        <v>5</v>
      </c>
      <c r="C1251" s="2">
        <v>3800506446</v>
      </c>
      <c r="D1251" s="2">
        <v>1</v>
      </c>
      <c r="E1251" s="2">
        <v>1263628966</v>
      </c>
      <c r="F1251" s="2">
        <v>-1314828175</v>
      </c>
      <c r="G1251" s="2">
        <v>1</v>
      </c>
      <c r="H1251" s="2">
        <v>5</v>
      </c>
      <c r="I1251" s="2">
        <v>5</v>
      </c>
      <c r="J1251" s="2">
        <v>3</v>
      </c>
      <c r="K1251" s="2" t="s">
        <v>306</v>
      </c>
      <c r="L1251" s="2" t="str">
        <f t="shared" si="114"/>
        <v>Profitable</v>
      </c>
      <c r="M1251" s="2" t="str">
        <f t="shared" si="115"/>
        <v>High Volatility</v>
      </c>
      <c r="N1251" s="2" t="str">
        <f t="shared" si="116"/>
        <v>Low Quality</v>
      </c>
      <c r="O1251" s="4" t="str">
        <f t="shared" si="117"/>
        <v>Accounting Risk</v>
      </c>
      <c r="P1251" s="4" t="str">
        <f t="shared" si="118"/>
        <v>Low Quality</v>
      </c>
      <c r="Q1251" s="4" t="str">
        <f t="shared" si="119"/>
        <v>Strong Long-Term Growth</v>
      </c>
    </row>
    <row r="1252" spans="1:17" x14ac:dyDescent="0.35">
      <c r="A1252" s="2" t="s">
        <v>1262</v>
      </c>
      <c r="B1252" s="2">
        <v>5</v>
      </c>
      <c r="C1252" s="2">
        <v>6852831329</v>
      </c>
      <c r="D1252" s="2">
        <v>1</v>
      </c>
      <c r="E1252" s="2">
        <v>815388754.89999998</v>
      </c>
      <c r="F1252" s="2">
        <v>-1372394617</v>
      </c>
      <c r="G1252" s="2">
        <v>1</v>
      </c>
      <c r="H1252" s="2">
        <v>5</v>
      </c>
      <c r="I1252" s="2">
        <v>5</v>
      </c>
      <c r="J1252" s="2">
        <v>3</v>
      </c>
      <c r="K1252" s="2" t="s">
        <v>306</v>
      </c>
      <c r="L1252" s="2" t="str">
        <f t="shared" si="114"/>
        <v>Profitable</v>
      </c>
      <c r="M1252" s="2" t="str">
        <f t="shared" si="115"/>
        <v>High Volatility</v>
      </c>
      <c r="N1252" s="2" t="str">
        <f t="shared" si="116"/>
        <v>Low Quality</v>
      </c>
      <c r="O1252" s="4" t="str">
        <f t="shared" si="117"/>
        <v>Accounting Risk</v>
      </c>
      <c r="P1252" s="4" t="str">
        <f t="shared" si="118"/>
        <v>Low Quality</v>
      </c>
      <c r="Q1252" s="4" t="str">
        <f t="shared" si="119"/>
        <v>Strong Long-Term Growth</v>
      </c>
    </row>
    <row r="1253" spans="1:17" x14ac:dyDescent="0.35">
      <c r="A1253" s="2" t="s">
        <v>1263</v>
      </c>
      <c r="B1253" s="2">
        <v>5</v>
      </c>
      <c r="C1253" s="2">
        <v>3321887931</v>
      </c>
      <c r="D1253" s="2">
        <v>1</v>
      </c>
      <c r="E1253" s="2">
        <v>1715310017</v>
      </c>
      <c r="F1253" s="2">
        <v>-1292304977</v>
      </c>
      <c r="G1253" s="2">
        <v>1</v>
      </c>
      <c r="H1253" s="2">
        <v>5</v>
      </c>
      <c r="I1253" s="2">
        <v>5</v>
      </c>
      <c r="J1253" s="2">
        <v>3</v>
      </c>
      <c r="K1253" s="2" t="s">
        <v>306</v>
      </c>
      <c r="L1253" s="2" t="str">
        <f t="shared" si="114"/>
        <v>Profitable</v>
      </c>
      <c r="M1253" s="2" t="str">
        <f t="shared" si="115"/>
        <v>High Volatility</v>
      </c>
      <c r="N1253" s="2" t="str">
        <f t="shared" si="116"/>
        <v>Low Quality</v>
      </c>
      <c r="O1253" s="4" t="str">
        <f t="shared" si="117"/>
        <v>Accounting Risk</v>
      </c>
      <c r="P1253" s="4" t="str">
        <f t="shared" si="118"/>
        <v>Low Quality</v>
      </c>
      <c r="Q1253" s="4" t="str">
        <f t="shared" si="119"/>
        <v>Strong Long-Term Growth</v>
      </c>
    </row>
    <row r="1254" spans="1:17" x14ac:dyDescent="0.35">
      <c r="A1254" s="2" t="s">
        <v>1264</v>
      </c>
      <c r="B1254" s="2">
        <v>5</v>
      </c>
      <c r="C1254" s="2">
        <v>1794500404</v>
      </c>
      <c r="D1254" s="2">
        <v>1</v>
      </c>
      <c r="E1254" s="2">
        <v>634630557.60000002</v>
      </c>
      <c r="F1254" s="2">
        <v>-1477987490</v>
      </c>
      <c r="G1254" s="2">
        <v>1</v>
      </c>
      <c r="H1254" s="2">
        <v>5</v>
      </c>
      <c r="I1254" s="2">
        <v>5</v>
      </c>
      <c r="J1254" s="2">
        <v>3</v>
      </c>
      <c r="K1254" s="2" t="s">
        <v>306</v>
      </c>
      <c r="L1254" s="2" t="str">
        <f t="shared" si="114"/>
        <v>Profitable</v>
      </c>
      <c r="M1254" s="2" t="str">
        <f t="shared" si="115"/>
        <v>High Volatility</v>
      </c>
      <c r="N1254" s="2" t="str">
        <f t="shared" si="116"/>
        <v>Low Quality</v>
      </c>
      <c r="O1254" s="4" t="str">
        <f t="shared" si="117"/>
        <v>Accounting Risk</v>
      </c>
      <c r="P1254" s="4" t="str">
        <f t="shared" si="118"/>
        <v>Low Quality</v>
      </c>
      <c r="Q1254" s="4" t="str">
        <f t="shared" si="119"/>
        <v>Strong Long-Term Growth</v>
      </c>
    </row>
    <row r="1255" spans="1:17" x14ac:dyDescent="0.35">
      <c r="A1255" s="2" t="s">
        <v>1265</v>
      </c>
      <c r="B1255" s="2">
        <v>5</v>
      </c>
      <c r="C1255" s="2">
        <v>4251681120</v>
      </c>
      <c r="D1255" s="2">
        <v>1</v>
      </c>
      <c r="E1255" s="2">
        <v>1448231726</v>
      </c>
      <c r="F1255" s="2">
        <v>-1486619141</v>
      </c>
      <c r="G1255" s="2">
        <v>1</v>
      </c>
      <c r="H1255" s="2">
        <v>5</v>
      </c>
      <c r="I1255" s="2">
        <v>5</v>
      </c>
      <c r="J1255" s="2">
        <v>3</v>
      </c>
      <c r="K1255" s="2" t="s">
        <v>306</v>
      </c>
      <c r="L1255" s="2" t="str">
        <f t="shared" si="114"/>
        <v>Profitable</v>
      </c>
      <c r="M1255" s="2" t="str">
        <f t="shared" si="115"/>
        <v>High Volatility</v>
      </c>
      <c r="N1255" s="2" t="str">
        <f t="shared" si="116"/>
        <v>Low Quality</v>
      </c>
      <c r="O1255" s="4" t="str">
        <f t="shared" si="117"/>
        <v>Accounting Risk</v>
      </c>
      <c r="P1255" s="4" t="str">
        <f t="shared" si="118"/>
        <v>Low Quality</v>
      </c>
      <c r="Q1255" s="4" t="str">
        <f t="shared" si="119"/>
        <v>Strong Long-Term Growth</v>
      </c>
    </row>
    <row r="1256" spans="1:17" x14ac:dyDescent="0.35">
      <c r="A1256" s="2" t="s">
        <v>1266</v>
      </c>
      <c r="B1256" s="2">
        <v>5</v>
      </c>
      <c r="C1256" s="2">
        <v>5824950778</v>
      </c>
      <c r="D1256" s="2">
        <v>1</v>
      </c>
      <c r="E1256" s="2">
        <v>2792553363</v>
      </c>
      <c r="F1256" s="2">
        <v>-1589628516</v>
      </c>
      <c r="G1256" s="2">
        <v>1</v>
      </c>
      <c r="H1256" s="2">
        <v>5</v>
      </c>
      <c r="I1256" s="2">
        <v>5</v>
      </c>
      <c r="J1256" s="2">
        <v>3</v>
      </c>
      <c r="K1256" s="2" t="s">
        <v>306</v>
      </c>
      <c r="L1256" s="2" t="str">
        <f t="shared" si="114"/>
        <v>Profitable</v>
      </c>
      <c r="M1256" s="2" t="str">
        <f t="shared" si="115"/>
        <v>High Volatility</v>
      </c>
      <c r="N1256" s="2" t="str">
        <f t="shared" si="116"/>
        <v>Low Quality</v>
      </c>
      <c r="O1256" s="4" t="str">
        <f t="shared" si="117"/>
        <v>Accounting Risk</v>
      </c>
      <c r="P1256" s="4" t="str">
        <f t="shared" si="118"/>
        <v>Low Quality</v>
      </c>
      <c r="Q1256" s="4" t="str">
        <f t="shared" si="119"/>
        <v>Strong Long-Term Growth</v>
      </c>
    </row>
    <row r="1257" spans="1:17" x14ac:dyDescent="0.35">
      <c r="A1257" s="2" t="s">
        <v>1267</v>
      </c>
      <c r="B1257" s="2">
        <v>5</v>
      </c>
      <c r="C1257" s="2">
        <v>-33088089.68</v>
      </c>
      <c r="D1257" s="2">
        <v>0</v>
      </c>
      <c r="E1257" s="2">
        <v>7074973.6560000004</v>
      </c>
      <c r="F1257" s="2">
        <v>7631287.7999999998</v>
      </c>
      <c r="G1257" s="2">
        <v>4</v>
      </c>
      <c r="H1257" s="2">
        <v>1</v>
      </c>
      <c r="I1257" s="2">
        <v>3</v>
      </c>
      <c r="J1257" s="2">
        <v>2.9</v>
      </c>
      <c r="K1257" s="2" t="s">
        <v>1268</v>
      </c>
      <c r="L1257" s="2" t="str">
        <f t="shared" si="114"/>
        <v>Loss Making</v>
      </c>
      <c r="M1257" s="2" t="str">
        <f t="shared" si="115"/>
        <v>Stable Earnings</v>
      </c>
      <c r="N1257" s="2" t="str">
        <f t="shared" si="116"/>
        <v>Moderate</v>
      </c>
      <c r="O1257" s="4" t="str">
        <f t="shared" si="117"/>
        <v>Accounting Risk</v>
      </c>
      <c r="P1257" s="4" t="str">
        <f t="shared" si="118"/>
        <v>Moderate</v>
      </c>
      <c r="Q1257" s="4" t="str">
        <f t="shared" si="119"/>
        <v>Moderate Growth</v>
      </c>
    </row>
    <row r="1258" spans="1:17" x14ac:dyDescent="0.35">
      <c r="A1258" s="2" t="s">
        <v>1269</v>
      </c>
      <c r="B1258" s="2">
        <v>5</v>
      </c>
      <c r="C1258" s="2">
        <v>-749193.84</v>
      </c>
      <c r="D1258" s="2">
        <v>0.4</v>
      </c>
      <c r="E1258" s="2">
        <v>5349269.3729999997</v>
      </c>
      <c r="F1258" s="2">
        <v>7750672.2999999998</v>
      </c>
      <c r="G1258" s="2">
        <v>4</v>
      </c>
      <c r="H1258" s="2">
        <v>1</v>
      </c>
      <c r="I1258" s="2">
        <v>3</v>
      </c>
      <c r="J1258" s="2">
        <v>2.9</v>
      </c>
      <c r="K1258" s="2" t="s">
        <v>1268</v>
      </c>
      <c r="L1258" s="2" t="str">
        <f t="shared" si="114"/>
        <v>Loss Making</v>
      </c>
      <c r="M1258" s="2" t="str">
        <f t="shared" si="115"/>
        <v>Stable Earnings</v>
      </c>
      <c r="N1258" s="2" t="str">
        <f t="shared" si="116"/>
        <v>Moderate</v>
      </c>
      <c r="O1258" s="4" t="str">
        <f t="shared" si="117"/>
        <v>Accounting Risk</v>
      </c>
      <c r="P1258" s="4" t="str">
        <f t="shared" si="118"/>
        <v>Moderate</v>
      </c>
      <c r="Q1258" s="4" t="str">
        <f t="shared" si="119"/>
        <v>Moderate Growth</v>
      </c>
    </row>
    <row r="1259" spans="1:17" x14ac:dyDescent="0.35">
      <c r="A1259" s="2" t="s">
        <v>1270</v>
      </c>
      <c r="B1259" s="2">
        <v>5</v>
      </c>
      <c r="C1259" s="2">
        <v>-17959018.940000001</v>
      </c>
      <c r="D1259" s="2">
        <v>0</v>
      </c>
      <c r="E1259" s="2">
        <v>5412957.1449999996</v>
      </c>
      <c r="F1259" s="2">
        <v>8299413.9000000004</v>
      </c>
      <c r="G1259" s="2">
        <v>4</v>
      </c>
      <c r="H1259" s="2">
        <v>1</v>
      </c>
      <c r="I1259" s="2">
        <v>3</v>
      </c>
      <c r="J1259" s="2">
        <v>2.9</v>
      </c>
      <c r="K1259" s="2" t="s">
        <v>1268</v>
      </c>
      <c r="L1259" s="2" t="str">
        <f t="shared" si="114"/>
        <v>Loss Making</v>
      </c>
      <c r="M1259" s="2" t="str">
        <f t="shared" si="115"/>
        <v>Stable Earnings</v>
      </c>
      <c r="N1259" s="2" t="str">
        <f t="shared" si="116"/>
        <v>Moderate</v>
      </c>
      <c r="O1259" s="4" t="str">
        <f t="shared" si="117"/>
        <v>Accounting Risk</v>
      </c>
      <c r="P1259" s="4" t="str">
        <f t="shared" si="118"/>
        <v>Moderate</v>
      </c>
      <c r="Q1259" s="4" t="str">
        <f t="shared" si="119"/>
        <v>Moderate Growth</v>
      </c>
    </row>
    <row r="1260" spans="1:17" x14ac:dyDescent="0.35">
      <c r="A1260" s="2" t="s">
        <v>1271</v>
      </c>
      <c r="B1260" s="2">
        <v>5</v>
      </c>
      <c r="C1260" s="2">
        <v>-8061263.2000000002</v>
      </c>
      <c r="D1260" s="2">
        <v>0</v>
      </c>
      <c r="E1260" s="2">
        <v>3716375.1150000002</v>
      </c>
      <c r="F1260" s="2">
        <v>9125448.3000000007</v>
      </c>
      <c r="G1260" s="2">
        <v>4</v>
      </c>
      <c r="H1260" s="2">
        <v>1</v>
      </c>
      <c r="I1260" s="2">
        <v>3</v>
      </c>
      <c r="J1260" s="2">
        <v>2.9</v>
      </c>
      <c r="K1260" s="2" t="s">
        <v>1268</v>
      </c>
      <c r="L1260" s="2" t="str">
        <f t="shared" si="114"/>
        <v>Loss Making</v>
      </c>
      <c r="M1260" s="2" t="str">
        <f t="shared" si="115"/>
        <v>Stable Earnings</v>
      </c>
      <c r="N1260" s="2" t="str">
        <f t="shared" si="116"/>
        <v>Moderate</v>
      </c>
      <c r="O1260" s="4" t="str">
        <f t="shared" si="117"/>
        <v>Accounting Risk</v>
      </c>
      <c r="P1260" s="4" t="str">
        <f t="shared" si="118"/>
        <v>Moderate</v>
      </c>
      <c r="Q1260" s="4" t="str">
        <f t="shared" si="119"/>
        <v>Moderate Growth</v>
      </c>
    </row>
    <row r="1261" spans="1:17" x14ac:dyDescent="0.35">
      <c r="A1261" s="2" t="s">
        <v>1272</v>
      </c>
      <c r="B1261" s="2">
        <v>5</v>
      </c>
      <c r="C1261" s="2">
        <v>-6358302.4199999999</v>
      </c>
      <c r="D1261" s="2">
        <v>0.2</v>
      </c>
      <c r="E1261" s="2">
        <v>11244939.18</v>
      </c>
      <c r="F1261" s="2">
        <v>9296044.9000000004</v>
      </c>
      <c r="G1261" s="2">
        <v>4</v>
      </c>
      <c r="H1261" s="2">
        <v>1</v>
      </c>
      <c r="I1261" s="2">
        <v>3</v>
      </c>
      <c r="J1261" s="2">
        <v>2.9</v>
      </c>
      <c r="K1261" s="2" t="s">
        <v>1268</v>
      </c>
      <c r="L1261" s="2" t="str">
        <f t="shared" si="114"/>
        <v>Loss Making</v>
      </c>
      <c r="M1261" s="2" t="str">
        <f t="shared" si="115"/>
        <v>Stable Earnings</v>
      </c>
      <c r="N1261" s="2" t="str">
        <f t="shared" si="116"/>
        <v>Moderate</v>
      </c>
      <c r="O1261" s="4" t="str">
        <f t="shared" si="117"/>
        <v>Accounting Risk</v>
      </c>
      <c r="P1261" s="4" t="str">
        <f t="shared" si="118"/>
        <v>Moderate</v>
      </c>
      <c r="Q1261" s="4" t="str">
        <f t="shared" si="119"/>
        <v>Moderate Growth</v>
      </c>
    </row>
    <row r="1262" spans="1:17" x14ac:dyDescent="0.35">
      <c r="A1262" s="2" t="s">
        <v>1273</v>
      </c>
      <c r="B1262" s="2">
        <v>5</v>
      </c>
      <c r="C1262" s="2">
        <v>799861.96</v>
      </c>
      <c r="D1262" s="2">
        <v>0.4</v>
      </c>
      <c r="E1262" s="2">
        <v>4200577.6459999997</v>
      </c>
      <c r="F1262" s="2">
        <v>8645434.5999999996</v>
      </c>
      <c r="G1262" s="2">
        <v>4</v>
      </c>
      <c r="H1262" s="2">
        <v>1</v>
      </c>
      <c r="I1262" s="2">
        <v>3</v>
      </c>
      <c r="J1262" s="2">
        <v>2.9</v>
      </c>
      <c r="K1262" s="2" t="s">
        <v>1268</v>
      </c>
      <c r="L1262" s="2" t="str">
        <f t="shared" si="114"/>
        <v>Profitable</v>
      </c>
      <c r="M1262" s="2" t="str">
        <f t="shared" si="115"/>
        <v>Stable Earnings</v>
      </c>
      <c r="N1262" s="2" t="str">
        <f t="shared" si="116"/>
        <v>Moderate</v>
      </c>
      <c r="O1262" s="4" t="str">
        <f t="shared" si="117"/>
        <v>Accounting Risk</v>
      </c>
      <c r="P1262" s="4" t="str">
        <f t="shared" si="118"/>
        <v>Moderate</v>
      </c>
      <c r="Q1262" s="4" t="str">
        <f t="shared" si="119"/>
        <v>Moderate Growth</v>
      </c>
    </row>
    <row r="1263" spans="1:17" x14ac:dyDescent="0.35">
      <c r="A1263" s="2" t="s">
        <v>1274</v>
      </c>
      <c r="B1263" s="2">
        <v>5</v>
      </c>
      <c r="C1263" s="2">
        <v>-5455864.9400000004</v>
      </c>
      <c r="D1263" s="2">
        <v>0.2</v>
      </c>
      <c r="E1263" s="2">
        <v>3663024.3990000002</v>
      </c>
      <c r="F1263" s="2">
        <v>8848281.8000000007</v>
      </c>
      <c r="G1263" s="2">
        <v>4</v>
      </c>
      <c r="H1263" s="2">
        <v>1</v>
      </c>
      <c r="I1263" s="2">
        <v>3</v>
      </c>
      <c r="J1263" s="2">
        <v>2.9</v>
      </c>
      <c r="K1263" s="2" t="s">
        <v>1268</v>
      </c>
      <c r="L1263" s="2" t="str">
        <f t="shared" si="114"/>
        <v>Loss Making</v>
      </c>
      <c r="M1263" s="2" t="str">
        <f t="shared" si="115"/>
        <v>Stable Earnings</v>
      </c>
      <c r="N1263" s="2" t="str">
        <f t="shared" si="116"/>
        <v>Moderate</v>
      </c>
      <c r="O1263" s="4" t="str">
        <f t="shared" si="117"/>
        <v>Accounting Risk</v>
      </c>
      <c r="P1263" s="4" t="str">
        <f t="shared" si="118"/>
        <v>Moderate</v>
      </c>
      <c r="Q1263" s="4" t="str">
        <f t="shared" si="119"/>
        <v>Moderate Growth</v>
      </c>
    </row>
    <row r="1264" spans="1:17" x14ac:dyDescent="0.35">
      <c r="A1264" s="2" t="s">
        <v>1275</v>
      </c>
      <c r="B1264" s="2">
        <v>5</v>
      </c>
      <c r="C1264" s="2">
        <v>-3535145.58</v>
      </c>
      <c r="D1264" s="2">
        <v>0.4</v>
      </c>
      <c r="E1264" s="2">
        <v>11560853</v>
      </c>
      <c r="F1264" s="2">
        <v>10897645.5</v>
      </c>
      <c r="G1264" s="2">
        <v>4</v>
      </c>
      <c r="H1264" s="2">
        <v>1</v>
      </c>
      <c r="I1264" s="2">
        <v>3</v>
      </c>
      <c r="J1264" s="2">
        <v>2.9</v>
      </c>
      <c r="K1264" s="2" t="s">
        <v>1268</v>
      </c>
      <c r="L1264" s="2" t="str">
        <f t="shared" si="114"/>
        <v>Loss Making</v>
      </c>
      <c r="M1264" s="2" t="str">
        <f t="shared" si="115"/>
        <v>Stable Earnings</v>
      </c>
      <c r="N1264" s="2" t="str">
        <f t="shared" si="116"/>
        <v>Moderate</v>
      </c>
      <c r="O1264" s="4" t="str">
        <f t="shared" si="117"/>
        <v>Accounting Risk</v>
      </c>
      <c r="P1264" s="4" t="str">
        <f t="shared" si="118"/>
        <v>Moderate</v>
      </c>
      <c r="Q1264" s="4" t="str">
        <f t="shared" si="119"/>
        <v>Moderate Growth</v>
      </c>
    </row>
    <row r="1265" spans="1:17" x14ac:dyDescent="0.35">
      <c r="A1265" s="2" t="s">
        <v>1276</v>
      </c>
      <c r="B1265" s="2">
        <v>5</v>
      </c>
      <c r="C1265" s="2">
        <v>-757943.42</v>
      </c>
      <c r="D1265" s="2">
        <v>0.2</v>
      </c>
      <c r="E1265" s="2">
        <v>6467609.1689999998</v>
      </c>
      <c r="F1265" s="2">
        <v>10526586.300000001</v>
      </c>
      <c r="G1265" s="2">
        <v>4</v>
      </c>
      <c r="H1265" s="2">
        <v>1</v>
      </c>
      <c r="I1265" s="2">
        <v>3</v>
      </c>
      <c r="J1265" s="2">
        <v>2.9</v>
      </c>
      <c r="K1265" s="2" t="s">
        <v>1268</v>
      </c>
      <c r="L1265" s="2" t="str">
        <f t="shared" si="114"/>
        <v>Loss Making</v>
      </c>
      <c r="M1265" s="2" t="str">
        <f t="shared" si="115"/>
        <v>Stable Earnings</v>
      </c>
      <c r="N1265" s="2" t="str">
        <f t="shared" si="116"/>
        <v>Moderate</v>
      </c>
      <c r="O1265" s="4" t="str">
        <f t="shared" si="117"/>
        <v>Accounting Risk</v>
      </c>
      <c r="P1265" s="4" t="str">
        <f t="shared" si="118"/>
        <v>Moderate</v>
      </c>
      <c r="Q1265" s="4" t="str">
        <f t="shared" si="119"/>
        <v>Moderate Growth</v>
      </c>
    </row>
    <row r="1266" spans="1:17" x14ac:dyDescent="0.35">
      <c r="A1266" s="2" t="s">
        <v>1277</v>
      </c>
      <c r="B1266" s="2">
        <v>5</v>
      </c>
      <c r="C1266" s="2">
        <v>-8531612.1600000001</v>
      </c>
      <c r="D1266" s="2">
        <v>0.2</v>
      </c>
      <c r="E1266" s="2">
        <v>14275620.859999999</v>
      </c>
      <c r="F1266" s="2">
        <v>12240629.4</v>
      </c>
      <c r="G1266" s="2">
        <v>4</v>
      </c>
      <c r="H1266" s="2">
        <v>1</v>
      </c>
      <c r="I1266" s="2">
        <v>3</v>
      </c>
      <c r="J1266" s="2">
        <v>2.9</v>
      </c>
      <c r="K1266" s="2" t="s">
        <v>1268</v>
      </c>
      <c r="L1266" s="2" t="str">
        <f t="shared" si="114"/>
        <v>Loss Making</v>
      </c>
      <c r="M1266" s="2" t="str">
        <f t="shared" si="115"/>
        <v>Stable Earnings</v>
      </c>
      <c r="N1266" s="2" t="str">
        <f t="shared" si="116"/>
        <v>Moderate</v>
      </c>
      <c r="O1266" s="4" t="str">
        <f t="shared" si="117"/>
        <v>Accounting Risk</v>
      </c>
      <c r="P1266" s="4" t="str">
        <f t="shared" si="118"/>
        <v>Moderate</v>
      </c>
      <c r="Q1266" s="4" t="str">
        <f t="shared" si="119"/>
        <v>Moderate Growth</v>
      </c>
    </row>
    <row r="1267" spans="1:17" x14ac:dyDescent="0.35">
      <c r="A1267" s="2" t="s">
        <v>1278</v>
      </c>
      <c r="B1267" s="2">
        <v>5</v>
      </c>
      <c r="C1267" s="2">
        <v>1503980.82</v>
      </c>
      <c r="D1267" s="2">
        <v>0.4</v>
      </c>
      <c r="E1267" s="2">
        <v>11385149.32</v>
      </c>
      <c r="F1267" s="2">
        <v>12424997</v>
      </c>
      <c r="G1267" s="2">
        <v>4</v>
      </c>
      <c r="H1267" s="2">
        <v>1</v>
      </c>
      <c r="I1267" s="2">
        <v>3</v>
      </c>
      <c r="J1267" s="2">
        <v>2.9</v>
      </c>
      <c r="K1267" s="2" t="s">
        <v>1268</v>
      </c>
      <c r="L1267" s="2" t="str">
        <f t="shared" si="114"/>
        <v>Profitable</v>
      </c>
      <c r="M1267" s="2" t="str">
        <f t="shared" si="115"/>
        <v>Stable Earnings</v>
      </c>
      <c r="N1267" s="2" t="str">
        <f t="shared" si="116"/>
        <v>Moderate</v>
      </c>
      <c r="O1267" s="4" t="str">
        <f t="shared" si="117"/>
        <v>Accounting Risk</v>
      </c>
      <c r="P1267" s="4" t="str">
        <f t="shared" si="118"/>
        <v>Moderate</v>
      </c>
      <c r="Q1267" s="4" t="str">
        <f t="shared" si="119"/>
        <v>Moderate Growth</v>
      </c>
    </row>
    <row r="1268" spans="1:17" x14ac:dyDescent="0.35">
      <c r="A1268" s="2" t="s">
        <v>1279</v>
      </c>
      <c r="B1268" s="2">
        <v>5</v>
      </c>
      <c r="C1268" s="2">
        <v>-8747144.6400000006</v>
      </c>
      <c r="D1268" s="2">
        <v>0.4</v>
      </c>
      <c r="E1268" s="2">
        <v>15105509.380000001</v>
      </c>
      <c r="F1268" s="2">
        <v>11863484.699999999</v>
      </c>
      <c r="G1268" s="2">
        <v>4</v>
      </c>
      <c r="H1268" s="2">
        <v>1</v>
      </c>
      <c r="I1268" s="2">
        <v>3</v>
      </c>
      <c r="J1268" s="2">
        <v>2.9</v>
      </c>
      <c r="K1268" s="2" t="s">
        <v>1268</v>
      </c>
      <c r="L1268" s="2" t="str">
        <f t="shared" si="114"/>
        <v>Loss Making</v>
      </c>
      <c r="M1268" s="2" t="str">
        <f t="shared" si="115"/>
        <v>Stable Earnings</v>
      </c>
      <c r="N1268" s="2" t="str">
        <f t="shared" si="116"/>
        <v>Moderate</v>
      </c>
      <c r="O1268" s="4" t="str">
        <f t="shared" si="117"/>
        <v>Accounting Risk</v>
      </c>
      <c r="P1268" s="4" t="str">
        <f t="shared" si="118"/>
        <v>Moderate</v>
      </c>
      <c r="Q1268" s="4" t="str">
        <f t="shared" si="119"/>
        <v>Moderate Growth</v>
      </c>
    </row>
    <row r="1269" spans="1:17" x14ac:dyDescent="0.35">
      <c r="A1269" s="2" t="s">
        <v>1280</v>
      </c>
      <c r="B1269" s="2">
        <v>5</v>
      </c>
      <c r="C1269" s="2">
        <v>-10974209.42</v>
      </c>
      <c r="D1269" s="2">
        <v>0.2</v>
      </c>
      <c r="E1269" s="2">
        <v>7550094.3229999999</v>
      </c>
      <c r="F1269" s="2">
        <v>11751523</v>
      </c>
      <c r="G1269" s="2">
        <v>4</v>
      </c>
      <c r="H1269" s="2">
        <v>1</v>
      </c>
      <c r="I1269" s="2">
        <v>3</v>
      </c>
      <c r="J1269" s="2">
        <v>2.9</v>
      </c>
      <c r="K1269" s="2" t="s">
        <v>1268</v>
      </c>
      <c r="L1269" s="2" t="str">
        <f t="shared" si="114"/>
        <v>Loss Making</v>
      </c>
      <c r="M1269" s="2" t="str">
        <f t="shared" si="115"/>
        <v>Stable Earnings</v>
      </c>
      <c r="N1269" s="2" t="str">
        <f t="shared" si="116"/>
        <v>Moderate</v>
      </c>
      <c r="O1269" s="4" t="str">
        <f t="shared" si="117"/>
        <v>Accounting Risk</v>
      </c>
      <c r="P1269" s="4" t="str">
        <f t="shared" si="118"/>
        <v>Moderate</v>
      </c>
      <c r="Q1269" s="4" t="str">
        <f t="shared" si="119"/>
        <v>Moderate Growth</v>
      </c>
    </row>
    <row r="1270" spans="1:17" x14ac:dyDescent="0.35">
      <c r="A1270" s="2" t="s">
        <v>1281</v>
      </c>
      <c r="B1270" s="2">
        <v>5</v>
      </c>
      <c r="C1270" s="2">
        <v>-53888858.520000003</v>
      </c>
      <c r="D1270" s="2">
        <v>0</v>
      </c>
      <c r="E1270" s="2">
        <v>6871078.9349999996</v>
      </c>
      <c r="F1270" s="2">
        <v>11511590.800000001</v>
      </c>
      <c r="G1270" s="2">
        <v>4</v>
      </c>
      <c r="H1270" s="2">
        <v>1</v>
      </c>
      <c r="I1270" s="2">
        <v>3</v>
      </c>
      <c r="J1270" s="2">
        <v>2.9</v>
      </c>
      <c r="K1270" s="2" t="s">
        <v>1268</v>
      </c>
      <c r="L1270" s="2" t="str">
        <f t="shared" si="114"/>
        <v>Loss Making</v>
      </c>
      <c r="M1270" s="2" t="str">
        <f t="shared" si="115"/>
        <v>Stable Earnings</v>
      </c>
      <c r="N1270" s="2" t="str">
        <f t="shared" si="116"/>
        <v>Moderate</v>
      </c>
      <c r="O1270" s="4" t="str">
        <f t="shared" si="117"/>
        <v>Accounting Risk</v>
      </c>
      <c r="P1270" s="4" t="str">
        <f t="shared" si="118"/>
        <v>Moderate</v>
      </c>
      <c r="Q1270" s="4" t="str">
        <f t="shared" si="119"/>
        <v>Moderate Growth</v>
      </c>
    </row>
    <row r="1271" spans="1:17" x14ac:dyDescent="0.35">
      <c r="A1271" s="2" t="s">
        <v>1282</v>
      </c>
      <c r="B1271" s="2">
        <v>5</v>
      </c>
      <c r="C1271" s="2">
        <v>-12182756.92</v>
      </c>
      <c r="D1271" s="2">
        <v>0</v>
      </c>
      <c r="E1271" s="2">
        <v>5526209.4210000001</v>
      </c>
      <c r="F1271" s="2">
        <v>11338892</v>
      </c>
      <c r="G1271" s="2">
        <v>4</v>
      </c>
      <c r="H1271" s="2">
        <v>1</v>
      </c>
      <c r="I1271" s="2">
        <v>3</v>
      </c>
      <c r="J1271" s="2">
        <v>2.9</v>
      </c>
      <c r="K1271" s="2" t="s">
        <v>1268</v>
      </c>
      <c r="L1271" s="2" t="str">
        <f t="shared" si="114"/>
        <v>Loss Making</v>
      </c>
      <c r="M1271" s="2" t="str">
        <f t="shared" si="115"/>
        <v>Stable Earnings</v>
      </c>
      <c r="N1271" s="2" t="str">
        <f t="shared" si="116"/>
        <v>Moderate</v>
      </c>
      <c r="O1271" s="4" t="str">
        <f t="shared" si="117"/>
        <v>Accounting Risk</v>
      </c>
      <c r="P1271" s="4" t="str">
        <f t="shared" si="118"/>
        <v>Moderate</v>
      </c>
      <c r="Q1271" s="4" t="str">
        <f t="shared" si="119"/>
        <v>Moderate Growth</v>
      </c>
    </row>
    <row r="1272" spans="1:17" x14ac:dyDescent="0.35">
      <c r="A1272" s="2" t="s">
        <v>1283</v>
      </c>
      <c r="B1272" s="2">
        <v>5</v>
      </c>
      <c r="C1272" s="2">
        <v>-4886066.82</v>
      </c>
      <c r="D1272" s="2">
        <v>0.4</v>
      </c>
      <c r="E1272" s="2">
        <v>8627558.4269999992</v>
      </c>
      <c r="F1272" s="2">
        <v>13003047.1</v>
      </c>
      <c r="G1272" s="2">
        <v>4</v>
      </c>
      <c r="H1272" s="2">
        <v>1</v>
      </c>
      <c r="I1272" s="2">
        <v>3</v>
      </c>
      <c r="J1272" s="2">
        <v>2.9</v>
      </c>
      <c r="K1272" s="2" t="s">
        <v>1268</v>
      </c>
      <c r="L1272" s="2" t="str">
        <f t="shared" si="114"/>
        <v>Loss Making</v>
      </c>
      <c r="M1272" s="2" t="str">
        <f t="shared" si="115"/>
        <v>Stable Earnings</v>
      </c>
      <c r="N1272" s="2" t="str">
        <f t="shared" si="116"/>
        <v>Moderate</v>
      </c>
      <c r="O1272" s="4" t="str">
        <f t="shared" si="117"/>
        <v>Accounting Risk</v>
      </c>
      <c r="P1272" s="4" t="str">
        <f t="shared" si="118"/>
        <v>Moderate</v>
      </c>
      <c r="Q1272" s="4" t="str">
        <f t="shared" si="119"/>
        <v>Moderate Growth</v>
      </c>
    </row>
    <row r="1273" spans="1:17" x14ac:dyDescent="0.35">
      <c r="A1273" s="2" t="s">
        <v>1284</v>
      </c>
      <c r="B1273" s="2">
        <v>5</v>
      </c>
      <c r="C1273" s="2">
        <v>-3457476.82</v>
      </c>
      <c r="D1273" s="2">
        <v>0.2</v>
      </c>
      <c r="E1273" s="2">
        <v>9748293.9269999992</v>
      </c>
      <c r="F1273" s="2">
        <v>16044188.6</v>
      </c>
      <c r="G1273" s="2">
        <v>4</v>
      </c>
      <c r="H1273" s="2">
        <v>1</v>
      </c>
      <c r="I1273" s="2">
        <v>3</v>
      </c>
      <c r="J1273" s="2">
        <v>2.9</v>
      </c>
      <c r="K1273" s="2" t="s">
        <v>1268</v>
      </c>
      <c r="L1273" s="2" t="str">
        <f t="shared" si="114"/>
        <v>Loss Making</v>
      </c>
      <c r="M1273" s="2" t="str">
        <f t="shared" si="115"/>
        <v>Stable Earnings</v>
      </c>
      <c r="N1273" s="2" t="str">
        <f t="shared" si="116"/>
        <v>Moderate</v>
      </c>
      <c r="O1273" s="4" t="str">
        <f t="shared" si="117"/>
        <v>Accounting Risk</v>
      </c>
      <c r="P1273" s="4" t="str">
        <f t="shared" si="118"/>
        <v>Moderate</v>
      </c>
      <c r="Q1273" s="4" t="str">
        <f t="shared" si="119"/>
        <v>Moderate Growth</v>
      </c>
    </row>
    <row r="1274" spans="1:17" x14ac:dyDescent="0.35">
      <c r="A1274" s="2" t="s">
        <v>1285</v>
      </c>
      <c r="B1274" s="2">
        <v>5</v>
      </c>
      <c r="C1274" s="2">
        <v>-90957605.879999995</v>
      </c>
      <c r="D1274" s="2">
        <v>0</v>
      </c>
      <c r="E1274" s="2">
        <v>15235539.27</v>
      </c>
      <c r="F1274" s="2">
        <v>16666894.6</v>
      </c>
      <c r="G1274" s="2">
        <v>4</v>
      </c>
      <c r="H1274" s="2">
        <v>1</v>
      </c>
      <c r="I1274" s="2">
        <v>3</v>
      </c>
      <c r="J1274" s="2">
        <v>2.9</v>
      </c>
      <c r="K1274" s="2" t="s">
        <v>1268</v>
      </c>
      <c r="L1274" s="2" t="str">
        <f t="shared" si="114"/>
        <v>Loss Making</v>
      </c>
      <c r="M1274" s="2" t="str">
        <f t="shared" si="115"/>
        <v>Stable Earnings</v>
      </c>
      <c r="N1274" s="2" t="str">
        <f t="shared" si="116"/>
        <v>Moderate</v>
      </c>
      <c r="O1274" s="4" t="str">
        <f t="shared" si="117"/>
        <v>Accounting Risk</v>
      </c>
      <c r="P1274" s="4" t="str">
        <f t="shared" si="118"/>
        <v>Moderate</v>
      </c>
      <c r="Q1274" s="4" t="str">
        <f t="shared" si="119"/>
        <v>Moderate Growth</v>
      </c>
    </row>
    <row r="1275" spans="1:17" x14ac:dyDescent="0.35">
      <c r="A1275" s="2" t="s">
        <v>1286</v>
      </c>
      <c r="B1275" s="2">
        <v>5</v>
      </c>
      <c r="C1275" s="2">
        <v>-52736568.32</v>
      </c>
      <c r="D1275" s="2">
        <v>0</v>
      </c>
      <c r="E1275" s="2">
        <v>13926536.42</v>
      </c>
      <c r="F1275" s="2">
        <v>17786705.100000001</v>
      </c>
      <c r="G1275" s="2">
        <v>4</v>
      </c>
      <c r="H1275" s="2">
        <v>1</v>
      </c>
      <c r="I1275" s="2">
        <v>3</v>
      </c>
      <c r="J1275" s="2">
        <v>2.9</v>
      </c>
      <c r="K1275" s="2" t="s">
        <v>1268</v>
      </c>
      <c r="L1275" s="2" t="str">
        <f t="shared" si="114"/>
        <v>Loss Making</v>
      </c>
      <c r="M1275" s="2" t="str">
        <f t="shared" si="115"/>
        <v>Stable Earnings</v>
      </c>
      <c r="N1275" s="2" t="str">
        <f t="shared" si="116"/>
        <v>Moderate</v>
      </c>
      <c r="O1275" s="4" t="str">
        <f t="shared" si="117"/>
        <v>Accounting Risk</v>
      </c>
      <c r="P1275" s="4" t="str">
        <f t="shared" si="118"/>
        <v>Moderate</v>
      </c>
      <c r="Q1275" s="4" t="str">
        <f t="shared" si="119"/>
        <v>Moderate Growth</v>
      </c>
    </row>
    <row r="1276" spans="1:17" x14ac:dyDescent="0.35">
      <c r="A1276" s="2" t="s">
        <v>1287</v>
      </c>
      <c r="B1276" s="2">
        <v>5</v>
      </c>
      <c r="C1276" s="2">
        <v>-10372039.82</v>
      </c>
      <c r="D1276" s="2">
        <v>0.2</v>
      </c>
      <c r="E1276" s="2">
        <v>9969322.5199999996</v>
      </c>
      <c r="F1276" s="2">
        <v>15679824.800000001</v>
      </c>
      <c r="G1276" s="2">
        <v>4</v>
      </c>
      <c r="H1276" s="2">
        <v>1</v>
      </c>
      <c r="I1276" s="2">
        <v>3</v>
      </c>
      <c r="J1276" s="2">
        <v>2.9</v>
      </c>
      <c r="K1276" s="2" t="s">
        <v>1268</v>
      </c>
      <c r="L1276" s="2" t="str">
        <f t="shared" si="114"/>
        <v>Loss Making</v>
      </c>
      <c r="M1276" s="2" t="str">
        <f t="shared" si="115"/>
        <v>Stable Earnings</v>
      </c>
      <c r="N1276" s="2" t="str">
        <f t="shared" si="116"/>
        <v>Moderate</v>
      </c>
      <c r="O1276" s="4" t="str">
        <f t="shared" si="117"/>
        <v>Accounting Risk</v>
      </c>
      <c r="P1276" s="4" t="str">
        <f t="shared" si="118"/>
        <v>Moderate</v>
      </c>
      <c r="Q1276" s="4" t="str">
        <f t="shared" si="119"/>
        <v>Moderate Growth</v>
      </c>
    </row>
    <row r="1277" spans="1:17" x14ac:dyDescent="0.35">
      <c r="A1277" s="2" t="s">
        <v>1288</v>
      </c>
      <c r="B1277" s="2">
        <v>5</v>
      </c>
      <c r="C1277" s="2">
        <v>-19651801.66</v>
      </c>
      <c r="D1277" s="2">
        <v>0</v>
      </c>
      <c r="E1277" s="2">
        <v>10117875.43</v>
      </c>
      <c r="F1277" s="2">
        <v>18673078.600000001</v>
      </c>
      <c r="G1277" s="2">
        <v>4</v>
      </c>
      <c r="H1277" s="2">
        <v>1</v>
      </c>
      <c r="I1277" s="2">
        <v>3</v>
      </c>
      <c r="J1277" s="2">
        <v>2.9</v>
      </c>
      <c r="K1277" s="2" t="s">
        <v>1268</v>
      </c>
      <c r="L1277" s="2" t="str">
        <f t="shared" si="114"/>
        <v>Loss Making</v>
      </c>
      <c r="M1277" s="2" t="str">
        <f t="shared" si="115"/>
        <v>Stable Earnings</v>
      </c>
      <c r="N1277" s="2" t="str">
        <f t="shared" si="116"/>
        <v>Moderate</v>
      </c>
      <c r="O1277" s="4" t="str">
        <f t="shared" si="117"/>
        <v>Accounting Risk</v>
      </c>
      <c r="P1277" s="4" t="str">
        <f t="shared" si="118"/>
        <v>Moderate</v>
      </c>
      <c r="Q1277" s="4" t="str">
        <f t="shared" si="119"/>
        <v>Moderate Growth</v>
      </c>
    </row>
    <row r="1278" spans="1:17" x14ac:dyDescent="0.35">
      <c r="A1278" s="2" t="s">
        <v>1289</v>
      </c>
      <c r="B1278" s="2">
        <v>5</v>
      </c>
      <c r="C1278" s="2">
        <v>-11585498.859999999</v>
      </c>
      <c r="D1278" s="2">
        <v>0.2</v>
      </c>
      <c r="E1278" s="2">
        <v>9715689.9079999998</v>
      </c>
      <c r="F1278" s="2">
        <v>19335846.100000001</v>
      </c>
      <c r="G1278" s="2">
        <v>4</v>
      </c>
      <c r="H1278" s="2">
        <v>1</v>
      </c>
      <c r="I1278" s="2">
        <v>3</v>
      </c>
      <c r="J1278" s="2">
        <v>2.9</v>
      </c>
      <c r="K1278" s="2" t="s">
        <v>1268</v>
      </c>
      <c r="L1278" s="2" t="str">
        <f t="shared" si="114"/>
        <v>Loss Making</v>
      </c>
      <c r="M1278" s="2" t="str">
        <f t="shared" si="115"/>
        <v>Stable Earnings</v>
      </c>
      <c r="N1278" s="2" t="str">
        <f t="shared" si="116"/>
        <v>Moderate</v>
      </c>
      <c r="O1278" s="4" t="str">
        <f t="shared" si="117"/>
        <v>Accounting Risk</v>
      </c>
      <c r="P1278" s="4" t="str">
        <f t="shared" si="118"/>
        <v>Moderate</v>
      </c>
      <c r="Q1278" s="4" t="str">
        <f t="shared" si="119"/>
        <v>Moderate Growth</v>
      </c>
    </row>
    <row r="1279" spans="1:17" x14ac:dyDescent="0.35">
      <c r="A1279" s="2" t="s">
        <v>1290</v>
      </c>
      <c r="B1279" s="2">
        <v>5</v>
      </c>
      <c r="C1279" s="2">
        <v>-11428006.58</v>
      </c>
      <c r="D1279" s="2">
        <v>0.2</v>
      </c>
      <c r="E1279" s="2">
        <v>13366152.779999999</v>
      </c>
      <c r="F1279" s="2">
        <v>26233010.300000001</v>
      </c>
      <c r="G1279" s="2">
        <v>4</v>
      </c>
      <c r="H1279" s="2">
        <v>1</v>
      </c>
      <c r="I1279" s="2">
        <v>3</v>
      </c>
      <c r="J1279" s="2">
        <v>2.9</v>
      </c>
      <c r="K1279" s="2" t="s">
        <v>1268</v>
      </c>
      <c r="L1279" s="2" t="str">
        <f t="shared" si="114"/>
        <v>Loss Making</v>
      </c>
      <c r="M1279" s="2" t="str">
        <f t="shared" si="115"/>
        <v>Stable Earnings</v>
      </c>
      <c r="N1279" s="2" t="str">
        <f t="shared" si="116"/>
        <v>Moderate</v>
      </c>
      <c r="O1279" s="4" t="str">
        <f t="shared" si="117"/>
        <v>Accounting Risk</v>
      </c>
      <c r="P1279" s="4" t="str">
        <f t="shared" si="118"/>
        <v>Moderate</v>
      </c>
      <c r="Q1279" s="4" t="str">
        <f t="shared" si="119"/>
        <v>Moderate Growth</v>
      </c>
    </row>
    <row r="1280" spans="1:17" x14ac:dyDescent="0.35">
      <c r="A1280" s="2" t="s">
        <v>1291</v>
      </c>
      <c r="B1280" s="2">
        <v>5</v>
      </c>
      <c r="C1280" s="2">
        <v>-8694287.4199999999</v>
      </c>
      <c r="D1280" s="2">
        <v>0.2</v>
      </c>
      <c r="E1280" s="2">
        <v>12805372.039999999</v>
      </c>
      <c r="F1280" s="2">
        <v>24029650.300000001</v>
      </c>
      <c r="G1280" s="2">
        <v>4</v>
      </c>
      <c r="H1280" s="2">
        <v>1</v>
      </c>
      <c r="I1280" s="2">
        <v>3</v>
      </c>
      <c r="J1280" s="2">
        <v>2.9</v>
      </c>
      <c r="K1280" s="2" t="s">
        <v>1268</v>
      </c>
      <c r="L1280" s="2" t="str">
        <f t="shared" si="114"/>
        <v>Loss Making</v>
      </c>
      <c r="M1280" s="2" t="str">
        <f t="shared" si="115"/>
        <v>Stable Earnings</v>
      </c>
      <c r="N1280" s="2" t="str">
        <f t="shared" si="116"/>
        <v>Moderate</v>
      </c>
      <c r="O1280" s="4" t="str">
        <f t="shared" si="117"/>
        <v>Accounting Risk</v>
      </c>
      <c r="P1280" s="4" t="str">
        <f t="shared" si="118"/>
        <v>Moderate</v>
      </c>
      <c r="Q1280" s="4" t="str">
        <f t="shared" si="119"/>
        <v>Moderate Growth</v>
      </c>
    </row>
    <row r="1281" spans="1:17" x14ac:dyDescent="0.35">
      <c r="A1281" s="2" t="s">
        <v>1292</v>
      </c>
      <c r="B1281" s="2">
        <v>5</v>
      </c>
      <c r="C1281" s="2">
        <v>-21469921.879999999</v>
      </c>
      <c r="D1281" s="2">
        <v>0</v>
      </c>
      <c r="E1281" s="2">
        <v>14639893.75</v>
      </c>
      <c r="F1281" s="2">
        <v>25268179.600000001</v>
      </c>
      <c r="G1281" s="2">
        <v>4</v>
      </c>
      <c r="H1281" s="2">
        <v>1</v>
      </c>
      <c r="I1281" s="2">
        <v>3</v>
      </c>
      <c r="J1281" s="2">
        <v>2.9</v>
      </c>
      <c r="K1281" s="2" t="s">
        <v>1268</v>
      </c>
      <c r="L1281" s="2" t="str">
        <f t="shared" si="114"/>
        <v>Loss Making</v>
      </c>
      <c r="M1281" s="2" t="str">
        <f t="shared" si="115"/>
        <v>Stable Earnings</v>
      </c>
      <c r="N1281" s="2" t="str">
        <f t="shared" si="116"/>
        <v>Moderate</v>
      </c>
      <c r="O1281" s="4" t="str">
        <f t="shared" si="117"/>
        <v>Accounting Risk</v>
      </c>
      <c r="P1281" s="4" t="str">
        <f t="shared" si="118"/>
        <v>Moderate</v>
      </c>
      <c r="Q1281" s="4" t="str">
        <f t="shared" si="119"/>
        <v>Moderate Growth</v>
      </c>
    </row>
    <row r="1282" spans="1:17" x14ac:dyDescent="0.35">
      <c r="A1282" s="2" t="s">
        <v>1293</v>
      </c>
      <c r="B1282" s="2">
        <v>5</v>
      </c>
      <c r="C1282" s="2">
        <v>-31233871.620000001</v>
      </c>
      <c r="D1282" s="2">
        <v>0</v>
      </c>
      <c r="E1282" s="2">
        <v>9181346.9379999992</v>
      </c>
      <c r="F1282" s="2">
        <v>19457687.5</v>
      </c>
      <c r="G1282" s="2">
        <v>4</v>
      </c>
      <c r="H1282" s="2">
        <v>1</v>
      </c>
      <c r="I1282" s="2">
        <v>3</v>
      </c>
      <c r="J1282" s="2">
        <v>2.9</v>
      </c>
      <c r="K1282" s="2" t="s">
        <v>1268</v>
      </c>
      <c r="L1282" s="2" t="str">
        <f t="shared" ref="L1282:L1345" si="120">IF(C1282&gt;0,"Profitable","Loss Making")</f>
        <v>Loss Making</v>
      </c>
      <c r="M1282" s="2" t="str">
        <f t="shared" ref="M1282:M1345" si="121">IF(C1282&gt;500000000,"High Volatility","Stable Earnings")</f>
        <v>Stable Earnings</v>
      </c>
      <c r="N1282" s="2" t="str">
        <f t="shared" ref="N1282:N1345" si="122">IF(G1282&gt;=7,"High Quality",IF(G1282&gt;=4,"Moderate","Low Quality"))</f>
        <v>Moderate</v>
      </c>
      <c r="O1282" s="4" t="str">
        <f t="shared" ref="O1282:O1345" si="123">IF(AND(F1282&gt;0,D1282&gt;0.6),"Operational Growth","Accounting Risk")</f>
        <v>Accounting Risk</v>
      </c>
      <c r="P1282" s="4" t="str">
        <f t="shared" ref="P1282:P1345" si="124">IF(G1282&gt;=7,"High Quality", IF(G1282&gt;=4,"Moderate","Low Quality"))</f>
        <v>Moderate</v>
      </c>
      <c r="Q1282" s="4" t="str">
        <f t="shared" ref="Q1282:Q1345" si="125">IF(I1282&gt;=4,"Strong Long-Term Growth",IF(I1282&gt;=2,"Moderate Growth","Weak Growth"))</f>
        <v>Moderate Growth</v>
      </c>
    </row>
    <row r="1283" spans="1:17" x14ac:dyDescent="0.35">
      <c r="A1283" s="2" t="s">
        <v>1294</v>
      </c>
      <c r="B1283" s="2">
        <v>5</v>
      </c>
      <c r="C1283" s="2">
        <v>2877778.54</v>
      </c>
      <c r="D1283" s="2">
        <v>0.4</v>
      </c>
      <c r="E1283" s="2">
        <v>8710095.3169999998</v>
      </c>
      <c r="F1283" s="2">
        <v>19841176.600000001</v>
      </c>
      <c r="G1283" s="2">
        <v>4</v>
      </c>
      <c r="H1283" s="2">
        <v>1</v>
      </c>
      <c r="I1283" s="2">
        <v>3</v>
      </c>
      <c r="J1283" s="2">
        <v>2.9</v>
      </c>
      <c r="K1283" s="2" t="s">
        <v>1268</v>
      </c>
      <c r="L1283" s="2" t="str">
        <f t="shared" si="120"/>
        <v>Profitable</v>
      </c>
      <c r="M1283" s="2" t="str">
        <f t="shared" si="121"/>
        <v>Stable Earnings</v>
      </c>
      <c r="N1283" s="2" t="str">
        <f t="shared" si="122"/>
        <v>Moderate</v>
      </c>
      <c r="O1283" s="4" t="str">
        <f t="shared" si="123"/>
        <v>Accounting Risk</v>
      </c>
      <c r="P1283" s="4" t="str">
        <f t="shared" si="124"/>
        <v>Moderate</v>
      </c>
      <c r="Q1283" s="4" t="str">
        <f t="shared" si="125"/>
        <v>Moderate Growth</v>
      </c>
    </row>
    <row r="1284" spans="1:17" x14ac:dyDescent="0.35">
      <c r="A1284" s="2" t="s">
        <v>1295</v>
      </c>
      <c r="B1284" s="2">
        <v>5</v>
      </c>
      <c r="C1284" s="2">
        <v>1689350802</v>
      </c>
      <c r="D1284" s="2">
        <v>1</v>
      </c>
      <c r="E1284" s="2">
        <v>1486481984</v>
      </c>
      <c r="F1284" s="2">
        <v>42966121</v>
      </c>
      <c r="G1284" s="2">
        <v>2</v>
      </c>
      <c r="H1284" s="2">
        <v>5</v>
      </c>
      <c r="I1284" s="2">
        <v>2</v>
      </c>
      <c r="J1284" s="2">
        <v>2.9</v>
      </c>
      <c r="K1284" s="2" t="s">
        <v>1268</v>
      </c>
      <c r="L1284" s="2" t="str">
        <f t="shared" si="120"/>
        <v>Profitable</v>
      </c>
      <c r="M1284" s="2" t="str">
        <f t="shared" si="121"/>
        <v>High Volatility</v>
      </c>
      <c r="N1284" s="2" t="str">
        <f t="shared" si="122"/>
        <v>Low Quality</v>
      </c>
      <c r="O1284" s="4" t="str">
        <f t="shared" si="123"/>
        <v>Operational Growth</v>
      </c>
      <c r="P1284" s="4" t="str">
        <f t="shared" si="124"/>
        <v>Low Quality</v>
      </c>
      <c r="Q1284" s="4" t="str">
        <f t="shared" si="125"/>
        <v>Moderate Growth</v>
      </c>
    </row>
    <row r="1285" spans="1:17" x14ac:dyDescent="0.35">
      <c r="A1285" s="2" t="s">
        <v>1296</v>
      </c>
      <c r="B1285" s="2">
        <v>5</v>
      </c>
      <c r="C1285" s="2">
        <v>1112069778</v>
      </c>
      <c r="D1285" s="2">
        <v>1</v>
      </c>
      <c r="E1285" s="2">
        <v>708054850.5</v>
      </c>
      <c r="F1285" s="2">
        <v>106019174</v>
      </c>
      <c r="G1285" s="2">
        <v>2</v>
      </c>
      <c r="H1285" s="2">
        <v>5</v>
      </c>
      <c r="I1285" s="2">
        <v>2</v>
      </c>
      <c r="J1285" s="2">
        <v>2.9</v>
      </c>
      <c r="K1285" s="2" t="s">
        <v>1268</v>
      </c>
      <c r="L1285" s="2" t="str">
        <f t="shared" si="120"/>
        <v>Profitable</v>
      </c>
      <c r="M1285" s="2" t="str">
        <f t="shared" si="121"/>
        <v>High Volatility</v>
      </c>
      <c r="N1285" s="2" t="str">
        <f t="shared" si="122"/>
        <v>Low Quality</v>
      </c>
      <c r="O1285" s="4" t="str">
        <f t="shared" si="123"/>
        <v>Operational Growth</v>
      </c>
      <c r="P1285" s="4" t="str">
        <f t="shared" si="124"/>
        <v>Low Quality</v>
      </c>
      <c r="Q1285" s="4" t="str">
        <f t="shared" si="125"/>
        <v>Moderate Growth</v>
      </c>
    </row>
    <row r="1286" spans="1:17" x14ac:dyDescent="0.35">
      <c r="A1286" s="2" t="s">
        <v>1297</v>
      </c>
      <c r="B1286" s="2">
        <v>5</v>
      </c>
      <c r="C1286" s="2">
        <v>653591579.20000005</v>
      </c>
      <c r="D1286" s="2">
        <v>1</v>
      </c>
      <c r="E1286" s="2">
        <v>332197430</v>
      </c>
      <c r="F1286" s="2">
        <v>128834471.8</v>
      </c>
      <c r="G1286" s="2">
        <v>2</v>
      </c>
      <c r="H1286" s="2">
        <v>5</v>
      </c>
      <c r="I1286" s="2">
        <v>2</v>
      </c>
      <c r="J1286" s="2">
        <v>2.9</v>
      </c>
      <c r="K1286" s="2" t="s">
        <v>1268</v>
      </c>
      <c r="L1286" s="2" t="str">
        <f t="shared" si="120"/>
        <v>Profitable</v>
      </c>
      <c r="M1286" s="2" t="str">
        <f t="shared" si="121"/>
        <v>High Volatility</v>
      </c>
      <c r="N1286" s="2" t="str">
        <f t="shared" si="122"/>
        <v>Low Quality</v>
      </c>
      <c r="O1286" s="4" t="str">
        <f t="shared" si="123"/>
        <v>Operational Growth</v>
      </c>
      <c r="P1286" s="4" t="str">
        <f t="shared" si="124"/>
        <v>Low Quality</v>
      </c>
      <c r="Q1286" s="4" t="str">
        <f t="shared" si="125"/>
        <v>Moderate Growth</v>
      </c>
    </row>
    <row r="1287" spans="1:17" x14ac:dyDescent="0.35">
      <c r="A1287" s="2" t="s">
        <v>1298</v>
      </c>
      <c r="B1287" s="2">
        <v>5</v>
      </c>
      <c r="C1287" s="2">
        <v>211712883.09999999</v>
      </c>
      <c r="D1287" s="2">
        <v>0.8</v>
      </c>
      <c r="E1287" s="2">
        <v>406645131.19999999</v>
      </c>
      <c r="F1287" s="2">
        <v>164826591.90000001</v>
      </c>
      <c r="G1287" s="2">
        <v>2</v>
      </c>
      <c r="H1287" s="2">
        <v>5</v>
      </c>
      <c r="I1287" s="2">
        <v>2</v>
      </c>
      <c r="J1287" s="2">
        <v>2.9</v>
      </c>
      <c r="K1287" s="2" t="s">
        <v>1268</v>
      </c>
      <c r="L1287" s="2" t="str">
        <f t="shared" si="120"/>
        <v>Profitable</v>
      </c>
      <c r="M1287" s="2" t="str">
        <f t="shared" si="121"/>
        <v>Stable Earnings</v>
      </c>
      <c r="N1287" s="2" t="str">
        <f t="shared" si="122"/>
        <v>Low Quality</v>
      </c>
      <c r="O1287" s="4" t="str">
        <f t="shared" si="123"/>
        <v>Operational Growth</v>
      </c>
      <c r="P1287" s="4" t="str">
        <f t="shared" si="124"/>
        <v>Low Quality</v>
      </c>
      <c r="Q1287" s="4" t="str">
        <f t="shared" si="125"/>
        <v>Moderate Growth</v>
      </c>
    </row>
    <row r="1288" spans="1:17" x14ac:dyDescent="0.35">
      <c r="A1288" s="2" t="s">
        <v>1299</v>
      </c>
      <c r="B1288" s="2">
        <v>5</v>
      </c>
      <c r="C1288" s="2">
        <v>77267482.579999998</v>
      </c>
      <c r="D1288" s="2">
        <v>0.6</v>
      </c>
      <c r="E1288" s="2">
        <v>150892767.09999999</v>
      </c>
      <c r="F1288" s="2">
        <v>205419694</v>
      </c>
      <c r="G1288" s="2">
        <v>3</v>
      </c>
      <c r="H1288" s="2">
        <v>4</v>
      </c>
      <c r="I1288" s="2">
        <v>1</v>
      </c>
      <c r="J1288" s="2">
        <v>2.9</v>
      </c>
      <c r="K1288" s="2" t="s">
        <v>1268</v>
      </c>
      <c r="L1288" s="2" t="str">
        <f t="shared" si="120"/>
        <v>Profitable</v>
      </c>
      <c r="M1288" s="2" t="str">
        <f t="shared" si="121"/>
        <v>Stable Earnings</v>
      </c>
      <c r="N1288" s="2" t="str">
        <f t="shared" si="122"/>
        <v>Low Quality</v>
      </c>
      <c r="O1288" s="4" t="str">
        <f t="shared" si="123"/>
        <v>Accounting Risk</v>
      </c>
      <c r="P1288" s="4" t="str">
        <f t="shared" si="124"/>
        <v>Low Quality</v>
      </c>
      <c r="Q1288" s="4" t="str">
        <f t="shared" si="125"/>
        <v>Weak Growth</v>
      </c>
    </row>
    <row r="1289" spans="1:17" x14ac:dyDescent="0.35">
      <c r="A1289" s="2" t="s">
        <v>1300</v>
      </c>
      <c r="B1289" s="2">
        <v>5</v>
      </c>
      <c r="C1289" s="2">
        <v>12931413.08</v>
      </c>
      <c r="D1289" s="2">
        <v>0.8</v>
      </c>
      <c r="E1289" s="2">
        <v>150050084.59999999</v>
      </c>
      <c r="F1289" s="2">
        <v>223009335.40000001</v>
      </c>
      <c r="G1289" s="2">
        <v>3</v>
      </c>
      <c r="H1289" s="2">
        <v>4</v>
      </c>
      <c r="I1289" s="2">
        <v>1</v>
      </c>
      <c r="J1289" s="2">
        <v>2.9</v>
      </c>
      <c r="K1289" s="2" t="s">
        <v>1268</v>
      </c>
      <c r="L1289" s="2" t="str">
        <f t="shared" si="120"/>
        <v>Profitable</v>
      </c>
      <c r="M1289" s="2" t="str">
        <f t="shared" si="121"/>
        <v>Stable Earnings</v>
      </c>
      <c r="N1289" s="2" t="str">
        <f t="shared" si="122"/>
        <v>Low Quality</v>
      </c>
      <c r="O1289" s="4" t="str">
        <f t="shared" si="123"/>
        <v>Operational Growth</v>
      </c>
      <c r="P1289" s="4" t="str">
        <f t="shared" si="124"/>
        <v>Low Quality</v>
      </c>
      <c r="Q1289" s="4" t="str">
        <f t="shared" si="125"/>
        <v>Weak Growth</v>
      </c>
    </row>
    <row r="1290" spans="1:17" x14ac:dyDescent="0.35">
      <c r="A1290" s="2" t="s">
        <v>1301</v>
      </c>
      <c r="B1290" s="2">
        <v>5</v>
      </c>
      <c r="C1290" s="2">
        <v>-13044594.82</v>
      </c>
      <c r="D1290" s="2">
        <v>0.8</v>
      </c>
      <c r="E1290" s="2">
        <v>122234806.90000001</v>
      </c>
      <c r="F1290" s="2">
        <v>253649392.80000001</v>
      </c>
      <c r="G1290" s="2">
        <v>3</v>
      </c>
      <c r="H1290" s="2">
        <v>4</v>
      </c>
      <c r="I1290" s="2">
        <v>1</v>
      </c>
      <c r="J1290" s="2">
        <v>2.9</v>
      </c>
      <c r="K1290" s="2" t="s">
        <v>1268</v>
      </c>
      <c r="L1290" s="2" t="str">
        <f t="shared" si="120"/>
        <v>Loss Making</v>
      </c>
      <c r="M1290" s="2" t="str">
        <f t="shared" si="121"/>
        <v>Stable Earnings</v>
      </c>
      <c r="N1290" s="2" t="str">
        <f t="shared" si="122"/>
        <v>Low Quality</v>
      </c>
      <c r="O1290" s="4" t="str">
        <f t="shared" si="123"/>
        <v>Operational Growth</v>
      </c>
      <c r="P1290" s="4" t="str">
        <f t="shared" si="124"/>
        <v>Low Quality</v>
      </c>
      <c r="Q1290" s="4" t="str">
        <f t="shared" si="125"/>
        <v>Weak Growth</v>
      </c>
    </row>
    <row r="1291" spans="1:17" x14ac:dyDescent="0.35">
      <c r="A1291" s="2" t="s">
        <v>1302</v>
      </c>
      <c r="B1291" s="2">
        <v>5</v>
      </c>
      <c r="C1291" s="2">
        <v>25414229</v>
      </c>
      <c r="D1291" s="2">
        <v>0.6</v>
      </c>
      <c r="E1291" s="2">
        <v>188530591.80000001</v>
      </c>
      <c r="F1291" s="2">
        <v>277134544.39999998</v>
      </c>
      <c r="G1291" s="2">
        <v>3</v>
      </c>
      <c r="H1291" s="2">
        <v>4</v>
      </c>
      <c r="I1291" s="2">
        <v>1</v>
      </c>
      <c r="J1291" s="2">
        <v>2.9</v>
      </c>
      <c r="K1291" s="2" t="s">
        <v>1268</v>
      </c>
      <c r="L1291" s="2" t="str">
        <f t="shared" si="120"/>
        <v>Profitable</v>
      </c>
      <c r="M1291" s="2" t="str">
        <f t="shared" si="121"/>
        <v>Stable Earnings</v>
      </c>
      <c r="N1291" s="2" t="str">
        <f t="shared" si="122"/>
        <v>Low Quality</v>
      </c>
      <c r="O1291" s="4" t="str">
        <f t="shared" si="123"/>
        <v>Accounting Risk</v>
      </c>
      <c r="P1291" s="4" t="str">
        <f t="shared" si="124"/>
        <v>Low Quality</v>
      </c>
      <c r="Q1291" s="4" t="str">
        <f t="shared" si="125"/>
        <v>Weak Growth</v>
      </c>
    </row>
    <row r="1292" spans="1:17" x14ac:dyDescent="0.35">
      <c r="A1292" s="2" t="s">
        <v>1303</v>
      </c>
      <c r="B1292" s="2">
        <v>5</v>
      </c>
      <c r="C1292" s="2">
        <v>228160079.5</v>
      </c>
      <c r="D1292" s="2">
        <v>0.8</v>
      </c>
      <c r="E1292" s="2">
        <v>211217524.5</v>
      </c>
      <c r="F1292" s="2">
        <v>275718419.39999998</v>
      </c>
      <c r="G1292" s="2">
        <v>3</v>
      </c>
      <c r="H1292" s="2">
        <v>4</v>
      </c>
      <c r="I1292" s="2">
        <v>1</v>
      </c>
      <c r="J1292" s="2">
        <v>2.9</v>
      </c>
      <c r="K1292" s="2" t="s">
        <v>1268</v>
      </c>
      <c r="L1292" s="2" t="str">
        <f t="shared" si="120"/>
        <v>Profitable</v>
      </c>
      <c r="M1292" s="2" t="str">
        <f t="shared" si="121"/>
        <v>Stable Earnings</v>
      </c>
      <c r="N1292" s="2" t="str">
        <f t="shared" si="122"/>
        <v>Low Quality</v>
      </c>
      <c r="O1292" s="4" t="str">
        <f t="shared" si="123"/>
        <v>Operational Growth</v>
      </c>
      <c r="P1292" s="4" t="str">
        <f t="shared" si="124"/>
        <v>Low Quality</v>
      </c>
      <c r="Q1292" s="4" t="str">
        <f t="shared" si="125"/>
        <v>Weak Growth</v>
      </c>
    </row>
    <row r="1293" spans="1:17" x14ac:dyDescent="0.35">
      <c r="A1293" s="2" t="s">
        <v>1304</v>
      </c>
      <c r="B1293" s="2">
        <v>5</v>
      </c>
      <c r="C1293" s="2">
        <v>158501897.59999999</v>
      </c>
      <c r="D1293" s="2">
        <v>0.8</v>
      </c>
      <c r="E1293" s="2">
        <v>242940513.40000001</v>
      </c>
      <c r="F1293" s="2">
        <v>270286738.69999999</v>
      </c>
      <c r="G1293" s="2">
        <v>3</v>
      </c>
      <c r="H1293" s="2">
        <v>4</v>
      </c>
      <c r="I1293" s="2">
        <v>1</v>
      </c>
      <c r="J1293" s="2">
        <v>2.9</v>
      </c>
      <c r="K1293" s="2" t="s">
        <v>1268</v>
      </c>
      <c r="L1293" s="2" t="str">
        <f t="shared" si="120"/>
        <v>Profitable</v>
      </c>
      <c r="M1293" s="2" t="str">
        <f t="shared" si="121"/>
        <v>Stable Earnings</v>
      </c>
      <c r="N1293" s="2" t="str">
        <f t="shared" si="122"/>
        <v>Low Quality</v>
      </c>
      <c r="O1293" s="4" t="str">
        <f t="shared" si="123"/>
        <v>Operational Growth</v>
      </c>
      <c r="P1293" s="4" t="str">
        <f t="shared" si="124"/>
        <v>Low Quality</v>
      </c>
      <c r="Q1293" s="4" t="str">
        <f t="shared" si="125"/>
        <v>Weak Growth</v>
      </c>
    </row>
    <row r="1294" spans="1:17" x14ac:dyDescent="0.35">
      <c r="A1294" s="2" t="s">
        <v>1305</v>
      </c>
      <c r="B1294" s="2">
        <v>5</v>
      </c>
      <c r="C1294" s="2">
        <v>33085695.039999999</v>
      </c>
      <c r="D1294" s="2">
        <v>0.6</v>
      </c>
      <c r="E1294" s="2">
        <v>129733431.7</v>
      </c>
      <c r="F1294" s="2">
        <v>278266201.89999998</v>
      </c>
      <c r="G1294" s="2">
        <v>3</v>
      </c>
      <c r="H1294" s="2">
        <v>4</v>
      </c>
      <c r="I1294" s="2">
        <v>1</v>
      </c>
      <c r="J1294" s="2">
        <v>2.9</v>
      </c>
      <c r="K1294" s="2" t="s">
        <v>1268</v>
      </c>
      <c r="L1294" s="2" t="str">
        <f t="shared" si="120"/>
        <v>Profitable</v>
      </c>
      <c r="M1294" s="2" t="str">
        <f t="shared" si="121"/>
        <v>Stable Earnings</v>
      </c>
      <c r="N1294" s="2" t="str">
        <f t="shared" si="122"/>
        <v>Low Quality</v>
      </c>
      <c r="O1294" s="4" t="str">
        <f t="shared" si="123"/>
        <v>Accounting Risk</v>
      </c>
      <c r="P1294" s="4" t="str">
        <f t="shared" si="124"/>
        <v>Low Quality</v>
      </c>
      <c r="Q1294" s="4" t="str">
        <f t="shared" si="125"/>
        <v>Weak Growth</v>
      </c>
    </row>
    <row r="1295" spans="1:17" x14ac:dyDescent="0.35">
      <c r="A1295" s="2" t="s">
        <v>1306</v>
      </c>
      <c r="B1295" s="2">
        <v>5</v>
      </c>
      <c r="C1295" s="2">
        <v>-42537049.060000002</v>
      </c>
      <c r="D1295" s="2">
        <v>0.6</v>
      </c>
      <c r="E1295" s="2">
        <v>148987036.19999999</v>
      </c>
      <c r="F1295" s="2">
        <v>285448792.10000002</v>
      </c>
      <c r="G1295" s="2">
        <v>3</v>
      </c>
      <c r="H1295" s="2">
        <v>4</v>
      </c>
      <c r="I1295" s="2">
        <v>1</v>
      </c>
      <c r="J1295" s="2">
        <v>2.9</v>
      </c>
      <c r="K1295" s="2" t="s">
        <v>1268</v>
      </c>
      <c r="L1295" s="2" t="str">
        <f t="shared" si="120"/>
        <v>Loss Making</v>
      </c>
      <c r="M1295" s="2" t="str">
        <f t="shared" si="121"/>
        <v>Stable Earnings</v>
      </c>
      <c r="N1295" s="2" t="str">
        <f t="shared" si="122"/>
        <v>Low Quality</v>
      </c>
      <c r="O1295" s="4" t="str">
        <f t="shared" si="123"/>
        <v>Accounting Risk</v>
      </c>
      <c r="P1295" s="4" t="str">
        <f t="shared" si="124"/>
        <v>Low Quality</v>
      </c>
      <c r="Q1295" s="4" t="str">
        <f t="shared" si="125"/>
        <v>Weak Growth</v>
      </c>
    </row>
    <row r="1296" spans="1:17" x14ac:dyDescent="0.35">
      <c r="A1296" s="2" t="s">
        <v>1307</v>
      </c>
      <c r="B1296" s="2">
        <v>5</v>
      </c>
      <c r="C1296" s="2">
        <v>598977.54</v>
      </c>
      <c r="D1296" s="2">
        <v>0.6</v>
      </c>
      <c r="E1296" s="2">
        <v>182368259.30000001</v>
      </c>
      <c r="F1296" s="2">
        <v>285241969.89999998</v>
      </c>
      <c r="G1296" s="2">
        <v>3</v>
      </c>
      <c r="H1296" s="2">
        <v>4</v>
      </c>
      <c r="I1296" s="2">
        <v>1</v>
      </c>
      <c r="J1296" s="2">
        <v>2.9</v>
      </c>
      <c r="K1296" s="2" t="s">
        <v>1268</v>
      </c>
      <c r="L1296" s="2" t="str">
        <f t="shared" si="120"/>
        <v>Profitable</v>
      </c>
      <c r="M1296" s="2" t="str">
        <f t="shared" si="121"/>
        <v>Stable Earnings</v>
      </c>
      <c r="N1296" s="2" t="str">
        <f t="shared" si="122"/>
        <v>Low Quality</v>
      </c>
      <c r="O1296" s="4" t="str">
        <f t="shared" si="123"/>
        <v>Accounting Risk</v>
      </c>
      <c r="P1296" s="4" t="str">
        <f t="shared" si="124"/>
        <v>Low Quality</v>
      </c>
      <c r="Q1296" s="4" t="str">
        <f t="shared" si="125"/>
        <v>Weak Growth</v>
      </c>
    </row>
    <row r="1297" spans="1:17" x14ac:dyDescent="0.35">
      <c r="A1297" s="2" t="s">
        <v>1308</v>
      </c>
      <c r="B1297" s="2">
        <v>5</v>
      </c>
      <c r="C1297" s="2">
        <v>63378696.740000002</v>
      </c>
      <c r="D1297" s="2">
        <v>0.6</v>
      </c>
      <c r="E1297" s="2">
        <v>154563827.90000001</v>
      </c>
      <c r="F1297" s="2">
        <v>284589295.69999999</v>
      </c>
      <c r="G1297" s="2">
        <v>3</v>
      </c>
      <c r="H1297" s="2">
        <v>4</v>
      </c>
      <c r="I1297" s="2">
        <v>1</v>
      </c>
      <c r="J1297" s="2">
        <v>2.9</v>
      </c>
      <c r="K1297" s="2" t="s">
        <v>1268</v>
      </c>
      <c r="L1297" s="2" t="str">
        <f t="shared" si="120"/>
        <v>Profitable</v>
      </c>
      <c r="M1297" s="2" t="str">
        <f t="shared" si="121"/>
        <v>Stable Earnings</v>
      </c>
      <c r="N1297" s="2" t="str">
        <f t="shared" si="122"/>
        <v>Low Quality</v>
      </c>
      <c r="O1297" s="4" t="str">
        <f t="shared" si="123"/>
        <v>Accounting Risk</v>
      </c>
      <c r="P1297" s="4" t="str">
        <f t="shared" si="124"/>
        <v>Low Quality</v>
      </c>
      <c r="Q1297" s="4" t="str">
        <f t="shared" si="125"/>
        <v>Weak Growth</v>
      </c>
    </row>
    <row r="1298" spans="1:17" x14ac:dyDescent="0.35">
      <c r="A1298" s="2" t="s">
        <v>1309</v>
      </c>
      <c r="B1298" s="2">
        <v>5</v>
      </c>
      <c r="C1298" s="2">
        <v>105418183.8</v>
      </c>
      <c r="D1298" s="2">
        <v>0.6</v>
      </c>
      <c r="E1298" s="2">
        <v>158284701.80000001</v>
      </c>
      <c r="F1298" s="2">
        <v>289947246.19999999</v>
      </c>
      <c r="G1298" s="2">
        <v>3</v>
      </c>
      <c r="H1298" s="2">
        <v>4</v>
      </c>
      <c r="I1298" s="2">
        <v>1</v>
      </c>
      <c r="J1298" s="2">
        <v>2.9</v>
      </c>
      <c r="K1298" s="2" t="s">
        <v>1268</v>
      </c>
      <c r="L1298" s="2" t="str">
        <f t="shared" si="120"/>
        <v>Profitable</v>
      </c>
      <c r="M1298" s="2" t="str">
        <f t="shared" si="121"/>
        <v>Stable Earnings</v>
      </c>
      <c r="N1298" s="2" t="str">
        <f t="shared" si="122"/>
        <v>Low Quality</v>
      </c>
      <c r="O1298" s="4" t="str">
        <f t="shared" si="123"/>
        <v>Accounting Risk</v>
      </c>
      <c r="P1298" s="4" t="str">
        <f t="shared" si="124"/>
        <v>Low Quality</v>
      </c>
      <c r="Q1298" s="4" t="str">
        <f t="shared" si="125"/>
        <v>Weak Growth</v>
      </c>
    </row>
    <row r="1299" spans="1:17" x14ac:dyDescent="0.35">
      <c r="A1299" s="2" t="s">
        <v>1310</v>
      </c>
      <c r="B1299" s="2">
        <v>5</v>
      </c>
      <c r="C1299" s="2">
        <v>139138101.59999999</v>
      </c>
      <c r="D1299" s="2">
        <v>0.6</v>
      </c>
      <c r="E1299" s="2">
        <v>233782884.80000001</v>
      </c>
      <c r="F1299" s="2">
        <v>289124621.89999998</v>
      </c>
      <c r="G1299" s="2">
        <v>3</v>
      </c>
      <c r="H1299" s="2">
        <v>4</v>
      </c>
      <c r="I1299" s="2">
        <v>1</v>
      </c>
      <c r="J1299" s="2">
        <v>2.9</v>
      </c>
      <c r="K1299" s="2" t="s">
        <v>1268</v>
      </c>
      <c r="L1299" s="2" t="str">
        <f t="shared" si="120"/>
        <v>Profitable</v>
      </c>
      <c r="M1299" s="2" t="str">
        <f t="shared" si="121"/>
        <v>Stable Earnings</v>
      </c>
      <c r="N1299" s="2" t="str">
        <f t="shared" si="122"/>
        <v>Low Quality</v>
      </c>
      <c r="O1299" s="4" t="str">
        <f t="shared" si="123"/>
        <v>Accounting Risk</v>
      </c>
      <c r="P1299" s="4" t="str">
        <f t="shared" si="124"/>
        <v>Low Quality</v>
      </c>
      <c r="Q1299" s="4" t="str">
        <f t="shared" si="125"/>
        <v>Weak Growth</v>
      </c>
    </row>
    <row r="1300" spans="1:17" x14ac:dyDescent="0.35">
      <c r="A1300" s="2" t="s">
        <v>1311</v>
      </c>
      <c r="B1300" s="2">
        <v>5</v>
      </c>
      <c r="C1300" s="2">
        <v>109198024.09999999</v>
      </c>
      <c r="D1300" s="2">
        <v>0.8</v>
      </c>
      <c r="E1300" s="2">
        <v>191694286.59999999</v>
      </c>
      <c r="F1300" s="2">
        <v>301695892.30000001</v>
      </c>
      <c r="G1300" s="2">
        <v>3</v>
      </c>
      <c r="H1300" s="2">
        <v>4</v>
      </c>
      <c r="I1300" s="2">
        <v>1</v>
      </c>
      <c r="J1300" s="2">
        <v>2.9</v>
      </c>
      <c r="K1300" s="2" t="s">
        <v>1268</v>
      </c>
      <c r="L1300" s="2" t="str">
        <f t="shared" si="120"/>
        <v>Profitable</v>
      </c>
      <c r="M1300" s="2" t="str">
        <f t="shared" si="121"/>
        <v>Stable Earnings</v>
      </c>
      <c r="N1300" s="2" t="str">
        <f t="shared" si="122"/>
        <v>Low Quality</v>
      </c>
      <c r="O1300" s="4" t="str">
        <f t="shared" si="123"/>
        <v>Operational Growth</v>
      </c>
      <c r="P1300" s="4" t="str">
        <f t="shared" si="124"/>
        <v>Low Quality</v>
      </c>
      <c r="Q1300" s="4" t="str">
        <f t="shared" si="125"/>
        <v>Weak Growth</v>
      </c>
    </row>
    <row r="1301" spans="1:17" x14ac:dyDescent="0.35">
      <c r="A1301" s="2" t="s">
        <v>1312</v>
      </c>
      <c r="B1301" s="2">
        <v>5</v>
      </c>
      <c r="C1301" s="2">
        <v>-28599275.199999999</v>
      </c>
      <c r="D1301" s="2">
        <v>0.8</v>
      </c>
      <c r="E1301" s="2">
        <v>123426333.2</v>
      </c>
      <c r="F1301" s="2">
        <v>295344429.30000001</v>
      </c>
      <c r="G1301" s="2">
        <v>3</v>
      </c>
      <c r="H1301" s="2">
        <v>4</v>
      </c>
      <c r="I1301" s="2">
        <v>1</v>
      </c>
      <c r="J1301" s="2">
        <v>2.9</v>
      </c>
      <c r="K1301" s="2" t="s">
        <v>1268</v>
      </c>
      <c r="L1301" s="2" t="str">
        <f t="shared" si="120"/>
        <v>Loss Making</v>
      </c>
      <c r="M1301" s="2" t="str">
        <f t="shared" si="121"/>
        <v>Stable Earnings</v>
      </c>
      <c r="N1301" s="2" t="str">
        <f t="shared" si="122"/>
        <v>Low Quality</v>
      </c>
      <c r="O1301" s="4" t="str">
        <f t="shared" si="123"/>
        <v>Operational Growth</v>
      </c>
      <c r="P1301" s="4" t="str">
        <f t="shared" si="124"/>
        <v>Low Quality</v>
      </c>
      <c r="Q1301" s="4" t="str">
        <f t="shared" si="125"/>
        <v>Weak Growth</v>
      </c>
    </row>
    <row r="1302" spans="1:17" x14ac:dyDescent="0.35">
      <c r="A1302" s="2" t="s">
        <v>1313</v>
      </c>
      <c r="B1302" s="2">
        <v>5</v>
      </c>
      <c r="C1302" s="2">
        <v>60427776.579999998</v>
      </c>
      <c r="D1302" s="2">
        <v>0.6</v>
      </c>
      <c r="E1302" s="2">
        <v>154969021.90000001</v>
      </c>
      <c r="F1302" s="2">
        <v>295037628.69999999</v>
      </c>
      <c r="G1302" s="2">
        <v>3</v>
      </c>
      <c r="H1302" s="2">
        <v>4</v>
      </c>
      <c r="I1302" s="2">
        <v>1</v>
      </c>
      <c r="J1302" s="2">
        <v>2.9</v>
      </c>
      <c r="K1302" s="2" t="s">
        <v>1268</v>
      </c>
      <c r="L1302" s="2" t="str">
        <f t="shared" si="120"/>
        <v>Profitable</v>
      </c>
      <c r="M1302" s="2" t="str">
        <f t="shared" si="121"/>
        <v>Stable Earnings</v>
      </c>
      <c r="N1302" s="2" t="str">
        <f t="shared" si="122"/>
        <v>Low Quality</v>
      </c>
      <c r="O1302" s="4" t="str">
        <f t="shared" si="123"/>
        <v>Accounting Risk</v>
      </c>
      <c r="P1302" s="4" t="str">
        <f t="shared" si="124"/>
        <v>Low Quality</v>
      </c>
      <c r="Q1302" s="4" t="str">
        <f t="shared" si="125"/>
        <v>Weak Growth</v>
      </c>
    </row>
    <row r="1303" spans="1:17" x14ac:dyDescent="0.35">
      <c r="A1303" s="2" t="s">
        <v>1314</v>
      </c>
      <c r="B1303" s="2">
        <v>5</v>
      </c>
      <c r="C1303" s="2">
        <v>-6061010.4400000004</v>
      </c>
      <c r="D1303" s="2">
        <v>0.6</v>
      </c>
      <c r="E1303" s="2">
        <v>138755184.90000001</v>
      </c>
      <c r="F1303" s="2">
        <v>306960776.60000002</v>
      </c>
      <c r="G1303" s="2">
        <v>3</v>
      </c>
      <c r="H1303" s="2">
        <v>4</v>
      </c>
      <c r="I1303" s="2">
        <v>1</v>
      </c>
      <c r="J1303" s="2">
        <v>2.9</v>
      </c>
      <c r="K1303" s="2" t="s">
        <v>1268</v>
      </c>
      <c r="L1303" s="2" t="str">
        <f t="shared" si="120"/>
        <v>Loss Making</v>
      </c>
      <c r="M1303" s="2" t="str">
        <f t="shared" si="121"/>
        <v>Stable Earnings</v>
      </c>
      <c r="N1303" s="2" t="str">
        <f t="shared" si="122"/>
        <v>Low Quality</v>
      </c>
      <c r="O1303" s="4" t="str">
        <f t="shared" si="123"/>
        <v>Accounting Risk</v>
      </c>
      <c r="P1303" s="4" t="str">
        <f t="shared" si="124"/>
        <v>Low Quality</v>
      </c>
      <c r="Q1303" s="4" t="str">
        <f t="shared" si="125"/>
        <v>Weak Growth</v>
      </c>
    </row>
    <row r="1304" spans="1:17" x14ac:dyDescent="0.35">
      <c r="A1304" s="2" t="s">
        <v>1315</v>
      </c>
      <c r="B1304" s="2">
        <v>5</v>
      </c>
      <c r="C1304" s="2">
        <v>-31044476.359999999</v>
      </c>
      <c r="D1304" s="2">
        <v>0.6</v>
      </c>
      <c r="E1304" s="2">
        <v>168025632.59999999</v>
      </c>
      <c r="F1304" s="2">
        <v>245702859.09999999</v>
      </c>
      <c r="G1304" s="2">
        <v>3</v>
      </c>
      <c r="H1304" s="2">
        <v>4</v>
      </c>
      <c r="I1304" s="2">
        <v>1</v>
      </c>
      <c r="J1304" s="2">
        <v>2.9</v>
      </c>
      <c r="K1304" s="2" t="s">
        <v>1268</v>
      </c>
      <c r="L1304" s="2" t="str">
        <f t="shared" si="120"/>
        <v>Loss Making</v>
      </c>
      <c r="M1304" s="2" t="str">
        <f t="shared" si="121"/>
        <v>Stable Earnings</v>
      </c>
      <c r="N1304" s="2" t="str">
        <f t="shared" si="122"/>
        <v>Low Quality</v>
      </c>
      <c r="O1304" s="4" t="str">
        <f t="shared" si="123"/>
        <v>Accounting Risk</v>
      </c>
      <c r="P1304" s="4" t="str">
        <f t="shared" si="124"/>
        <v>Low Quality</v>
      </c>
      <c r="Q1304" s="4" t="str">
        <f t="shared" si="125"/>
        <v>Weak Growth</v>
      </c>
    </row>
    <row r="1305" spans="1:17" x14ac:dyDescent="0.35">
      <c r="A1305" s="2" t="s">
        <v>1316</v>
      </c>
      <c r="B1305" s="2">
        <v>5</v>
      </c>
      <c r="C1305" s="2">
        <v>94102015.939999998</v>
      </c>
      <c r="D1305" s="2">
        <v>0.8</v>
      </c>
      <c r="E1305" s="2">
        <v>113291487.5</v>
      </c>
      <c r="F1305" s="2">
        <v>240158968.19999999</v>
      </c>
      <c r="G1305" s="2">
        <v>3</v>
      </c>
      <c r="H1305" s="2">
        <v>4</v>
      </c>
      <c r="I1305" s="2">
        <v>1</v>
      </c>
      <c r="J1305" s="2">
        <v>2.9</v>
      </c>
      <c r="K1305" s="2" t="s">
        <v>1268</v>
      </c>
      <c r="L1305" s="2" t="str">
        <f t="shared" si="120"/>
        <v>Profitable</v>
      </c>
      <c r="M1305" s="2" t="str">
        <f t="shared" si="121"/>
        <v>Stable Earnings</v>
      </c>
      <c r="N1305" s="2" t="str">
        <f t="shared" si="122"/>
        <v>Low Quality</v>
      </c>
      <c r="O1305" s="4" t="str">
        <f t="shared" si="123"/>
        <v>Operational Growth</v>
      </c>
      <c r="P1305" s="4" t="str">
        <f t="shared" si="124"/>
        <v>Low Quality</v>
      </c>
      <c r="Q1305" s="4" t="str">
        <f t="shared" si="125"/>
        <v>Weak Growth</v>
      </c>
    </row>
    <row r="1306" spans="1:17" x14ac:dyDescent="0.35">
      <c r="A1306" s="2" t="s">
        <v>1317</v>
      </c>
      <c r="B1306" s="2">
        <v>5</v>
      </c>
      <c r="C1306" s="2">
        <v>338323540.69999999</v>
      </c>
      <c r="D1306" s="2">
        <v>0.8</v>
      </c>
      <c r="E1306" s="2">
        <v>317377353.69999999</v>
      </c>
      <c r="F1306" s="2">
        <v>243545458.80000001</v>
      </c>
      <c r="G1306" s="2">
        <v>3</v>
      </c>
      <c r="H1306" s="2">
        <v>4</v>
      </c>
      <c r="I1306" s="2">
        <v>1</v>
      </c>
      <c r="J1306" s="2">
        <v>2.9</v>
      </c>
      <c r="K1306" s="2" t="s">
        <v>1268</v>
      </c>
      <c r="L1306" s="2" t="str">
        <f t="shared" si="120"/>
        <v>Profitable</v>
      </c>
      <c r="M1306" s="2" t="str">
        <f t="shared" si="121"/>
        <v>Stable Earnings</v>
      </c>
      <c r="N1306" s="2" t="str">
        <f t="shared" si="122"/>
        <v>Low Quality</v>
      </c>
      <c r="O1306" s="4" t="str">
        <f t="shared" si="123"/>
        <v>Operational Growth</v>
      </c>
      <c r="P1306" s="4" t="str">
        <f t="shared" si="124"/>
        <v>Low Quality</v>
      </c>
      <c r="Q1306" s="4" t="str">
        <f t="shared" si="125"/>
        <v>Weak Growth</v>
      </c>
    </row>
    <row r="1307" spans="1:17" x14ac:dyDescent="0.35">
      <c r="A1307" s="2" t="s">
        <v>1318</v>
      </c>
      <c r="B1307" s="2">
        <v>5</v>
      </c>
      <c r="C1307" s="2">
        <v>51321694.060000002</v>
      </c>
      <c r="D1307" s="2">
        <v>0.6</v>
      </c>
      <c r="E1307" s="2">
        <v>207760371.19999999</v>
      </c>
      <c r="F1307" s="2">
        <v>390390328.5</v>
      </c>
      <c r="G1307" s="2">
        <v>3</v>
      </c>
      <c r="H1307" s="2">
        <v>4</v>
      </c>
      <c r="I1307" s="2">
        <v>1</v>
      </c>
      <c r="J1307" s="2">
        <v>2.9</v>
      </c>
      <c r="K1307" s="2" t="s">
        <v>1268</v>
      </c>
      <c r="L1307" s="2" t="str">
        <f t="shared" si="120"/>
        <v>Profitable</v>
      </c>
      <c r="M1307" s="2" t="str">
        <f t="shared" si="121"/>
        <v>Stable Earnings</v>
      </c>
      <c r="N1307" s="2" t="str">
        <f t="shared" si="122"/>
        <v>Low Quality</v>
      </c>
      <c r="O1307" s="4" t="str">
        <f t="shared" si="123"/>
        <v>Accounting Risk</v>
      </c>
      <c r="P1307" s="4" t="str">
        <f t="shared" si="124"/>
        <v>Low Quality</v>
      </c>
      <c r="Q1307" s="4" t="str">
        <f t="shared" si="125"/>
        <v>Weak Growth</v>
      </c>
    </row>
    <row r="1308" spans="1:17" x14ac:dyDescent="0.35">
      <c r="A1308" s="2" t="s">
        <v>1319</v>
      </c>
      <c r="B1308" s="2">
        <v>5</v>
      </c>
      <c r="C1308" s="2">
        <v>-88420605.959999993</v>
      </c>
      <c r="D1308" s="2">
        <v>0.4</v>
      </c>
      <c r="E1308" s="2">
        <v>163052545.5</v>
      </c>
      <c r="F1308" s="2">
        <v>399348752.60000002</v>
      </c>
      <c r="G1308" s="2">
        <v>3</v>
      </c>
      <c r="H1308" s="2">
        <v>4</v>
      </c>
      <c r="I1308" s="2">
        <v>1</v>
      </c>
      <c r="J1308" s="2">
        <v>2.9</v>
      </c>
      <c r="K1308" s="2" t="s">
        <v>1268</v>
      </c>
      <c r="L1308" s="2" t="str">
        <f t="shared" si="120"/>
        <v>Loss Making</v>
      </c>
      <c r="M1308" s="2" t="str">
        <f t="shared" si="121"/>
        <v>Stable Earnings</v>
      </c>
      <c r="N1308" s="2" t="str">
        <f t="shared" si="122"/>
        <v>Low Quality</v>
      </c>
      <c r="O1308" s="4" t="str">
        <f t="shared" si="123"/>
        <v>Accounting Risk</v>
      </c>
      <c r="P1308" s="4" t="str">
        <f t="shared" si="124"/>
        <v>Low Quality</v>
      </c>
      <c r="Q1308" s="4" t="str">
        <f t="shared" si="125"/>
        <v>Weak Growth</v>
      </c>
    </row>
    <row r="1309" spans="1:17" x14ac:dyDescent="0.35">
      <c r="A1309" s="2" t="s">
        <v>1320</v>
      </c>
      <c r="B1309" s="2">
        <v>5</v>
      </c>
      <c r="C1309" s="2">
        <v>217069576.80000001</v>
      </c>
      <c r="D1309" s="2">
        <v>0.8</v>
      </c>
      <c r="E1309" s="2">
        <v>222750358</v>
      </c>
      <c r="F1309" s="2">
        <v>423687552.19999999</v>
      </c>
      <c r="G1309" s="2">
        <v>3</v>
      </c>
      <c r="H1309" s="2">
        <v>4</v>
      </c>
      <c r="I1309" s="2">
        <v>1</v>
      </c>
      <c r="J1309" s="2">
        <v>2.9</v>
      </c>
      <c r="K1309" s="2" t="s">
        <v>1268</v>
      </c>
      <c r="L1309" s="2" t="str">
        <f t="shared" si="120"/>
        <v>Profitable</v>
      </c>
      <c r="M1309" s="2" t="str">
        <f t="shared" si="121"/>
        <v>Stable Earnings</v>
      </c>
      <c r="N1309" s="2" t="str">
        <f t="shared" si="122"/>
        <v>Low Quality</v>
      </c>
      <c r="O1309" s="4" t="str">
        <f t="shared" si="123"/>
        <v>Operational Growth</v>
      </c>
      <c r="P1309" s="4" t="str">
        <f t="shared" si="124"/>
        <v>Low Quality</v>
      </c>
      <c r="Q1309" s="4" t="str">
        <f t="shared" si="125"/>
        <v>Weak Growth</v>
      </c>
    </row>
    <row r="1310" spans="1:17" x14ac:dyDescent="0.35">
      <c r="A1310" s="2" t="s">
        <v>1321</v>
      </c>
      <c r="B1310" s="2">
        <v>5</v>
      </c>
      <c r="C1310" s="2">
        <v>31990733.719999999</v>
      </c>
      <c r="D1310" s="2">
        <v>0.6</v>
      </c>
      <c r="E1310" s="2">
        <v>257098295.40000001</v>
      </c>
      <c r="F1310" s="2">
        <v>326490599.60000002</v>
      </c>
      <c r="G1310" s="2">
        <v>3</v>
      </c>
      <c r="H1310" s="2">
        <v>4</v>
      </c>
      <c r="I1310" s="2">
        <v>1</v>
      </c>
      <c r="J1310" s="2">
        <v>2.9</v>
      </c>
      <c r="K1310" s="2" t="s">
        <v>1268</v>
      </c>
      <c r="L1310" s="2" t="str">
        <f t="shared" si="120"/>
        <v>Profitable</v>
      </c>
      <c r="M1310" s="2" t="str">
        <f t="shared" si="121"/>
        <v>Stable Earnings</v>
      </c>
      <c r="N1310" s="2" t="str">
        <f t="shared" si="122"/>
        <v>Low Quality</v>
      </c>
      <c r="O1310" s="4" t="str">
        <f t="shared" si="123"/>
        <v>Accounting Risk</v>
      </c>
      <c r="P1310" s="4" t="str">
        <f t="shared" si="124"/>
        <v>Low Quality</v>
      </c>
      <c r="Q1310" s="4" t="str">
        <f t="shared" si="125"/>
        <v>Weak Growth</v>
      </c>
    </row>
    <row r="1311" spans="1:17" x14ac:dyDescent="0.35">
      <c r="A1311" s="2" t="s">
        <v>1322</v>
      </c>
      <c r="B1311" s="2">
        <v>5</v>
      </c>
      <c r="C1311" s="2">
        <v>189526954.90000001</v>
      </c>
      <c r="D1311" s="2">
        <v>0.8</v>
      </c>
      <c r="E1311" s="2">
        <v>178767811.40000001</v>
      </c>
      <c r="F1311" s="2">
        <v>342105510.30000001</v>
      </c>
      <c r="G1311" s="2">
        <v>3</v>
      </c>
      <c r="H1311" s="2">
        <v>4</v>
      </c>
      <c r="I1311" s="2">
        <v>1</v>
      </c>
      <c r="J1311" s="2">
        <v>2.9</v>
      </c>
      <c r="K1311" s="2" t="s">
        <v>1268</v>
      </c>
      <c r="L1311" s="2" t="str">
        <f t="shared" si="120"/>
        <v>Profitable</v>
      </c>
      <c r="M1311" s="2" t="str">
        <f t="shared" si="121"/>
        <v>Stable Earnings</v>
      </c>
      <c r="N1311" s="2" t="str">
        <f t="shared" si="122"/>
        <v>Low Quality</v>
      </c>
      <c r="O1311" s="4" t="str">
        <f t="shared" si="123"/>
        <v>Operational Growth</v>
      </c>
      <c r="P1311" s="4" t="str">
        <f t="shared" si="124"/>
        <v>Low Quality</v>
      </c>
      <c r="Q1311" s="4" t="str">
        <f t="shared" si="125"/>
        <v>Weak Growth</v>
      </c>
    </row>
    <row r="1312" spans="1:17" x14ac:dyDescent="0.35">
      <c r="A1312" s="2" t="s">
        <v>1323</v>
      </c>
      <c r="B1312" s="2">
        <v>5</v>
      </c>
      <c r="C1312" s="2">
        <v>-33989405.219999999</v>
      </c>
      <c r="D1312" s="2">
        <v>0.6</v>
      </c>
      <c r="E1312" s="2">
        <v>245879254.5</v>
      </c>
      <c r="F1312" s="2">
        <v>314081063.19999999</v>
      </c>
      <c r="G1312" s="2">
        <v>3</v>
      </c>
      <c r="H1312" s="2">
        <v>4</v>
      </c>
      <c r="I1312" s="2">
        <v>1</v>
      </c>
      <c r="J1312" s="2">
        <v>2.9</v>
      </c>
      <c r="K1312" s="2" t="s">
        <v>1268</v>
      </c>
      <c r="L1312" s="2" t="str">
        <f t="shared" si="120"/>
        <v>Loss Making</v>
      </c>
      <c r="M1312" s="2" t="str">
        <f t="shared" si="121"/>
        <v>Stable Earnings</v>
      </c>
      <c r="N1312" s="2" t="str">
        <f t="shared" si="122"/>
        <v>Low Quality</v>
      </c>
      <c r="O1312" s="4" t="str">
        <f t="shared" si="123"/>
        <v>Accounting Risk</v>
      </c>
      <c r="P1312" s="4" t="str">
        <f t="shared" si="124"/>
        <v>Low Quality</v>
      </c>
      <c r="Q1312" s="4" t="str">
        <f t="shared" si="125"/>
        <v>Weak Growth</v>
      </c>
    </row>
    <row r="1313" spans="1:17" x14ac:dyDescent="0.35">
      <c r="A1313" s="2" t="s">
        <v>1324</v>
      </c>
      <c r="B1313" s="2">
        <v>5</v>
      </c>
      <c r="C1313" s="2">
        <v>92558152.920000002</v>
      </c>
      <c r="D1313" s="2">
        <v>0.6</v>
      </c>
      <c r="E1313" s="2">
        <v>135136952.59999999</v>
      </c>
      <c r="F1313" s="2">
        <v>339121398.30000001</v>
      </c>
      <c r="G1313" s="2">
        <v>3</v>
      </c>
      <c r="H1313" s="2">
        <v>4</v>
      </c>
      <c r="I1313" s="2">
        <v>1</v>
      </c>
      <c r="J1313" s="2">
        <v>2.9</v>
      </c>
      <c r="K1313" s="2" t="s">
        <v>1268</v>
      </c>
      <c r="L1313" s="2" t="str">
        <f t="shared" si="120"/>
        <v>Profitable</v>
      </c>
      <c r="M1313" s="2" t="str">
        <f t="shared" si="121"/>
        <v>Stable Earnings</v>
      </c>
      <c r="N1313" s="2" t="str">
        <f t="shared" si="122"/>
        <v>Low Quality</v>
      </c>
      <c r="O1313" s="4" t="str">
        <f t="shared" si="123"/>
        <v>Accounting Risk</v>
      </c>
      <c r="P1313" s="4" t="str">
        <f t="shared" si="124"/>
        <v>Low Quality</v>
      </c>
      <c r="Q1313" s="4" t="str">
        <f t="shared" si="125"/>
        <v>Weak Growth</v>
      </c>
    </row>
    <row r="1314" spans="1:17" x14ac:dyDescent="0.35">
      <c r="A1314" s="2" t="s">
        <v>1325</v>
      </c>
      <c r="B1314" s="2">
        <v>5</v>
      </c>
      <c r="C1314" s="2">
        <v>-31470312.780000001</v>
      </c>
      <c r="D1314" s="2">
        <v>0.6</v>
      </c>
      <c r="E1314" s="2">
        <v>264029104.40000001</v>
      </c>
      <c r="F1314" s="2">
        <v>346027381.19999999</v>
      </c>
      <c r="G1314" s="2">
        <v>3</v>
      </c>
      <c r="H1314" s="2">
        <v>4</v>
      </c>
      <c r="I1314" s="2">
        <v>1</v>
      </c>
      <c r="J1314" s="2">
        <v>2.9</v>
      </c>
      <c r="K1314" s="2" t="s">
        <v>1268</v>
      </c>
      <c r="L1314" s="2" t="str">
        <f t="shared" si="120"/>
        <v>Loss Making</v>
      </c>
      <c r="M1314" s="2" t="str">
        <f t="shared" si="121"/>
        <v>Stable Earnings</v>
      </c>
      <c r="N1314" s="2" t="str">
        <f t="shared" si="122"/>
        <v>Low Quality</v>
      </c>
      <c r="O1314" s="4" t="str">
        <f t="shared" si="123"/>
        <v>Accounting Risk</v>
      </c>
      <c r="P1314" s="4" t="str">
        <f t="shared" si="124"/>
        <v>Low Quality</v>
      </c>
      <c r="Q1314" s="4" t="str">
        <f t="shared" si="125"/>
        <v>Weak Growth</v>
      </c>
    </row>
    <row r="1315" spans="1:17" x14ac:dyDescent="0.35">
      <c r="A1315" s="2" t="s">
        <v>1326</v>
      </c>
      <c r="B1315" s="2">
        <v>5</v>
      </c>
      <c r="C1315" s="2">
        <v>125924231.09999999</v>
      </c>
      <c r="D1315" s="2">
        <v>0.6</v>
      </c>
      <c r="E1315" s="2">
        <v>278107165.10000002</v>
      </c>
      <c r="F1315" s="2">
        <v>587251464</v>
      </c>
      <c r="G1315" s="2">
        <v>3</v>
      </c>
      <c r="H1315" s="2">
        <v>4</v>
      </c>
      <c r="I1315" s="2">
        <v>1</v>
      </c>
      <c r="J1315" s="2">
        <v>2.9</v>
      </c>
      <c r="K1315" s="2" t="s">
        <v>1268</v>
      </c>
      <c r="L1315" s="2" t="str">
        <f t="shared" si="120"/>
        <v>Profitable</v>
      </c>
      <c r="M1315" s="2" t="str">
        <f t="shared" si="121"/>
        <v>Stable Earnings</v>
      </c>
      <c r="N1315" s="2" t="str">
        <f t="shared" si="122"/>
        <v>Low Quality</v>
      </c>
      <c r="O1315" s="4" t="str">
        <f t="shared" si="123"/>
        <v>Accounting Risk</v>
      </c>
      <c r="P1315" s="4" t="str">
        <f t="shared" si="124"/>
        <v>Low Quality</v>
      </c>
      <c r="Q1315" s="4" t="str">
        <f t="shared" si="125"/>
        <v>Weak Growth</v>
      </c>
    </row>
    <row r="1316" spans="1:17" x14ac:dyDescent="0.35">
      <c r="A1316" s="2" t="s">
        <v>1327</v>
      </c>
      <c r="B1316" s="2">
        <v>5</v>
      </c>
      <c r="C1316" s="2">
        <v>29579773.16</v>
      </c>
      <c r="D1316" s="2">
        <v>0.6</v>
      </c>
      <c r="E1316" s="2">
        <v>254749644</v>
      </c>
      <c r="F1316" s="2">
        <v>609183000.10000002</v>
      </c>
      <c r="G1316" s="2">
        <v>3</v>
      </c>
      <c r="H1316" s="2">
        <v>4</v>
      </c>
      <c r="I1316" s="2">
        <v>1</v>
      </c>
      <c r="J1316" s="2">
        <v>2.9</v>
      </c>
      <c r="K1316" s="2" t="s">
        <v>1268</v>
      </c>
      <c r="L1316" s="2" t="str">
        <f t="shared" si="120"/>
        <v>Profitable</v>
      </c>
      <c r="M1316" s="2" t="str">
        <f t="shared" si="121"/>
        <v>Stable Earnings</v>
      </c>
      <c r="N1316" s="2" t="str">
        <f t="shared" si="122"/>
        <v>Low Quality</v>
      </c>
      <c r="O1316" s="4" t="str">
        <f t="shared" si="123"/>
        <v>Accounting Risk</v>
      </c>
      <c r="P1316" s="4" t="str">
        <f t="shared" si="124"/>
        <v>Low Quality</v>
      </c>
      <c r="Q1316" s="4" t="str">
        <f t="shared" si="125"/>
        <v>Weak Growth</v>
      </c>
    </row>
    <row r="1317" spans="1:17" x14ac:dyDescent="0.35">
      <c r="A1317" s="2" t="s">
        <v>1328</v>
      </c>
      <c r="B1317" s="2">
        <v>5</v>
      </c>
      <c r="C1317" s="2">
        <v>29759549.280000001</v>
      </c>
      <c r="D1317" s="2">
        <v>0.6</v>
      </c>
      <c r="E1317" s="2">
        <v>299627639.5</v>
      </c>
      <c r="F1317" s="2">
        <v>482346384.19999999</v>
      </c>
      <c r="G1317" s="2">
        <v>3</v>
      </c>
      <c r="H1317" s="2">
        <v>4</v>
      </c>
      <c r="I1317" s="2">
        <v>1</v>
      </c>
      <c r="J1317" s="2">
        <v>2.9</v>
      </c>
      <c r="K1317" s="2" t="s">
        <v>1268</v>
      </c>
      <c r="L1317" s="2" t="str">
        <f t="shared" si="120"/>
        <v>Profitable</v>
      </c>
      <c r="M1317" s="2" t="str">
        <f t="shared" si="121"/>
        <v>Stable Earnings</v>
      </c>
      <c r="N1317" s="2" t="str">
        <f t="shared" si="122"/>
        <v>Low Quality</v>
      </c>
      <c r="O1317" s="4" t="str">
        <f t="shared" si="123"/>
        <v>Accounting Risk</v>
      </c>
      <c r="P1317" s="4" t="str">
        <f t="shared" si="124"/>
        <v>Low Quality</v>
      </c>
      <c r="Q1317" s="4" t="str">
        <f t="shared" si="125"/>
        <v>Weak Growth</v>
      </c>
    </row>
    <row r="1318" spans="1:17" x14ac:dyDescent="0.35">
      <c r="A1318" s="2" t="s">
        <v>1329</v>
      </c>
      <c r="B1318" s="2">
        <v>5</v>
      </c>
      <c r="C1318" s="2">
        <v>328696801.60000002</v>
      </c>
      <c r="D1318" s="2">
        <v>0.8</v>
      </c>
      <c r="E1318" s="2">
        <v>265106630.19999999</v>
      </c>
      <c r="F1318" s="2">
        <v>510242506.60000002</v>
      </c>
      <c r="G1318" s="2">
        <v>3</v>
      </c>
      <c r="H1318" s="2">
        <v>4</v>
      </c>
      <c r="I1318" s="2">
        <v>1</v>
      </c>
      <c r="J1318" s="2">
        <v>2.9</v>
      </c>
      <c r="K1318" s="2" t="s">
        <v>1268</v>
      </c>
      <c r="L1318" s="2" t="str">
        <f t="shared" si="120"/>
        <v>Profitable</v>
      </c>
      <c r="M1318" s="2" t="str">
        <f t="shared" si="121"/>
        <v>Stable Earnings</v>
      </c>
      <c r="N1318" s="2" t="str">
        <f t="shared" si="122"/>
        <v>Low Quality</v>
      </c>
      <c r="O1318" s="4" t="str">
        <f t="shared" si="123"/>
        <v>Operational Growth</v>
      </c>
      <c r="P1318" s="4" t="str">
        <f t="shared" si="124"/>
        <v>Low Quality</v>
      </c>
      <c r="Q1318" s="4" t="str">
        <f t="shared" si="125"/>
        <v>Weak Growth</v>
      </c>
    </row>
    <row r="1319" spans="1:17" x14ac:dyDescent="0.35">
      <c r="A1319" s="2" t="s">
        <v>1330</v>
      </c>
      <c r="B1319" s="2">
        <v>5</v>
      </c>
      <c r="C1319" s="2">
        <v>37662042.68</v>
      </c>
      <c r="D1319" s="2">
        <v>0.6</v>
      </c>
      <c r="E1319" s="2">
        <v>301385032.39999998</v>
      </c>
      <c r="F1319" s="2">
        <v>613737736.29999995</v>
      </c>
      <c r="G1319" s="2">
        <v>3</v>
      </c>
      <c r="H1319" s="2">
        <v>4</v>
      </c>
      <c r="I1319" s="2">
        <v>1</v>
      </c>
      <c r="J1319" s="2">
        <v>2.9</v>
      </c>
      <c r="K1319" s="2" t="s">
        <v>1268</v>
      </c>
      <c r="L1319" s="2" t="str">
        <f t="shared" si="120"/>
        <v>Profitable</v>
      </c>
      <c r="M1319" s="2" t="str">
        <f t="shared" si="121"/>
        <v>Stable Earnings</v>
      </c>
      <c r="N1319" s="2" t="str">
        <f t="shared" si="122"/>
        <v>Low Quality</v>
      </c>
      <c r="O1319" s="4" t="str">
        <f t="shared" si="123"/>
        <v>Accounting Risk</v>
      </c>
      <c r="P1319" s="4" t="str">
        <f t="shared" si="124"/>
        <v>Low Quality</v>
      </c>
      <c r="Q1319" s="4" t="str">
        <f t="shared" si="125"/>
        <v>Weak Growth</v>
      </c>
    </row>
    <row r="1320" spans="1:17" x14ac:dyDescent="0.35">
      <c r="A1320" s="2" t="s">
        <v>1331</v>
      </c>
      <c r="B1320" s="2">
        <v>5</v>
      </c>
      <c r="C1320" s="2">
        <v>-6342944.5800000001</v>
      </c>
      <c r="D1320" s="2">
        <v>0.4</v>
      </c>
      <c r="E1320" s="2">
        <v>23223143.850000001</v>
      </c>
      <c r="F1320" s="2">
        <v>-38793300.899999999</v>
      </c>
      <c r="G1320" s="2">
        <v>3</v>
      </c>
      <c r="H1320" s="2">
        <v>2</v>
      </c>
      <c r="I1320" s="2">
        <v>4</v>
      </c>
      <c r="J1320" s="2">
        <v>2.9</v>
      </c>
      <c r="K1320" s="2" t="s">
        <v>1268</v>
      </c>
      <c r="L1320" s="2" t="str">
        <f t="shared" si="120"/>
        <v>Loss Making</v>
      </c>
      <c r="M1320" s="2" t="str">
        <f t="shared" si="121"/>
        <v>Stable Earnings</v>
      </c>
      <c r="N1320" s="2" t="str">
        <f t="shared" si="122"/>
        <v>Low Quality</v>
      </c>
      <c r="O1320" s="4" t="str">
        <f t="shared" si="123"/>
        <v>Accounting Risk</v>
      </c>
      <c r="P1320" s="4" t="str">
        <f t="shared" si="124"/>
        <v>Low Quality</v>
      </c>
      <c r="Q1320" s="4" t="str">
        <f t="shared" si="125"/>
        <v>Strong Long-Term Growth</v>
      </c>
    </row>
    <row r="1321" spans="1:17" x14ac:dyDescent="0.35">
      <c r="A1321" s="2" t="s">
        <v>1332</v>
      </c>
      <c r="B1321" s="2">
        <v>5</v>
      </c>
      <c r="C1321" s="2">
        <v>16157536.74</v>
      </c>
      <c r="D1321" s="2">
        <v>0.6</v>
      </c>
      <c r="E1321" s="2">
        <v>27637422.620000001</v>
      </c>
      <c r="F1321" s="2">
        <v>-33987364</v>
      </c>
      <c r="G1321" s="2">
        <v>3</v>
      </c>
      <c r="H1321" s="2">
        <v>2</v>
      </c>
      <c r="I1321" s="2">
        <v>4</v>
      </c>
      <c r="J1321" s="2">
        <v>2.9</v>
      </c>
      <c r="K1321" s="2" t="s">
        <v>1268</v>
      </c>
      <c r="L1321" s="2" t="str">
        <f t="shared" si="120"/>
        <v>Profitable</v>
      </c>
      <c r="M1321" s="2" t="str">
        <f t="shared" si="121"/>
        <v>Stable Earnings</v>
      </c>
      <c r="N1321" s="2" t="str">
        <f t="shared" si="122"/>
        <v>Low Quality</v>
      </c>
      <c r="O1321" s="4" t="str">
        <f t="shared" si="123"/>
        <v>Accounting Risk</v>
      </c>
      <c r="P1321" s="4" t="str">
        <f t="shared" si="124"/>
        <v>Low Quality</v>
      </c>
      <c r="Q1321" s="4" t="str">
        <f t="shared" si="125"/>
        <v>Strong Long-Term Growth</v>
      </c>
    </row>
    <row r="1322" spans="1:17" x14ac:dyDescent="0.35">
      <c r="A1322" s="2" t="s">
        <v>1333</v>
      </c>
      <c r="B1322" s="2">
        <v>5</v>
      </c>
      <c r="C1322" s="2">
        <v>-453706.06</v>
      </c>
      <c r="D1322" s="2">
        <v>0.6</v>
      </c>
      <c r="E1322" s="2">
        <v>37475799.07</v>
      </c>
      <c r="F1322" s="2">
        <v>-35384109.600000001</v>
      </c>
      <c r="G1322" s="2">
        <v>3</v>
      </c>
      <c r="H1322" s="2">
        <v>2</v>
      </c>
      <c r="I1322" s="2">
        <v>4</v>
      </c>
      <c r="J1322" s="2">
        <v>2.9</v>
      </c>
      <c r="K1322" s="2" t="s">
        <v>1268</v>
      </c>
      <c r="L1322" s="2" t="str">
        <f t="shared" si="120"/>
        <v>Loss Making</v>
      </c>
      <c r="M1322" s="2" t="str">
        <f t="shared" si="121"/>
        <v>Stable Earnings</v>
      </c>
      <c r="N1322" s="2" t="str">
        <f t="shared" si="122"/>
        <v>Low Quality</v>
      </c>
      <c r="O1322" s="4" t="str">
        <f t="shared" si="123"/>
        <v>Accounting Risk</v>
      </c>
      <c r="P1322" s="4" t="str">
        <f t="shared" si="124"/>
        <v>Low Quality</v>
      </c>
      <c r="Q1322" s="4" t="str">
        <f t="shared" si="125"/>
        <v>Strong Long-Term Growth</v>
      </c>
    </row>
    <row r="1323" spans="1:17" x14ac:dyDescent="0.35">
      <c r="A1323" s="2" t="s">
        <v>1334</v>
      </c>
      <c r="B1323" s="2">
        <v>5</v>
      </c>
      <c r="C1323" s="2">
        <v>28887409.16</v>
      </c>
      <c r="D1323" s="2">
        <v>0.8</v>
      </c>
      <c r="E1323" s="2">
        <v>39490771.590000004</v>
      </c>
      <c r="F1323" s="2">
        <v>-35453301.5</v>
      </c>
      <c r="G1323" s="2">
        <v>3</v>
      </c>
      <c r="H1323" s="2">
        <v>2</v>
      </c>
      <c r="I1323" s="2">
        <v>4</v>
      </c>
      <c r="J1323" s="2">
        <v>2.9</v>
      </c>
      <c r="K1323" s="2" t="s">
        <v>1268</v>
      </c>
      <c r="L1323" s="2" t="str">
        <f t="shared" si="120"/>
        <v>Profitable</v>
      </c>
      <c r="M1323" s="2" t="str">
        <f t="shared" si="121"/>
        <v>Stable Earnings</v>
      </c>
      <c r="N1323" s="2" t="str">
        <f t="shared" si="122"/>
        <v>Low Quality</v>
      </c>
      <c r="O1323" s="4" t="str">
        <f t="shared" si="123"/>
        <v>Accounting Risk</v>
      </c>
      <c r="P1323" s="4" t="str">
        <f t="shared" si="124"/>
        <v>Low Quality</v>
      </c>
      <c r="Q1323" s="4" t="str">
        <f t="shared" si="125"/>
        <v>Strong Long-Term Growth</v>
      </c>
    </row>
    <row r="1324" spans="1:17" x14ac:dyDescent="0.35">
      <c r="A1324" s="2" t="s">
        <v>1335</v>
      </c>
      <c r="B1324" s="2">
        <v>5</v>
      </c>
      <c r="C1324" s="2">
        <v>4812817.68</v>
      </c>
      <c r="D1324" s="2">
        <v>0.6</v>
      </c>
      <c r="E1324" s="2">
        <v>36186800.119999997</v>
      </c>
      <c r="F1324" s="2">
        <v>-35665686.799999997</v>
      </c>
      <c r="G1324" s="2">
        <v>3</v>
      </c>
      <c r="H1324" s="2">
        <v>2</v>
      </c>
      <c r="I1324" s="2">
        <v>4</v>
      </c>
      <c r="J1324" s="2">
        <v>2.9</v>
      </c>
      <c r="K1324" s="2" t="s">
        <v>1268</v>
      </c>
      <c r="L1324" s="2" t="str">
        <f t="shared" si="120"/>
        <v>Profitable</v>
      </c>
      <c r="M1324" s="2" t="str">
        <f t="shared" si="121"/>
        <v>Stable Earnings</v>
      </c>
      <c r="N1324" s="2" t="str">
        <f t="shared" si="122"/>
        <v>Low Quality</v>
      </c>
      <c r="O1324" s="4" t="str">
        <f t="shared" si="123"/>
        <v>Accounting Risk</v>
      </c>
      <c r="P1324" s="4" t="str">
        <f t="shared" si="124"/>
        <v>Low Quality</v>
      </c>
      <c r="Q1324" s="4" t="str">
        <f t="shared" si="125"/>
        <v>Strong Long-Term Growth</v>
      </c>
    </row>
    <row r="1325" spans="1:17" x14ac:dyDescent="0.35">
      <c r="A1325" s="2" t="s">
        <v>1336</v>
      </c>
      <c r="B1325" s="2">
        <v>5</v>
      </c>
      <c r="C1325" s="2">
        <v>29378911.120000001</v>
      </c>
      <c r="D1325" s="2">
        <v>0.8</v>
      </c>
      <c r="E1325" s="2">
        <v>30314965.82</v>
      </c>
      <c r="F1325" s="2">
        <v>-28791948.100000001</v>
      </c>
      <c r="G1325" s="2">
        <v>3</v>
      </c>
      <c r="H1325" s="2">
        <v>2</v>
      </c>
      <c r="I1325" s="2">
        <v>4</v>
      </c>
      <c r="J1325" s="2">
        <v>2.9</v>
      </c>
      <c r="K1325" s="2" t="s">
        <v>1268</v>
      </c>
      <c r="L1325" s="2" t="str">
        <f t="shared" si="120"/>
        <v>Profitable</v>
      </c>
      <c r="M1325" s="2" t="str">
        <f t="shared" si="121"/>
        <v>Stable Earnings</v>
      </c>
      <c r="N1325" s="2" t="str">
        <f t="shared" si="122"/>
        <v>Low Quality</v>
      </c>
      <c r="O1325" s="4" t="str">
        <f t="shared" si="123"/>
        <v>Accounting Risk</v>
      </c>
      <c r="P1325" s="4" t="str">
        <f t="shared" si="124"/>
        <v>Low Quality</v>
      </c>
      <c r="Q1325" s="4" t="str">
        <f t="shared" si="125"/>
        <v>Strong Long-Term Growth</v>
      </c>
    </row>
    <row r="1326" spans="1:17" x14ac:dyDescent="0.35">
      <c r="A1326" s="2" t="s">
        <v>1337</v>
      </c>
      <c r="B1326" s="2">
        <v>5</v>
      </c>
      <c r="C1326" s="2">
        <v>10374809.220000001</v>
      </c>
      <c r="D1326" s="2">
        <v>0.6</v>
      </c>
      <c r="E1326" s="2">
        <v>32685069.550000001</v>
      </c>
      <c r="F1326" s="2">
        <v>-31524560.699999999</v>
      </c>
      <c r="G1326" s="2">
        <v>3</v>
      </c>
      <c r="H1326" s="2">
        <v>2</v>
      </c>
      <c r="I1326" s="2">
        <v>4</v>
      </c>
      <c r="J1326" s="2">
        <v>2.9</v>
      </c>
      <c r="K1326" s="2" t="s">
        <v>1268</v>
      </c>
      <c r="L1326" s="2" t="str">
        <f t="shared" si="120"/>
        <v>Profitable</v>
      </c>
      <c r="M1326" s="2" t="str">
        <f t="shared" si="121"/>
        <v>Stable Earnings</v>
      </c>
      <c r="N1326" s="2" t="str">
        <f t="shared" si="122"/>
        <v>Low Quality</v>
      </c>
      <c r="O1326" s="4" t="str">
        <f t="shared" si="123"/>
        <v>Accounting Risk</v>
      </c>
      <c r="P1326" s="4" t="str">
        <f t="shared" si="124"/>
        <v>Low Quality</v>
      </c>
      <c r="Q1326" s="4" t="str">
        <f t="shared" si="125"/>
        <v>Strong Long-Term Growth</v>
      </c>
    </row>
    <row r="1327" spans="1:17" x14ac:dyDescent="0.35">
      <c r="A1327" s="2" t="s">
        <v>1338</v>
      </c>
      <c r="B1327" s="2">
        <v>5</v>
      </c>
      <c r="C1327" s="2">
        <v>-6373690.2199999997</v>
      </c>
      <c r="D1327" s="2">
        <v>0.6</v>
      </c>
      <c r="E1327" s="2">
        <v>38939243.060000002</v>
      </c>
      <c r="F1327" s="2">
        <v>-29458295</v>
      </c>
      <c r="G1327" s="2">
        <v>3</v>
      </c>
      <c r="H1327" s="2">
        <v>2</v>
      </c>
      <c r="I1327" s="2">
        <v>4</v>
      </c>
      <c r="J1327" s="2">
        <v>2.9</v>
      </c>
      <c r="K1327" s="2" t="s">
        <v>1268</v>
      </c>
      <c r="L1327" s="2" t="str">
        <f t="shared" si="120"/>
        <v>Loss Making</v>
      </c>
      <c r="M1327" s="2" t="str">
        <f t="shared" si="121"/>
        <v>Stable Earnings</v>
      </c>
      <c r="N1327" s="2" t="str">
        <f t="shared" si="122"/>
        <v>Low Quality</v>
      </c>
      <c r="O1327" s="4" t="str">
        <f t="shared" si="123"/>
        <v>Accounting Risk</v>
      </c>
      <c r="P1327" s="4" t="str">
        <f t="shared" si="124"/>
        <v>Low Quality</v>
      </c>
      <c r="Q1327" s="4" t="str">
        <f t="shared" si="125"/>
        <v>Strong Long-Term Growth</v>
      </c>
    </row>
    <row r="1328" spans="1:17" x14ac:dyDescent="0.35">
      <c r="A1328" s="2" t="s">
        <v>1339</v>
      </c>
      <c r="B1328" s="2">
        <v>5</v>
      </c>
      <c r="C1328" s="2">
        <v>19255438.359999999</v>
      </c>
      <c r="D1328" s="2">
        <v>0.8</v>
      </c>
      <c r="E1328" s="2">
        <v>20030169.710000001</v>
      </c>
      <c r="F1328" s="2">
        <v>-21370740.600000001</v>
      </c>
      <c r="G1328" s="2">
        <v>3</v>
      </c>
      <c r="H1328" s="2">
        <v>2</v>
      </c>
      <c r="I1328" s="2">
        <v>4</v>
      </c>
      <c r="J1328" s="2">
        <v>2.9</v>
      </c>
      <c r="K1328" s="2" t="s">
        <v>1268</v>
      </c>
      <c r="L1328" s="2" t="str">
        <f t="shared" si="120"/>
        <v>Profitable</v>
      </c>
      <c r="M1328" s="2" t="str">
        <f t="shared" si="121"/>
        <v>Stable Earnings</v>
      </c>
      <c r="N1328" s="2" t="str">
        <f t="shared" si="122"/>
        <v>Low Quality</v>
      </c>
      <c r="O1328" s="4" t="str">
        <f t="shared" si="123"/>
        <v>Accounting Risk</v>
      </c>
      <c r="P1328" s="4" t="str">
        <f t="shared" si="124"/>
        <v>Low Quality</v>
      </c>
      <c r="Q1328" s="4" t="str">
        <f t="shared" si="125"/>
        <v>Strong Long-Term Growth</v>
      </c>
    </row>
    <row r="1329" spans="1:17" x14ac:dyDescent="0.35">
      <c r="A1329" s="2" t="s">
        <v>1340</v>
      </c>
      <c r="B1329" s="2">
        <v>5</v>
      </c>
      <c r="C1329" s="2">
        <v>1607370.4</v>
      </c>
      <c r="D1329" s="2">
        <v>0.6</v>
      </c>
      <c r="E1329" s="2">
        <v>38238084.789999999</v>
      </c>
      <c r="F1329" s="2">
        <v>-25776196.800000001</v>
      </c>
      <c r="G1329" s="2">
        <v>3</v>
      </c>
      <c r="H1329" s="2">
        <v>2</v>
      </c>
      <c r="I1329" s="2">
        <v>4</v>
      </c>
      <c r="J1329" s="2">
        <v>2.9</v>
      </c>
      <c r="K1329" s="2" t="s">
        <v>1268</v>
      </c>
      <c r="L1329" s="2" t="str">
        <f t="shared" si="120"/>
        <v>Profitable</v>
      </c>
      <c r="M1329" s="2" t="str">
        <f t="shared" si="121"/>
        <v>Stable Earnings</v>
      </c>
      <c r="N1329" s="2" t="str">
        <f t="shared" si="122"/>
        <v>Low Quality</v>
      </c>
      <c r="O1329" s="4" t="str">
        <f t="shared" si="123"/>
        <v>Accounting Risk</v>
      </c>
      <c r="P1329" s="4" t="str">
        <f t="shared" si="124"/>
        <v>Low Quality</v>
      </c>
      <c r="Q1329" s="4" t="str">
        <f t="shared" si="125"/>
        <v>Strong Long-Term Growth</v>
      </c>
    </row>
    <row r="1330" spans="1:17" x14ac:dyDescent="0.35">
      <c r="A1330" s="2" t="s">
        <v>1341</v>
      </c>
      <c r="B1330" s="2">
        <v>5</v>
      </c>
      <c r="C1330" s="2">
        <v>1080662.96</v>
      </c>
      <c r="D1330" s="2">
        <v>0.6</v>
      </c>
      <c r="E1330" s="2">
        <v>22315991.77</v>
      </c>
      <c r="F1330" s="2">
        <v>-26495443.800000001</v>
      </c>
      <c r="G1330" s="2">
        <v>3</v>
      </c>
      <c r="H1330" s="2">
        <v>2</v>
      </c>
      <c r="I1330" s="2">
        <v>4</v>
      </c>
      <c r="J1330" s="2">
        <v>2.9</v>
      </c>
      <c r="K1330" s="2" t="s">
        <v>1268</v>
      </c>
      <c r="L1330" s="2" t="str">
        <f t="shared" si="120"/>
        <v>Profitable</v>
      </c>
      <c r="M1330" s="2" t="str">
        <f t="shared" si="121"/>
        <v>Stable Earnings</v>
      </c>
      <c r="N1330" s="2" t="str">
        <f t="shared" si="122"/>
        <v>Low Quality</v>
      </c>
      <c r="O1330" s="4" t="str">
        <f t="shared" si="123"/>
        <v>Accounting Risk</v>
      </c>
      <c r="P1330" s="4" t="str">
        <f t="shared" si="124"/>
        <v>Low Quality</v>
      </c>
      <c r="Q1330" s="4" t="str">
        <f t="shared" si="125"/>
        <v>Strong Long-Term Growth</v>
      </c>
    </row>
    <row r="1331" spans="1:17" x14ac:dyDescent="0.35">
      <c r="A1331" s="2" t="s">
        <v>1342</v>
      </c>
      <c r="B1331" s="2">
        <v>5</v>
      </c>
      <c r="C1331" s="2">
        <v>12954684.220000001</v>
      </c>
      <c r="D1331" s="2">
        <v>0.6</v>
      </c>
      <c r="E1331" s="2">
        <v>29745854.5</v>
      </c>
      <c r="F1331" s="2">
        <v>-25229014.899999999</v>
      </c>
      <c r="G1331" s="2">
        <v>3</v>
      </c>
      <c r="H1331" s="2">
        <v>2</v>
      </c>
      <c r="I1331" s="2">
        <v>4</v>
      </c>
      <c r="J1331" s="2">
        <v>2.9</v>
      </c>
      <c r="K1331" s="2" t="s">
        <v>1268</v>
      </c>
      <c r="L1331" s="2" t="str">
        <f t="shared" si="120"/>
        <v>Profitable</v>
      </c>
      <c r="M1331" s="2" t="str">
        <f t="shared" si="121"/>
        <v>Stable Earnings</v>
      </c>
      <c r="N1331" s="2" t="str">
        <f t="shared" si="122"/>
        <v>Low Quality</v>
      </c>
      <c r="O1331" s="4" t="str">
        <f t="shared" si="123"/>
        <v>Accounting Risk</v>
      </c>
      <c r="P1331" s="4" t="str">
        <f t="shared" si="124"/>
        <v>Low Quality</v>
      </c>
      <c r="Q1331" s="4" t="str">
        <f t="shared" si="125"/>
        <v>Strong Long-Term Growth</v>
      </c>
    </row>
    <row r="1332" spans="1:17" x14ac:dyDescent="0.35">
      <c r="A1332" s="2" t="s">
        <v>1343</v>
      </c>
      <c r="B1332" s="2">
        <v>5</v>
      </c>
      <c r="C1332" s="2">
        <v>3917871.98</v>
      </c>
      <c r="D1332" s="2">
        <v>0.6</v>
      </c>
      <c r="E1332" s="2">
        <v>34914836.950000003</v>
      </c>
      <c r="F1332" s="2">
        <v>-26207209.399999999</v>
      </c>
      <c r="G1332" s="2">
        <v>3</v>
      </c>
      <c r="H1332" s="2">
        <v>2</v>
      </c>
      <c r="I1332" s="2">
        <v>4</v>
      </c>
      <c r="J1332" s="2">
        <v>2.9</v>
      </c>
      <c r="K1332" s="2" t="s">
        <v>1268</v>
      </c>
      <c r="L1332" s="2" t="str">
        <f t="shared" si="120"/>
        <v>Profitable</v>
      </c>
      <c r="M1332" s="2" t="str">
        <f t="shared" si="121"/>
        <v>Stable Earnings</v>
      </c>
      <c r="N1332" s="2" t="str">
        <f t="shared" si="122"/>
        <v>Low Quality</v>
      </c>
      <c r="O1332" s="4" t="str">
        <f t="shared" si="123"/>
        <v>Accounting Risk</v>
      </c>
      <c r="P1332" s="4" t="str">
        <f t="shared" si="124"/>
        <v>Low Quality</v>
      </c>
      <c r="Q1332" s="4" t="str">
        <f t="shared" si="125"/>
        <v>Strong Long-Term Growth</v>
      </c>
    </row>
    <row r="1333" spans="1:17" x14ac:dyDescent="0.35">
      <c r="A1333" s="2" t="s">
        <v>1344</v>
      </c>
      <c r="B1333" s="2">
        <v>5</v>
      </c>
      <c r="C1333" s="2">
        <v>-3045983.36</v>
      </c>
      <c r="D1333" s="2">
        <v>0.4</v>
      </c>
      <c r="E1333" s="2">
        <v>24738153.260000002</v>
      </c>
      <c r="F1333" s="2">
        <v>-24531426.199999999</v>
      </c>
      <c r="G1333" s="2">
        <v>3</v>
      </c>
      <c r="H1333" s="2">
        <v>2</v>
      </c>
      <c r="I1333" s="2">
        <v>4</v>
      </c>
      <c r="J1333" s="2">
        <v>2.9</v>
      </c>
      <c r="K1333" s="2" t="s">
        <v>1268</v>
      </c>
      <c r="L1333" s="2" t="str">
        <f t="shared" si="120"/>
        <v>Loss Making</v>
      </c>
      <c r="M1333" s="2" t="str">
        <f t="shared" si="121"/>
        <v>Stable Earnings</v>
      </c>
      <c r="N1333" s="2" t="str">
        <f t="shared" si="122"/>
        <v>Low Quality</v>
      </c>
      <c r="O1333" s="4" t="str">
        <f t="shared" si="123"/>
        <v>Accounting Risk</v>
      </c>
      <c r="P1333" s="4" t="str">
        <f t="shared" si="124"/>
        <v>Low Quality</v>
      </c>
      <c r="Q1333" s="4" t="str">
        <f t="shared" si="125"/>
        <v>Strong Long-Term Growth</v>
      </c>
    </row>
    <row r="1334" spans="1:17" x14ac:dyDescent="0.35">
      <c r="A1334" s="2" t="s">
        <v>1345</v>
      </c>
      <c r="B1334" s="2">
        <v>5</v>
      </c>
      <c r="C1334" s="2">
        <v>37574861.539999999</v>
      </c>
      <c r="D1334" s="2">
        <v>0.8</v>
      </c>
      <c r="E1334" s="2">
        <v>44019892.43</v>
      </c>
      <c r="F1334" s="2">
        <v>-16086829.4</v>
      </c>
      <c r="G1334" s="2">
        <v>3</v>
      </c>
      <c r="H1334" s="2">
        <v>2</v>
      </c>
      <c r="I1334" s="2">
        <v>4</v>
      </c>
      <c r="J1334" s="2">
        <v>2.9</v>
      </c>
      <c r="K1334" s="2" t="s">
        <v>1268</v>
      </c>
      <c r="L1334" s="2" t="str">
        <f t="shared" si="120"/>
        <v>Profitable</v>
      </c>
      <c r="M1334" s="2" t="str">
        <f t="shared" si="121"/>
        <v>Stable Earnings</v>
      </c>
      <c r="N1334" s="2" t="str">
        <f t="shared" si="122"/>
        <v>Low Quality</v>
      </c>
      <c r="O1334" s="4" t="str">
        <f t="shared" si="123"/>
        <v>Accounting Risk</v>
      </c>
      <c r="P1334" s="4" t="str">
        <f t="shared" si="124"/>
        <v>Low Quality</v>
      </c>
      <c r="Q1334" s="4" t="str">
        <f t="shared" si="125"/>
        <v>Strong Long-Term Growth</v>
      </c>
    </row>
    <row r="1335" spans="1:17" x14ac:dyDescent="0.35">
      <c r="A1335" s="2" t="s">
        <v>1346</v>
      </c>
      <c r="B1335" s="2">
        <v>5</v>
      </c>
      <c r="C1335" s="2">
        <v>18397612.379999999</v>
      </c>
      <c r="D1335" s="2">
        <v>0.6</v>
      </c>
      <c r="E1335" s="2">
        <v>40891367.369999997</v>
      </c>
      <c r="F1335" s="2">
        <v>-14376356.1</v>
      </c>
      <c r="G1335" s="2">
        <v>3</v>
      </c>
      <c r="H1335" s="2">
        <v>2</v>
      </c>
      <c r="I1335" s="2">
        <v>4</v>
      </c>
      <c r="J1335" s="2">
        <v>2.9</v>
      </c>
      <c r="K1335" s="2" t="s">
        <v>1268</v>
      </c>
      <c r="L1335" s="2" t="str">
        <f t="shared" si="120"/>
        <v>Profitable</v>
      </c>
      <c r="M1335" s="2" t="str">
        <f t="shared" si="121"/>
        <v>Stable Earnings</v>
      </c>
      <c r="N1335" s="2" t="str">
        <f t="shared" si="122"/>
        <v>Low Quality</v>
      </c>
      <c r="O1335" s="4" t="str">
        <f t="shared" si="123"/>
        <v>Accounting Risk</v>
      </c>
      <c r="P1335" s="4" t="str">
        <f t="shared" si="124"/>
        <v>Low Quality</v>
      </c>
      <c r="Q1335" s="4" t="str">
        <f t="shared" si="125"/>
        <v>Strong Long-Term Growth</v>
      </c>
    </row>
    <row r="1336" spans="1:17" x14ac:dyDescent="0.35">
      <c r="A1336" s="2" t="s">
        <v>1347</v>
      </c>
      <c r="B1336" s="2">
        <v>5</v>
      </c>
      <c r="C1336" s="2">
        <v>47660.160000000003</v>
      </c>
      <c r="D1336" s="2">
        <v>0.6</v>
      </c>
      <c r="E1336" s="2">
        <v>17083620.25</v>
      </c>
      <c r="F1336" s="2">
        <v>-13099848.4</v>
      </c>
      <c r="G1336" s="2">
        <v>3</v>
      </c>
      <c r="H1336" s="2">
        <v>2</v>
      </c>
      <c r="I1336" s="2">
        <v>4</v>
      </c>
      <c r="J1336" s="2">
        <v>2.9</v>
      </c>
      <c r="K1336" s="2" t="s">
        <v>1268</v>
      </c>
      <c r="L1336" s="2" t="str">
        <f t="shared" si="120"/>
        <v>Profitable</v>
      </c>
      <c r="M1336" s="2" t="str">
        <f t="shared" si="121"/>
        <v>Stable Earnings</v>
      </c>
      <c r="N1336" s="2" t="str">
        <f t="shared" si="122"/>
        <v>Low Quality</v>
      </c>
      <c r="O1336" s="4" t="str">
        <f t="shared" si="123"/>
        <v>Accounting Risk</v>
      </c>
      <c r="P1336" s="4" t="str">
        <f t="shared" si="124"/>
        <v>Low Quality</v>
      </c>
      <c r="Q1336" s="4" t="str">
        <f t="shared" si="125"/>
        <v>Strong Long-Term Growth</v>
      </c>
    </row>
    <row r="1337" spans="1:17" x14ac:dyDescent="0.35">
      <c r="A1337" s="2" t="s">
        <v>1348</v>
      </c>
      <c r="B1337" s="2">
        <v>5</v>
      </c>
      <c r="C1337" s="2">
        <v>-3595334.98</v>
      </c>
      <c r="D1337" s="2">
        <v>0.8</v>
      </c>
      <c r="E1337" s="2">
        <v>22784486.09</v>
      </c>
      <c r="F1337" s="2">
        <v>-10523291.800000001</v>
      </c>
      <c r="G1337" s="2">
        <v>3</v>
      </c>
      <c r="H1337" s="2">
        <v>2</v>
      </c>
      <c r="I1337" s="2">
        <v>4</v>
      </c>
      <c r="J1337" s="2">
        <v>2.9</v>
      </c>
      <c r="K1337" s="2" t="s">
        <v>1268</v>
      </c>
      <c r="L1337" s="2" t="str">
        <f t="shared" si="120"/>
        <v>Loss Making</v>
      </c>
      <c r="M1337" s="2" t="str">
        <f t="shared" si="121"/>
        <v>Stable Earnings</v>
      </c>
      <c r="N1337" s="2" t="str">
        <f t="shared" si="122"/>
        <v>Low Quality</v>
      </c>
      <c r="O1337" s="4" t="str">
        <f t="shared" si="123"/>
        <v>Accounting Risk</v>
      </c>
      <c r="P1337" s="4" t="str">
        <f t="shared" si="124"/>
        <v>Low Quality</v>
      </c>
      <c r="Q1337" s="4" t="str">
        <f t="shared" si="125"/>
        <v>Strong Long-Term Growth</v>
      </c>
    </row>
    <row r="1338" spans="1:17" x14ac:dyDescent="0.35">
      <c r="A1338" s="2" t="s">
        <v>1349</v>
      </c>
      <c r="B1338" s="2">
        <v>5</v>
      </c>
      <c r="C1338" s="2">
        <v>-8018640.0199999996</v>
      </c>
      <c r="D1338" s="2">
        <v>0.6</v>
      </c>
      <c r="E1338" s="2">
        <v>20280259.420000002</v>
      </c>
      <c r="F1338" s="2">
        <v>-8722793.5</v>
      </c>
      <c r="G1338" s="2">
        <v>3</v>
      </c>
      <c r="H1338" s="2">
        <v>2</v>
      </c>
      <c r="I1338" s="2">
        <v>4</v>
      </c>
      <c r="J1338" s="2">
        <v>2.9</v>
      </c>
      <c r="K1338" s="2" t="s">
        <v>1268</v>
      </c>
      <c r="L1338" s="2" t="str">
        <f t="shared" si="120"/>
        <v>Loss Making</v>
      </c>
      <c r="M1338" s="2" t="str">
        <f t="shared" si="121"/>
        <v>Stable Earnings</v>
      </c>
      <c r="N1338" s="2" t="str">
        <f t="shared" si="122"/>
        <v>Low Quality</v>
      </c>
      <c r="O1338" s="4" t="str">
        <f t="shared" si="123"/>
        <v>Accounting Risk</v>
      </c>
      <c r="P1338" s="4" t="str">
        <f t="shared" si="124"/>
        <v>Low Quality</v>
      </c>
      <c r="Q1338" s="4" t="str">
        <f t="shared" si="125"/>
        <v>Strong Long-Term Growth</v>
      </c>
    </row>
    <row r="1339" spans="1:17" x14ac:dyDescent="0.35">
      <c r="A1339" s="2" t="s">
        <v>1350</v>
      </c>
      <c r="B1339" s="2">
        <v>5</v>
      </c>
      <c r="C1339" s="2">
        <v>-2477885.02</v>
      </c>
      <c r="D1339" s="2">
        <v>0.2</v>
      </c>
      <c r="E1339" s="2">
        <v>4717826.1229999997</v>
      </c>
      <c r="F1339" s="2">
        <v>2195181.2999999998</v>
      </c>
      <c r="G1339" s="2">
        <v>4</v>
      </c>
      <c r="H1339" s="2">
        <v>1</v>
      </c>
      <c r="I1339" s="2">
        <v>3</v>
      </c>
      <c r="J1339" s="2">
        <v>2.9</v>
      </c>
      <c r="K1339" s="2" t="s">
        <v>1268</v>
      </c>
      <c r="L1339" s="2" t="str">
        <f t="shared" si="120"/>
        <v>Loss Making</v>
      </c>
      <c r="M1339" s="2" t="str">
        <f t="shared" si="121"/>
        <v>Stable Earnings</v>
      </c>
      <c r="N1339" s="2" t="str">
        <f t="shared" si="122"/>
        <v>Moderate</v>
      </c>
      <c r="O1339" s="4" t="str">
        <f t="shared" si="123"/>
        <v>Accounting Risk</v>
      </c>
      <c r="P1339" s="4" t="str">
        <f t="shared" si="124"/>
        <v>Moderate</v>
      </c>
      <c r="Q1339" s="4" t="str">
        <f t="shared" si="125"/>
        <v>Moderate Growth</v>
      </c>
    </row>
    <row r="1340" spans="1:17" x14ac:dyDescent="0.35">
      <c r="A1340" s="2" t="s">
        <v>1351</v>
      </c>
      <c r="B1340" s="2">
        <v>5</v>
      </c>
      <c r="C1340" s="2">
        <v>-19168789.879999999</v>
      </c>
      <c r="D1340" s="2">
        <v>0.2</v>
      </c>
      <c r="E1340" s="2">
        <v>14031263.23</v>
      </c>
      <c r="F1340" s="2">
        <v>2728173.8</v>
      </c>
      <c r="G1340" s="2">
        <v>4</v>
      </c>
      <c r="H1340" s="2">
        <v>1</v>
      </c>
      <c r="I1340" s="2">
        <v>3</v>
      </c>
      <c r="J1340" s="2">
        <v>2.9</v>
      </c>
      <c r="K1340" s="2" t="s">
        <v>1268</v>
      </c>
      <c r="L1340" s="2" t="str">
        <f t="shared" si="120"/>
        <v>Loss Making</v>
      </c>
      <c r="M1340" s="2" t="str">
        <f t="shared" si="121"/>
        <v>Stable Earnings</v>
      </c>
      <c r="N1340" s="2" t="str">
        <f t="shared" si="122"/>
        <v>Moderate</v>
      </c>
      <c r="O1340" s="4" t="str">
        <f t="shared" si="123"/>
        <v>Accounting Risk</v>
      </c>
      <c r="P1340" s="4" t="str">
        <f t="shared" si="124"/>
        <v>Moderate</v>
      </c>
      <c r="Q1340" s="4" t="str">
        <f t="shared" si="125"/>
        <v>Moderate Growth</v>
      </c>
    </row>
    <row r="1341" spans="1:17" x14ac:dyDescent="0.35">
      <c r="A1341" s="2" t="s">
        <v>1352</v>
      </c>
      <c r="B1341" s="2">
        <v>5</v>
      </c>
      <c r="C1341" s="2">
        <v>-3258843.42</v>
      </c>
      <c r="D1341" s="2">
        <v>0.2</v>
      </c>
      <c r="E1341" s="2">
        <v>2428838.7420000001</v>
      </c>
      <c r="F1341" s="2">
        <v>2645414.9</v>
      </c>
      <c r="G1341" s="2">
        <v>4</v>
      </c>
      <c r="H1341" s="2">
        <v>1</v>
      </c>
      <c r="I1341" s="2">
        <v>3</v>
      </c>
      <c r="J1341" s="2">
        <v>2.9</v>
      </c>
      <c r="K1341" s="2" t="s">
        <v>1268</v>
      </c>
      <c r="L1341" s="2" t="str">
        <f t="shared" si="120"/>
        <v>Loss Making</v>
      </c>
      <c r="M1341" s="2" t="str">
        <f t="shared" si="121"/>
        <v>Stable Earnings</v>
      </c>
      <c r="N1341" s="2" t="str">
        <f t="shared" si="122"/>
        <v>Moderate</v>
      </c>
      <c r="O1341" s="4" t="str">
        <f t="shared" si="123"/>
        <v>Accounting Risk</v>
      </c>
      <c r="P1341" s="4" t="str">
        <f t="shared" si="124"/>
        <v>Moderate</v>
      </c>
      <c r="Q1341" s="4" t="str">
        <f t="shared" si="125"/>
        <v>Moderate Growth</v>
      </c>
    </row>
    <row r="1342" spans="1:17" x14ac:dyDescent="0.35">
      <c r="A1342" s="2" t="s">
        <v>1353</v>
      </c>
      <c r="B1342" s="2">
        <v>5</v>
      </c>
      <c r="C1342" s="2">
        <v>-7244301.46</v>
      </c>
      <c r="D1342" s="2">
        <v>0.2</v>
      </c>
      <c r="E1342" s="2">
        <v>6017322.5180000002</v>
      </c>
      <c r="F1342" s="2">
        <v>2786107.9</v>
      </c>
      <c r="G1342" s="2">
        <v>4</v>
      </c>
      <c r="H1342" s="2">
        <v>1</v>
      </c>
      <c r="I1342" s="2">
        <v>3</v>
      </c>
      <c r="J1342" s="2">
        <v>2.9</v>
      </c>
      <c r="K1342" s="2" t="s">
        <v>1268</v>
      </c>
      <c r="L1342" s="2" t="str">
        <f t="shared" si="120"/>
        <v>Loss Making</v>
      </c>
      <c r="M1342" s="2" t="str">
        <f t="shared" si="121"/>
        <v>Stable Earnings</v>
      </c>
      <c r="N1342" s="2" t="str">
        <f t="shared" si="122"/>
        <v>Moderate</v>
      </c>
      <c r="O1342" s="4" t="str">
        <f t="shared" si="123"/>
        <v>Accounting Risk</v>
      </c>
      <c r="P1342" s="4" t="str">
        <f t="shared" si="124"/>
        <v>Moderate</v>
      </c>
      <c r="Q1342" s="4" t="str">
        <f t="shared" si="125"/>
        <v>Moderate Growth</v>
      </c>
    </row>
    <row r="1343" spans="1:17" x14ac:dyDescent="0.35">
      <c r="A1343" s="2" t="s">
        <v>1354</v>
      </c>
      <c r="B1343" s="2">
        <v>5</v>
      </c>
      <c r="C1343" s="2">
        <v>-13973921.880000001</v>
      </c>
      <c r="D1343" s="2">
        <v>0</v>
      </c>
      <c r="E1343" s="2">
        <v>6580897.7429999998</v>
      </c>
      <c r="F1343" s="2">
        <v>2966094.2</v>
      </c>
      <c r="G1343" s="2">
        <v>4</v>
      </c>
      <c r="H1343" s="2">
        <v>1</v>
      </c>
      <c r="I1343" s="2">
        <v>3</v>
      </c>
      <c r="J1343" s="2">
        <v>2.9</v>
      </c>
      <c r="K1343" s="2" t="s">
        <v>1268</v>
      </c>
      <c r="L1343" s="2" t="str">
        <f t="shared" si="120"/>
        <v>Loss Making</v>
      </c>
      <c r="M1343" s="2" t="str">
        <f t="shared" si="121"/>
        <v>Stable Earnings</v>
      </c>
      <c r="N1343" s="2" t="str">
        <f t="shared" si="122"/>
        <v>Moderate</v>
      </c>
      <c r="O1343" s="4" t="str">
        <f t="shared" si="123"/>
        <v>Accounting Risk</v>
      </c>
      <c r="P1343" s="4" t="str">
        <f t="shared" si="124"/>
        <v>Moderate</v>
      </c>
      <c r="Q1343" s="4" t="str">
        <f t="shared" si="125"/>
        <v>Moderate Growth</v>
      </c>
    </row>
    <row r="1344" spans="1:17" x14ac:dyDescent="0.35">
      <c r="A1344" s="2" t="s">
        <v>1355</v>
      </c>
      <c r="B1344" s="2">
        <v>5</v>
      </c>
      <c r="C1344" s="2">
        <v>-5987556.5800000001</v>
      </c>
      <c r="D1344" s="2">
        <v>0.2</v>
      </c>
      <c r="E1344" s="2">
        <v>5218372.4009999996</v>
      </c>
      <c r="F1344" s="2">
        <v>3271774.2</v>
      </c>
      <c r="G1344" s="2">
        <v>4</v>
      </c>
      <c r="H1344" s="2">
        <v>1</v>
      </c>
      <c r="I1344" s="2">
        <v>3</v>
      </c>
      <c r="J1344" s="2">
        <v>2.9</v>
      </c>
      <c r="K1344" s="2" t="s">
        <v>1268</v>
      </c>
      <c r="L1344" s="2" t="str">
        <f t="shared" si="120"/>
        <v>Loss Making</v>
      </c>
      <c r="M1344" s="2" t="str">
        <f t="shared" si="121"/>
        <v>Stable Earnings</v>
      </c>
      <c r="N1344" s="2" t="str">
        <f t="shared" si="122"/>
        <v>Moderate</v>
      </c>
      <c r="O1344" s="4" t="str">
        <f t="shared" si="123"/>
        <v>Accounting Risk</v>
      </c>
      <c r="P1344" s="4" t="str">
        <f t="shared" si="124"/>
        <v>Moderate</v>
      </c>
      <c r="Q1344" s="4" t="str">
        <f t="shared" si="125"/>
        <v>Moderate Growth</v>
      </c>
    </row>
    <row r="1345" spans="1:17" x14ac:dyDescent="0.35">
      <c r="A1345" s="2" t="s">
        <v>1356</v>
      </c>
      <c r="B1345" s="2">
        <v>5</v>
      </c>
      <c r="C1345" s="2">
        <v>-51252929.579999998</v>
      </c>
      <c r="D1345" s="2">
        <v>0</v>
      </c>
      <c r="E1345" s="2">
        <v>15266505.25</v>
      </c>
      <c r="F1345" s="2">
        <v>3170500.1</v>
      </c>
      <c r="G1345" s="2">
        <v>4</v>
      </c>
      <c r="H1345" s="2">
        <v>1</v>
      </c>
      <c r="I1345" s="2">
        <v>3</v>
      </c>
      <c r="J1345" s="2">
        <v>2.9</v>
      </c>
      <c r="K1345" s="2" t="s">
        <v>1268</v>
      </c>
      <c r="L1345" s="2" t="str">
        <f t="shared" si="120"/>
        <v>Loss Making</v>
      </c>
      <c r="M1345" s="2" t="str">
        <f t="shared" si="121"/>
        <v>Stable Earnings</v>
      </c>
      <c r="N1345" s="2" t="str">
        <f t="shared" si="122"/>
        <v>Moderate</v>
      </c>
      <c r="O1345" s="4" t="str">
        <f t="shared" si="123"/>
        <v>Accounting Risk</v>
      </c>
      <c r="P1345" s="4" t="str">
        <f t="shared" si="124"/>
        <v>Moderate</v>
      </c>
      <c r="Q1345" s="4" t="str">
        <f t="shared" si="125"/>
        <v>Moderate Growth</v>
      </c>
    </row>
    <row r="1346" spans="1:17" x14ac:dyDescent="0.35">
      <c r="A1346" s="2" t="s">
        <v>1357</v>
      </c>
      <c r="B1346" s="2">
        <v>5</v>
      </c>
      <c r="C1346" s="2">
        <v>-1591731.74</v>
      </c>
      <c r="D1346" s="2">
        <v>0</v>
      </c>
      <c r="E1346" s="2">
        <v>788779.41769999999</v>
      </c>
      <c r="F1346" s="2">
        <v>1555708</v>
      </c>
      <c r="G1346" s="2">
        <v>4</v>
      </c>
      <c r="H1346" s="2">
        <v>1</v>
      </c>
      <c r="I1346" s="2">
        <v>3</v>
      </c>
      <c r="J1346" s="2">
        <v>2.9</v>
      </c>
      <c r="K1346" s="2" t="s">
        <v>1268</v>
      </c>
      <c r="L1346" s="2" t="str">
        <f t="shared" ref="L1346:L1409" si="126">IF(C1346&gt;0,"Profitable","Loss Making")</f>
        <v>Loss Making</v>
      </c>
      <c r="M1346" s="2" t="str">
        <f t="shared" ref="M1346:M1409" si="127">IF(C1346&gt;500000000,"High Volatility","Stable Earnings")</f>
        <v>Stable Earnings</v>
      </c>
      <c r="N1346" s="2" t="str">
        <f t="shared" ref="N1346:N1409" si="128">IF(G1346&gt;=7,"High Quality",IF(G1346&gt;=4,"Moderate","Low Quality"))</f>
        <v>Moderate</v>
      </c>
      <c r="O1346" s="4" t="str">
        <f t="shared" ref="O1346:O1409" si="129">IF(AND(F1346&gt;0,D1346&gt;0.6),"Operational Growth","Accounting Risk")</f>
        <v>Accounting Risk</v>
      </c>
      <c r="P1346" s="4" t="str">
        <f t="shared" ref="P1346:P1409" si="130">IF(G1346&gt;=7,"High Quality", IF(G1346&gt;=4,"Moderate","Low Quality"))</f>
        <v>Moderate</v>
      </c>
      <c r="Q1346" s="4" t="str">
        <f t="shared" ref="Q1346:Q1409" si="131">IF(I1346&gt;=4,"Strong Long-Term Growth",IF(I1346&gt;=2,"Moderate Growth","Weak Growth"))</f>
        <v>Moderate Growth</v>
      </c>
    </row>
    <row r="1347" spans="1:17" x14ac:dyDescent="0.35">
      <c r="A1347" s="2" t="s">
        <v>1358</v>
      </c>
      <c r="B1347" s="2">
        <v>5</v>
      </c>
      <c r="C1347" s="2">
        <v>-3555716.8</v>
      </c>
      <c r="D1347" s="2">
        <v>0.2</v>
      </c>
      <c r="E1347" s="2">
        <v>4471419.0219999999</v>
      </c>
      <c r="F1347" s="2">
        <v>582775.5</v>
      </c>
      <c r="G1347" s="2">
        <v>4</v>
      </c>
      <c r="H1347" s="2">
        <v>1</v>
      </c>
      <c r="I1347" s="2">
        <v>3</v>
      </c>
      <c r="J1347" s="2">
        <v>2.9</v>
      </c>
      <c r="K1347" s="2" t="s">
        <v>1268</v>
      </c>
      <c r="L1347" s="2" t="str">
        <f t="shared" si="126"/>
        <v>Loss Making</v>
      </c>
      <c r="M1347" s="2" t="str">
        <f t="shared" si="127"/>
        <v>Stable Earnings</v>
      </c>
      <c r="N1347" s="2" t="str">
        <f t="shared" si="128"/>
        <v>Moderate</v>
      </c>
      <c r="O1347" s="4" t="str">
        <f t="shared" si="129"/>
        <v>Accounting Risk</v>
      </c>
      <c r="P1347" s="4" t="str">
        <f t="shared" si="130"/>
        <v>Moderate</v>
      </c>
      <c r="Q1347" s="4" t="str">
        <f t="shared" si="131"/>
        <v>Moderate Growth</v>
      </c>
    </row>
    <row r="1348" spans="1:17" x14ac:dyDescent="0.35">
      <c r="A1348" s="2" t="s">
        <v>1359</v>
      </c>
      <c r="B1348" s="2">
        <v>5</v>
      </c>
      <c r="C1348" s="2">
        <v>-9274714.9399999995</v>
      </c>
      <c r="D1348" s="2">
        <v>0</v>
      </c>
      <c r="E1348" s="2">
        <v>3486965.3930000002</v>
      </c>
      <c r="F1348" s="2">
        <v>408793.9</v>
      </c>
      <c r="G1348" s="2">
        <v>4</v>
      </c>
      <c r="H1348" s="2">
        <v>1</v>
      </c>
      <c r="I1348" s="2">
        <v>3</v>
      </c>
      <c r="J1348" s="2">
        <v>2.9</v>
      </c>
      <c r="K1348" s="2" t="s">
        <v>1268</v>
      </c>
      <c r="L1348" s="2" t="str">
        <f t="shared" si="126"/>
        <v>Loss Making</v>
      </c>
      <c r="M1348" s="2" t="str">
        <f t="shared" si="127"/>
        <v>Stable Earnings</v>
      </c>
      <c r="N1348" s="2" t="str">
        <f t="shared" si="128"/>
        <v>Moderate</v>
      </c>
      <c r="O1348" s="4" t="str">
        <f t="shared" si="129"/>
        <v>Accounting Risk</v>
      </c>
      <c r="P1348" s="4" t="str">
        <f t="shared" si="130"/>
        <v>Moderate</v>
      </c>
      <c r="Q1348" s="4" t="str">
        <f t="shared" si="131"/>
        <v>Moderate Growth</v>
      </c>
    </row>
    <row r="1349" spans="1:17" x14ac:dyDescent="0.35">
      <c r="A1349" s="2" t="s">
        <v>1360</v>
      </c>
      <c r="B1349" s="2">
        <v>5</v>
      </c>
      <c r="C1349" s="2">
        <v>1266764.8</v>
      </c>
      <c r="D1349" s="2">
        <v>0.2</v>
      </c>
      <c r="E1349" s="2">
        <v>6884008.5109999999</v>
      </c>
      <c r="F1349" s="2">
        <v>393685.3</v>
      </c>
      <c r="G1349" s="2">
        <v>4</v>
      </c>
      <c r="H1349" s="2">
        <v>1</v>
      </c>
      <c r="I1349" s="2">
        <v>3</v>
      </c>
      <c r="J1349" s="2">
        <v>2.9</v>
      </c>
      <c r="K1349" s="2" t="s">
        <v>1268</v>
      </c>
      <c r="L1349" s="2" t="str">
        <f t="shared" si="126"/>
        <v>Profitable</v>
      </c>
      <c r="M1349" s="2" t="str">
        <f t="shared" si="127"/>
        <v>Stable Earnings</v>
      </c>
      <c r="N1349" s="2" t="str">
        <f t="shared" si="128"/>
        <v>Moderate</v>
      </c>
      <c r="O1349" s="4" t="str">
        <f t="shared" si="129"/>
        <v>Accounting Risk</v>
      </c>
      <c r="P1349" s="4" t="str">
        <f t="shared" si="130"/>
        <v>Moderate</v>
      </c>
      <c r="Q1349" s="4" t="str">
        <f t="shared" si="131"/>
        <v>Moderate Growth</v>
      </c>
    </row>
    <row r="1350" spans="1:17" x14ac:dyDescent="0.35">
      <c r="A1350" s="2" t="s">
        <v>1361</v>
      </c>
      <c r="B1350" s="2">
        <v>5</v>
      </c>
      <c r="C1350" s="2">
        <v>-6062080.7999999998</v>
      </c>
      <c r="D1350" s="2">
        <v>0</v>
      </c>
      <c r="E1350" s="2">
        <v>2309493.676</v>
      </c>
      <c r="F1350" s="2">
        <v>4320584.5999999996</v>
      </c>
      <c r="G1350" s="2">
        <v>4</v>
      </c>
      <c r="H1350" s="2">
        <v>1</v>
      </c>
      <c r="I1350" s="2">
        <v>3</v>
      </c>
      <c r="J1350" s="2">
        <v>2.9</v>
      </c>
      <c r="K1350" s="2" t="s">
        <v>1268</v>
      </c>
      <c r="L1350" s="2" t="str">
        <f t="shared" si="126"/>
        <v>Loss Making</v>
      </c>
      <c r="M1350" s="2" t="str">
        <f t="shared" si="127"/>
        <v>Stable Earnings</v>
      </c>
      <c r="N1350" s="2" t="str">
        <f t="shared" si="128"/>
        <v>Moderate</v>
      </c>
      <c r="O1350" s="4" t="str">
        <f t="shared" si="129"/>
        <v>Accounting Risk</v>
      </c>
      <c r="P1350" s="4" t="str">
        <f t="shared" si="130"/>
        <v>Moderate</v>
      </c>
      <c r="Q1350" s="4" t="str">
        <f t="shared" si="131"/>
        <v>Moderate Growth</v>
      </c>
    </row>
    <row r="1351" spans="1:17" x14ac:dyDescent="0.35">
      <c r="A1351" s="2" t="s">
        <v>1362</v>
      </c>
      <c r="B1351" s="2">
        <v>5</v>
      </c>
      <c r="C1351" s="2">
        <v>-3500413.86</v>
      </c>
      <c r="D1351" s="2">
        <v>0.2</v>
      </c>
      <c r="E1351" s="2">
        <v>4412432.727</v>
      </c>
      <c r="F1351" s="2">
        <v>7421058.0999999996</v>
      </c>
      <c r="G1351" s="2">
        <v>4</v>
      </c>
      <c r="H1351" s="2">
        <v>1</v>
      </c>
      <c r="I1351" s="2">
        <v>3</v>
      </c>
      <c r="J1351" s="2">
        <v>2.9</v>
      </c>
      <c r="K1351" s="2" t="s">
        <v>1268</v>
      </c>
      <c r="L1351" s="2" t="str">
        <f t="shared" si="126"/>
        <v>Loss Making</v>
      </c>
      <c r="M1351" s="2" t="str">
        <f t="shared" si="127"/>
        <v>Stable Earnings</v>
      </c>
      <c r="N1351" s="2" t="str">
        <f t="shared" si="128"/>
        <v>Moderate</v>
      </c>
      <c r="O1351" s="4" t="str">
        <f t="shared" si="129"/>
        <v>Accounting Risk</v>
      </c>
      <c r="P1351" s="4" t="str">
        <f t="shared" si="130"/>
        <v>Moderate</v>
      </c>
      <c r="Q1351" s="4" t="str">
        <f t="shared" si="131"/>
        <v>Moderate Growth</v>
      </c>
    </row>
    <row r="1352" spans="1:17" x14ac:dyDescent="0.35">
      <c r="A1352" s="2" t="s">
        <v>1363</v>
      </c>
      <c r="B1352" s="2">
        <v>5</v>
      </c>
      <c r="C1352" s="2">
        <v>-1149647.58</v>
      </c>
      <c r="D1352" s="2">
        <v>0.4</v>
      </c>
      <c r="E1352" s="2">
        <v>14803795.859999999</v>
      </c>
      <c r="F1352" s="2">
        <v>6988962.2999999998</v>
      </c>
      <c r="G1352" s="2">
        <v>4</v>
      </c>
      <c r="H1352" s="2">
        <v>1</v>
      </c>
      <c r="I1352" s="2">
        <v>3</v>
      </c>
      <c r="J1352" s="2">
        <v>2.9</v>
      </c>
      <c r="K1352" s="2" t="s">
        <v>1268</v>
      </c>
      <c r="L1352" s="2" t="str">
        <f t="shared" si="126"/>
        <v>Loss Making</v>
      </c>
      <c r="M1352" s="2" t="str">
        <f t="shared" si="127"/>
        <v>Stable Earnings</v>
      </c>
      <c r="N1352" s="2" t="str">
        <f t="shared" si="128"/>
        <v>Moderate</v>
      </c>
      <c r="O1352" s="4" t="str">
        <f t="shared" si="129"/>
        <v>Accounting Risk</v>
      </c>
      <c r="P1352" s="4" t="str">
        <f t="shared" si="130"/>
        <v>Moderate</v>
      </c>
      <c r="Q1352" s="4" t="str">
        <f t="shared" si="131"/>
        <v>Moderate Growth</v>
      </c>
    </row>
    <row r="1353" spans="1:17" x14ac:dyDescent="0.35">
      <c r="A1353" s="2" t="s">
        <v>1364</v>
      </c>
      <c r="B1353" s="2">
        <v>5</v>
      </c>
      <c r="C1353" s="2">
        <v>-6853839.04</v>
      </c>
      <c r="D1353" s="2">
        <v>0.2</v>
      </c>
      <c r="E1353" s="2">
        <v>7337145.6579999998</v>
      </c>
      <c r="F1353" s="2">
        <v>6926024.7999999998</v>
      </c>
      <c r="G1353" s="2">
        <v>4</v>
      </c>
      <c r="H1353" s="2">
        <v>1</v>
      </c>
      <c r="I1353" s="2">
        <v>3</v>
      </c>
      <c r="J1353" s="2">
        <v>2.9</v>
      </c>
      <c r="K1353" s="2" t="s">
        <v>1268</v>
      </c>
      <c r="L1353" s="2" t="str">
        <f t="shared" si="126"/>
        <v>Loss Making</v>
      </c>
      <c r="M1353" s="2" t="str">
        <f t="shared" si="127"/>
        <v>Stable Earnings</v>
      </c>
      <c r="N1353" s="2" t="str">
        <f t="shared" si="128"/>
        <v>Moderate</v>
      </c>
      <c r="O1353" s="4" t="str">
        <f t="shared" si="129"/>
        <v>Accounting Risk</v>
      </c>
      <c r="P1353" s="4" t="str">
        <f t="shared" si="130"/>
        <v>Moderate</v>
      </c>
      <c r="Q1353" s="4" t="str">
        <f t="shared" si="131"/>
        <v>Moderate Growth</v>
      </c>
    </row>
    <row r="1354" spans="1:17" x14ac:dyDescent="0.35">
      <c r="A1354" s="2" t="s">
        <v>1365</v>
      </c>
      <c r="B1354" s="2">
        <v>5</v>
      </c>
      <c r="C1354" s="2">
        <v>-1913277.42</v>
      </c>
      <c r="D1354" s="2">
        <v>0.4</v>
      </c>
      <c r="E1354" s="2">
        <v>3494681.4759999998</v>
      </c>
      <c r="F1354" s="2">
        <v>5706601.5</v>
      </c>
      <c r="G1354" s="2">
        <v>4</v>
      </c>
      <c r="H1354" s="2">
        <v>1</v>
      </c>
      <c r="I1354" s="2">
        <v>3</v>
      </c>
      <c r="J1354" s="2">
        <v>2.9</v>
      </c>
      <c r="K1354" s="2" t="s">
        <v>1268</v>
      </c>
      <c r="L1354" s="2" t="str">
        <f t="shared" si="126"/>
        <v>Loss Making</v>
      </c>
      <c r="M1354" s="2" t="str">
        <f t="shared" si="127"/>
        <v>Stable Earnings</v>
      </c>
      <c r="N1354" s="2" t="str">
        <f t="shared" si="128"/>
        <v>Moderate</v>
      </c>
      <c r="O1354" s="4" t="str">
        <f t="shared" si="129"/>
        <v>Accounting Risk</v>
      </c>
      <c r="P1354" s="4" t="str">
        <f t="shared" si="130"/>
        <v>Moderate</v>
      </c>
      <c r="Q1354" s="4" t="str">
        <f t="shared" si="131"/>
        <v>Moderate Growth</v>
      </c>
    </row>
    <row r="1355" spans="1:17" x14ac:dyDescent="0.35">
      <c r="A1355" s="2" t="s">
        <v>1366</v>
      </c>
      <c r="B1355" s="2">
        <v>5</v>
      </c>
      <c r="C1355" s="2">
        <v>-1899300.16</v>
      </c>
      <c r="D1355" s="2">
        <v>0.2</v>
      </c>
      <c r="E1355" s="2">
        <v>4560890.5190000003</v>
      </c>
      <c r="F1355" s="2">
        <v>5973637.7999999998</v>
      </c>
      <c r="G1355" s="2">
        <v>4</v>
      </c>
      <c r="H1355" s="2">
        <v>1</v>
      </c>
      <c r="I1355" s="2">
        <v>3</v>
      </c>
      <c r="J1355" s="2">
        <v>2.9</v>
      </c>
      <c r="K1355" s="2" t="s">
        <v>1268</v>
      </c>
      <c r="L1355" s="2" t="str">
        <f t="shared" si="126"/>
        <v>Loss Making</v>
      </c>
      <c r="M1355" s="2" t="str">
        <f t="shared" si="127"/>
        <v>Stable Earnings</v>
      </c>
      <c r="N1355" s="2" t="str">
        <f t="shared" si="128"/>
        <v>Moderate</v>
      </c>
      <c r="O1355" s="4" t="str">
        <f t="shared" si="129"/>
        <v>Accounting Risk</v>
      </c>
      <c r="P1355" s="4" t="str">
        <f t="shared" si="130"/>
        <v>Moderate</v>
      </c>
      <c r="Q1355" s="4" t="str">
        <f t="shared" si="131"/>
        <v>Moderate Growth</v>
      </c>
    </row>
    <row r="1356" spans="1:17" x14ac:dyDescent="0.35">
      <c r="A1356" s="2" t="s">
        <v>1367</v>
      </c>
      <c r="B1356" s="2">
        <v>5</v>
      </c>
      <c r="C1356" s="2">
        <v>-2979485.82</v>
      </c>
      <c r="D1356" s="2">
        <v>0.2</v>
      </c>
      <c r="E1356" s="2">
        <v>3115758.6860000002</v>
      </c>
      <c r="F1356" s="2">
        <v>6289252.2999999998</v>
      </c>
      <c r="G1356" s="2">
        <v>4</v>
      </c>
      <c r="H1356" s="2">
        <v>1</v>
      </c>
      <c r="I1356" s="2">
        <v>3</v>
      </c>
      <c r="J1356" s="2">
        <v>2.9</v>
      </c>
      <c r="K1356" s="2" t="s">
        <v>1268</v>
      </c>
      <c r="L1356" s="2" t="str">
        <f t="shared" si="126"/>
        <v>Loss Making</v>
      </c>
      <c r="M1356" s="2" t="str">
        <f t="shared" si="127"/>
        <v>Stable Earnings</v>
      </c>
      <c r="N1356" s="2" t="str">
        <f t="shared" si="128"/>
        <v>Moderate</v>
      </c>
      <c r="O1356" s="4" t="str">
        <f t="shared" si="129"/>
        <v>Accounting Risk</v>
      </c>
      <c r="P1356" s="4" t="str">
        <f t="shared" si="130"/>
        <v>Moderate</v>
      </c>
      <c r="Q1356" s="4" t="str">
        <f t="shared" si="131"/>
        <v>Moderate Growth</v>
      </c>
    </row>
    <row r="1357" spans="1:17" x14ac:dyDescent="0.35">
      <c r="A1357" s="2" t="s">
        <v>1368</v>
      </c>
      <c r="B1357" s="2">
        <v>5</v>
      </c>
      <c r="C1357" s="2">
        <v>-5250188.5999999996</v>
      </c>
      <c r="D1357" s="2">
        <v>0.2</v>
      </c>
      <c r="E1357" s="2">
        <v>4428352.335</v>
      </c>
      <c r="F1357" s="2">
        <v>-2911556.9</v>
      </c>
      <c r="G1357" s="2">
        <v>4</v>
      </c>
      <c r="H1357" s="2">
        <v>1</v>
      </c>
      <c r="I1357" s="2">
        <v>3</v>
      </c>
      <c r="J1357" s="2">
        <v>2.9</v>
      </c>
      <c r="K1357" s="2" t="s">
        <v>1268</v>
      </c>
      <c r="L1357" s="2" t="str">
        <f t="shared" si="126"/>
        <v>Loss Making</v>
      </c>
      <c r="M1357" s="2" t="str">
        <f t="shared" si="127"/>
        <v>Stable Earnings</v>
      </c>
      <c r="N1357" s="2" t="str">
        <f t="shared" si="128"/>
        <v>Moderate</v>
      </c>
      <c r="O1357" s="4" t="str">
        <f t="shared" si="129"/>
        <v>Accounting Risk</v>
      </c>
      <c r="P1357" s="4" t="str">
        <f t="shared" si="130"/>
        <v>Moderate</v>
      </c>
      <c r="Q1357" s="4" t="str">
        <f t="shared" si="131"/>
        <v>Moderate Growth</v>
      </c>
    </row>
    <row r="1358" spans="1:17" x14ac:dyDescent="0.35">
      <c r="A1358" s="2" t="s">
        <v>1369</v>
      </c>
      <c r="B1358" s="2">
        <v>5</v>
      </c>
      <c r="C1358" s="2">
        <v>-22743179.34</v>
      </c>
      <c r="D1358" s="2">
        <v>0.2</v>
      </c>
      <c r="E1358" s="2">
        <v>14346885.49</v>
      </c>
      <c r="F1358" s="2">
        <v>-1389819.4</v>
      </c>
      <c r="G1358" s="2">
        <v>4</v>
      </c>
      <c r="H1358" s="2">
        <v>1</v>
      </c>
      <c r="I1358" s="2">
        <v>3</v>
      </c>
      <c r="J1358" s="2">
        <v>2.9</v>
      </c>
      <c r="K1358" s="2" t="s">
        <v>1268</v>
      </c>
      <c r="L1358" s="2" t="str">
        <f t="shared" si="126"/>
        <v>Loss Making</v>
      </c>
      <c r="M1358" s="2" t="str">
        <f t="shared" si="127"/>
        <v>Stable Earnings</v>
      </c>
      <c r="N1358" s="2" t="str">
        <f t="shared" si="128"/>
        <v>Moderate</v>
      </c>
      <c r="O1358" s="4" t="str">
        <f t="shared" si="129"/>
        <v>Accounting Risk</v>
      </c>
      <c r="P1358" s="4" t="str">
        <f t="shared" si="130"/>
        <v>Moderate</v>
      </c>
      <c r="Q1358" s="4" t="str">
        <f t="shared" si="131"/>
        <v>Moderate Growth</v>
      </c>
    </row>
    <row r="1359" spans="1:17" x14ac:dyDescent="0.35">
      <c r="A1359" s="2" t="s">
        <v>1370</v>
      </c>
      <c r="B1359" s="2">
        <v>5</v>
      </c>
      <c r="C1359" s="2">
        <v>-5533639.3200000003</v>
      </c>
      <c r="D1359" s="2">
        <v>0</v>
      </c>
      <c r="E1359" s="2">
        <v>2406704.9309999999</v>
      </c>
      <c r="F1359" s="2">
        <v>-1450729.1</v>
      </c>
      <c r="G1359" s="2">
        <v>4</v>
      </c>
      <c r="H1359" s="2">
        <v>1</v>
      </c>
      <c r="I1359" s="2">
        <v>3</v>
      </c>
      <c r="J1359" s="2">
        <v>2.9</v>
      </c>
      <c r="K1359" s="2" t="s">
        <v>1268</v>
      </c>
      <c r="L1359" s="2" t="str">
        <f t="shared" si="126"/>
        <v>Loss Making</v>
      </c>
      <c r="M1359" s="2" t="str">
        <f t="shared" si="127"/>
        <v>Stable Earnings</v>
      </c>
      <c r="N1359" s="2" t="str">
        <f t="shared" si="128"/>
        <v>Moderate</v>
      </c>
      <c r="O1359" s="4" t="str">
        <f t="shared" si="129"/>
        <v>Accounting Risk</v>
      </c>
      <c r="P1359" s="4" t="str">
        <f t="shared" si="130"/>
        <v>Moderate</v>
      </c>
      <c r="Q1359" s="4" t="str">
        <f t="shared" si="131"/>
        <v>Moderate Growth</v>
      </c>
    </row>
    <row r="1360" spans="1:17" x14ac:dyDescent="0.35">
      <c r="A1360" s="2" t="s">
        <v>1371</v>
      </c>
      <c r="B1360" s="2">
        <v>5</v>
      </c>
      <c r="C1360" s="2">
        <v>-22989138.699999999</v>
      </c>
      <c r="D1360" s="2">
        <v>0</v>
      </c>
      <c r="E1360" s="2">
        <v>7972175.034</v>
      </c>
      <c r="F1360" s="2">
        <v>-1832690</v>
      </c>
      <c r="G1360" s="2">
        <v>4</v>
      </c>
      <c r="H1360" s="2">
        <v>1</v>
      </c>
      <c r="I1360" s="2">
        <v>3</v>
      </c>
      <c r="J1360" s="2">
        <v>2.9</v>
      </c>
      <c r="K1360" s="2" t="s">
        <v>1268</v>
      </c>
      <c r="L1360" s="2" t="str">
        <f t="shared" si="126"/>
        <v>Loss Making</v>
      </c>
      <c r="M1360" s="2" t="str">
        <f t="shared" si="127"/>
        <v>Stable Earnings</v>
      </c>
      <c r="N1360" s="2" t="str">
        <f t="shared" si="128"/>
        <v>Moderate</v>
      </c>
      <c r="O1360" s="4" t="str">
        <f t="shared" si="129"/>
        <v>Accounting Risk</v>
      </c>
      <c r="P1360" s="4" t="str">
        <f t="shared" si="130"/>
        <v>Moderate</v>
      </c>
      <c r="Q1360" s="4" t="str">
        <f t="shared" si="131"/>
        <v>Moderate Growth</v>
      </c>
    </row>
    <row r="1361" spans="1:17" x14ac:dyDescent="0.35">
      <c r="A1361" s="2" t="s">
        <v>1372</v>
      </c>
      <c r="B1361" s="2">
        <v>5</v>
      </c>
      <c r="C1361" s="2">
        <v>-800720.56</v>
      </c>
      <c r="D1361" s="2">
        <v>0.2</v>
      </c>
      <c r="E1361" s="2">
        <v>1136334.7239999999</v>
      </c>
      <c r="F1361" s="2">
        <v>-1696404.3</v>
      </c>
      <c r="G1361" s="2">
        <v>4</v>
      </c>
      <c r="H1361" s="2">
        <v>1</v>
      </c>
      <c r="I1361" s="2">
        <v>3</v>
      </c>
      <c r="J1361" s="2">
        <v>2.9</v>
      </c>
      <c r="K1361" s="2" t="s">
        <v>1268</v>
      </c>
      <c r="L1361" s="2" t="str">
        <f t="shared" si="126"/>
        <v>Loss Making</v>
      </c>
      <c r="M1361" s="2" t="str">
        <f t="shared" si="127"/>
        <v>Stable Earnings</v>
      </c>
      <c r="N1361" s="2" t="str">
        <f t="shared" si="128"/>
        <v>Moderate</v>
      </c>
      <c r="O1361" s="4" t="str">
        <f t="shared" si="129"/>
        <v>Accounting Risk</v>
      </c>
      <c r="P1361" s="4" t="str">
        <f t="shared" si="130"/>
        <v>Moderate</v>
      </c>
      <c r="Q1361" s="4" t="str">
        <f t="shared" si="131"/>
        <v>Moderate Growth</v>
      </c>
    </row>
    <row r="1362" spans="1:17" x14ac:dyDescent="0.35">
      <c r="A1362" s="2" t="s">
        <v>1373</v>
      </c>
      <c r="B1362" s="2">
        <v>5</v>
      </c>
      <c r="C1362" s="2">
        <v>-2238847.1</v>
      </c>
      <c r="D1362" s="2">
        <v>0.2</v>
      </c>
      <c r="E1362" s="2">
        <v>1887287.85</v>
      </c>
      <c r="F1362" s="2">
        <v>-1264994.7</v>
      </c>
      <c r="G1362" s="2">
        <v>4</v>
      </c>
      <c r="H1362" s="2">
        <v>1</v>
      </c>
      <c r="I1362" s="2">
        <v>3</v>
      </c>
      <c r="J1362" s="2">
        <v>2.9</v>
      </c>
      <c r="K1362" s="2" t="s">
        <v>1268</v>
      </c>
      <c r="L1362" s="2" t="str">
        <f t="shared" si="126"/>
        <v>Loss Making</v>
      </c>
      <c r="M1362" s="2" t="str">
        <f t="shared" si="127"/>
        <v>Stable Earnings</v>
      </c>
      <c r="N1362" s="2" t="str">
        <f t="shared" si="128"/>
        <v>Moderate</v>
      </c>
      <c r="O1362" s="4" t="str">
        <f t="shared" si="129"/>
        <v>Accounting Risk</v>
      </c>
      <c r="P1362" s="4" t="str">
        <f t="shared" si="130"/>
        <v>Moderate</v>
      </c>
      <c r="Q1362" s="4" t="str">
        <f t="shared" si="131"/>
        <v>Moderate Growth</v>
      </c>
    </row>
    <row r="1363" spans="1:17" x14ac:dyDescent="0.35">
      <c r="A1363" s="2" t="s">
        <v>1374</v>
      </c>
      <c r="B1363" s="2">
        <v>5</v>
      </c>
      <c r="C1363" s="2">
        <v>-10408528.1</v>
      </c>
      <c r="D1363" s="2">
        <v>0.2</v>
      </c>
      <c r="E1363" s="2">
        <v>11502461.74</v>
      </c>
      <c r="F1363" s="2">
        <v>-445141.7</v>
      </c>
      <c r="G1363" s="2">
        <v>4</v>
      </c>
      <c r="H1363" s="2">
        <v>1</v>
      </c>
      <c r="I1363" s="2">
        <v>3</v>
      </c>
      <c r="J1363" s="2">
        <v>2.9</v>
      </c>
      <c r="K1363" s="2" t="s">
        <v>1268</v>
      </c>
      <c r="L1363" s="2" t="str">
        <f t="shared" si="126"/>
        <v>Loss Making</v>
      </c>
      <c r="M1363" s="2" t="str">
        <f t="shared" si="127"/>
        <v>Stable Earnings</v>
      </c>
      <c r="N1363" s="2" t="str">
        <f t="shared" si="128"/>
        <v>Moderate</v>
      </c>
      <c r="O1363" s="4" t="str">
        <f t="shared" si="129"/>
        <v>Accounting Risk</v>
      </c>
      <c r="P1363" s="4" t="str">
        <f t="shared" si="130"/>
        <v>Moderate</v>
      </c>
      <c r="Q1363" s="4" t="str">
        <f t="shared" si="131"/>
        <v>Moderate Growth</v>
      </c>
    </row>
    <row r="1364" spans="1:17" x14ac:dyDescent="0.35">
      <c r="A1364" s="2" t="s">
        <v>1375</v>
      </c>
      <c r="B1364" s="2">
        <v>5</v>
      </c>
      <c r="C1364" s="2">
        <v>-707805.02</v>
      </c>
      <c r="D1364" s="2">
        <v>0.2</v>
      </c>
      <c r="E1364" s="2">
        <v>579660.22160000005</v>
      </c>
      <c r="F1364" s="2">
        <v>-126964.6</v>
      </c>
      <c r="G1364" s="2">
        <v>4</v>
      </c>
      <c r="H1364" s="2">
        <v>1</v>
      </c>
      <c r="I1364" s="2">
        <v>3</v>
      </c>
      <c r="J1364" s="2">
        <v>2.9</v>
      </c>
      <c r="K1364" s="2" t="s">
        <v>1268</v>
      </c>
      <c r="L1364" s="2" t="str">
        <f t="shared" si="126"/>
        <v>Loss Making</v>
      </c>
      <c r="M1364" s="2" t="str">
        <f t="shared" si="127"/>
        <v>Stable Earnings</v>
      </c>
      <c r="N1364" s="2" t="str">
        <f t="shared" si="128"/>
        <v>Moderate</v>
      </c>
      <c r="O1364" s="4" t="str">
        <f t="shared" si="129"/>
        <v>Accounting Risk</v>
      </c>
      <c r="P1364" s="4" t="str">
        <f t="shared" si="130"/>
        <v>Moderate</v>
      </c>
      <c r="Q1364" s="4" t="str">
        <f t="shared" si="131"/>
        <v>Moderate Growth</v>
      </c>
    </row>
    <row r="1365" spans="1:17" x14ac:dyDescent="0.35">
      <c r="A1365" s="2" t="s">
        <v>1376</v>
      </c>
      <c r="B1365" s="2">
        <v>5</v>
      </c>
      <c r="C1365" s="2">
        <v>-112352272.40000001</v>
      </c>
      <c r="D1365" s="2">
        <v>0</v>
      </c>
      <c r="E1365" s="2">
        <v>11747677.050000001</v>
      </c>
      <c r="F1365" s="2">
        <v>-707609.8</v>
      </c>
      <c r="G1365" s="2">
        <v>4</v>
      </c>
      <c r="H1365" s="2">
        <v>1</v>
      </c>
      <c r="I1365" s="2">
        <v>3</v>
      </c>
      <c r="J1365" s="2">
        <v>2.9</v>
      </c>
      <c r="K1365" s="2" t="s">
        <v>1268</v>
      </c>
      <c r="L1365" s="2" t="str">
        <f t="shared" si="126"/>
        <v>Loss Making</v>
      </c>
      <c r="M1365" s="2" t="str">
        <f t="shared" si="127"/>
        <v>Stable Earnings</v>
      </c>
      <c r="N1365" s="2" t="str">
        <f t="shared" si="128"/>
        <v>Moderate</v>
      </c>
      <c r="O1365" s="4" t="str">
        <f t="shared" si="129"/>
        <v>Accounting Risk</v>
      </c>
      <c r="P1365" s="4" t="str">
        <f t="shared" si="130"/>
        <v>Moderate</v>
      </c>
      <c r="Q1365" s="4" t="str">
        <f t="shared" si="131"/>
        <v>Moderate Growth</v>
      </c>
    </row>
    <row r="1366" spans="1:17" x14ac:dyDescent="0.35">
      <c r="A1366" s="2" t="s">
        <v>1377</v>
      </c>
      <c r="B1366" s="2">
        <v>5</v>
      </c>
      <c r="C1366" s="2">
        <v>-710736.22</v>
      </c>
      <c r="D1366" s="2">
        <v>0.2</v>
      </c>
      <c r="E1366" s="2">
        <v>1876359.3810000001</v>
      </c>
      <c r="F1366" s="2">
        <v>-756915.3</v>
      </c>
      <c r="G1366" s="2">
        <v>4</v>
      </c>
      <c r="H1366" s="2">
        <v>1</v>
      </c>
      <c r="I1366" s="2">
        <v>3</v>
      </c>
      <c r="J1366" s="2">
        <v>2.9</v>
      </c>
      <c r="K1366" s="2" t="s">
        <v>1268</v>
      </c>
      <c r="L1366" s="2" t="str">
        <f t="shared" si="126"/>
        <v>Loss Making</v>
      </c>
      <c r="M1366" s="2" t="str">
        <f t="shared" si="127"/>
        <v>Stable Earnings</v>
      </c>
      <c r="N1366" s="2" t="str">
        <f t="shared" si="128"/>
        <v>Moderate</v>
      </c>
      <c r="O1366" s="4" t="str">
        <f t="shared" si="129"/>
        <v>Accounting Risk</v>
      </c>
      <c r="P1366" s="4" t="str">
        <f t="shared" si="130"/>
        <v>Moderate</v>
      </c>
      <c r="Q1366" s="4" t="str">
        <f t="shared" si="131"/>
        <v>Moderate Growth</v>
      </c>
    </row>
    <row r="1367" spans="1:17" x14ac:dyDescent="0.35">
      <c r="A1367" s="2" t="s">
        <v>1378</v>
      </c>
      <c r="B1367" s="2">
        <v>5</v>
      </c>
      <c r="C1367" s="2">
        <v>-182022</v>
      </c>
      <c r="D1367" s="2">
        <v>0</v>
      </c>
      <c r="E1367" s="2">
        <v>13083.554550000001</v>
      </c>
      <c r="F1367" s="2">
        <v>-16608.2</v>
      </c>
      <c r="G1367" s="2">
        <v>4</v>
      </c>
      <c r="H1367" s="2">
        <v>1</v>
      </c>
      <c r="I1367" s="2">
        <v>3</v>
      </c>
      <c r="J1367" s="2">
        <v>2.9</v>
      </c>
      <c r="K1367" s="2" t="s">
        <v>1268</v>
      </c>
      <c r="L1367" s="2" t="str">
        <f t="shared" si="126"/>
        <v>Loss Making</v>
      </c>
      <c r="M1367" s="2" t="str">
        <f t="shared" si="127"/>
        <v>Stable Earnings</v>
      </c>
      <c r="N1367" s="2" t="str">
        <f t="shared" si="128"/>
        <v>Moderate</v>
      </c>
      <c r="O1367" s="4" t="str">
        <f t="shared" si="129"/>
        <v>Accounting Risk</v>
      </c>
      <c r="P1367" s="4" t="str">
        <f t="shared" si="130"/>
        <v>Moderate</v>
      </c>
      <c r="Q1367" s="4" t="str">
        <f t="shared" si="131"/>
        <v>Moderate Growth</v>
      </c>
    </row>
    <row r="1368" spans="1:17" x14ac:dyDescent="0.35">
      <c r="A1368" s="2" t="s">
        <v>1379</v>
      </c>
      <c r="B1368" s="2">
        <v>5</v>
      </c>
      <c r="C1368" s="2">
        <v>5426.36</v>
      </c>
      <c r="D1368" s="2">
        <v>0.2</v>
      </c>
      <c r="E1368" s="2">
        <v>168071.25219999999</v>
      </c>
      <c r="F1368" s="2">
        <v>-39225.800000000003</v>
      </c>
      <c r="G1368" s="2">
        <v>4</v>
      </c>
      <c r="H1368" s="2">
        <v>1</v>
      </c>
      <c r="I1368" s="2">
        <v>3</v>
      </c>
      <c r="J1368" s="2">
        <v>2.9</v>
      </c>
      <c r="K1368" s="2" t="s">
        <v>1268</v>
      </c>
      <c r="L1368" s="2" t="str">
        <f t="shared" si="126"/>
        <v>Profitable</v>
      </c>
      <c r="M1368" s="2" t="str">
        <f t="shared" si="127"/>
        <v>Stable Earnings</v>
      </c>
      <c r="N1368" s="2" t="str">
        <f t="shared" si="128"/>
        <v>Moderate</v>
      </c>
      <c r="O1368" s="4" t="str">
        <f t="shared" si="129"/>
        <v>Accounting Risk</v>
      </c>
      <c r="P1368" s="4" t="str">
        <f t="shared" si="130"/>
        <v>Moderate</v>
      </c>
      <c r="Q1368" s="4" t="str">
        <f t="shared" si="131"/>
        <v>Moderate Growth</v>
      </c>
    </row>
    <row r="1369" spans="1:17" x14ac:dyDescent="0.35">
      <c r="A1369" s="2" t="s">
        <v>1380</v>
      </c>
      <c r="B1369" s="2">
        <v>5</v>
      </c>
      <c r="C1369" s="2">
        <v>-4870717.38</v>
      </c>
      <c r="D1369" s="2">
        <v>0.4</v>
      </c>
      <c r="E1369" s="2">
        <v>8094301.6009999998</v>
      </c>
      <c r="F1369" s="2">
        <v>108100.8</v>
      </c>
      <c r="G1369" s="2">
        <v>4</v>
      </c>
      <c r="H1369" s="2">
        <v>1</v>
      </c>
      <c r="I1369" s="2">
        <v>3</v>
      </c>
      <c r="J1369" s="2">
        <v>2.9</v>
      </c>
      <c r="K1369" s="2" t="s">
        <v>1268</v>
      </c>
      <c r="L1369" s="2" t="str">
        <f t="shared" si="126"/>
        <v>Loss Making</v>
      </c>
      <c r="M1369" s="2" t="str">
        <f t="shared" si="127"/>
        <v>Stable Earnings</v>
      </c>
      <c r="N1369" s="2" t="str">
        <f t="shared" si="128"/>
        <v>Moderate</v>
      </c>
      <c r="O1369" s="4" t="str">
        <f t="shared" si="129"/>
        <v>Accounting Risk</v>
      </c>
      <c r="P1369" s="4" t="str">
        <f t="shared" si="130"/>
        <v>Moderate</v>
      </c>
      <c r="Q1369" s="4" t="str">
        <f t="shared" si="131"/>
        <v>Moderate Growth</v>
      </c>
    </row>
    <row r="1370" spans="1:17" x14ac:dyDescent="0.35">
      <c r="A1370" s="2" t="s">
        <v>1381</v>
      </c>
      <c r="B1370" s="2">
        <v>5</v>
      </c>
      <c r="C1370" s="2">
        <v>46389.18</v>
      </c>
      <c r="D1370" s="2">
        <v>0.4</v>
      </c>
      <c r="E1370" s="2">
        <v>973873.06400000001</v>
      </c>
      <c r="F1370" s="2">
        <v>67275.5</v>
      </c>
      <c r="G1370" s="2">
        <v>4</v>
      </c>
      <c r="H1370" s="2">
        <v>1</v>
      </c>
      <c r="I1370" s="2">
        <v>3</v>
      </c>
      <c r="J1370" s="2">
        <v>2.9</v>
      </c>
      <c r="K1370" s="2" t="s">
        <v>1268</v>
      </c>
      <c r="L1370" s="2" t="str">
        <f t="shared" si="126"/>
        <v>Profitable</v>
      </c>
      <c r="M1370" s="2" t="str">
        <f t="shared" si="127"/>
        <v>Stable Earnings</v>
      </c>
      <c r="N1370" s="2" t="str">
        <f t="shared" si="128"/>
        <v>Moderate</v>
      </c>
      <c r="O1370" s="4" t="str">
        <f t="shared" si="129"/>
        <v>Accounting Risk</v>
      </c>
      <c r="P1370" s="4" t="str">
        <f t="shared" si="130"/>
        <v>Moderate</v>
      </c>
      <c r="Q1370" s="4" t="str">
        <f t="shared" si="131"/>
        <v>Moderate Growth</v>
      </c>
    </row>
    <row r="1371" spans="1:17" x14ac:dyDescent="0.35">
      <c r="A1371" s="2" t="s">
        <v>1382</v>
      </c>
      <c r="B1371" s="2">
        <v>5</v>
      </c>
      <c r="C1371" s="2">
        <v>-126496.7</v>
      </c>
      <c r="D1371" s="2">
        <v>0.4</v>
      </c>
      <c r="E1371" s="2">
        <v>2471398.173</v>
      </c>
      <c r="F1371" s="2">
        <v>-4820018.5999999996</v>
      </c>
      <c r="G1371" s="2">
        <v>4</v>
      </c>
      <c r="H1371" s="2">
        <v>1</v>
      </c>
      <c r="I1371" s="2">
        <v>3</v>
      </c>
      <c r="J1371" s="2">
        <v>2.9</v>
      </c>
      <c r="K1371" s="2" t="s">
        <v>1268</v>
      </c>
      <c r="L1371" s="2" t="str">
        <f t="shared" si="126"/>
        <v>Loss Making</v>
      </c>
      <c r="M1371" s="2" t="str">
        <f t="shared" si="127"/>
        <v>Stable Earnings</v>
      </c>
      <c r="N1371" s="2" t="str">
        <f t="shared" si="128"/>
        <v>Moderate</v>
      </c>
      <c r="O1371" s="4" t="str">
        <f t="shared" si="129"/>
        <v>Accounting Risk</v>
      </c>
      <c r="P1371" s="4" t="str">
        <f t="shared" si="130"/>
        <v>Moderate</v>
      </c>
      <c r="Q1371" s="4" t="str">
        <f t="shared" si="131"/>
        <v>Moderate Growth</v>
      </c>
    </row>
    <row r="1372" spans="1:17" x14ac:dyDescent="0.35">
      <c r="A1372" s="2" t="s">
        <v>1383</v>
      </c>
      <c r="B1372" s="2">
        <v>5</v>
      </c>
      <c r="C1372" s="2">
        <v>13830230.380000001</v>
      </c>
      <c r="D1372" s="2">
        <v>0.6</v>
      </c>
      <c r="E1372" s="2">
        <v>15414223.630000001</v>
      </c>
      <c r="F1372" s="2">
        <v>-6042138</v>
      </c>
      <c r="G1372" s="2">
        <v>3</v>
      </c>
      <c r="H1372" s="2">
        <v>2</v>
      </c>
      <c r="I1372" s="2">
        <v>4</v>
      </c>
      <c r="J1372" s="2">
        <v>2.9</v>
      </c>
      <c r="K1372" s="2" t="s">
        <v>1268</v>
      </c>
      <c r="L1372" s="2" t="str">
        <f t="shared" si="126"/>
        <v>Profitable</v>
      </c>
      <c r="M1372" s="2" t="str">
        <f t="shared" si="127"/>
        <v>Stable Earnings</v>
      </c>
      <c r="N1372" s="2" t="str">
        <f t="shared" si="128"/>
        <v>Low Quality</v>
      </c>
      <c r="O1372" s="4" t="str">
        <f t="shared" si="129"/>
        <v>Accounting Risk</v>
      </c>
      <c r="P1372" s="4" t="str">
        <f t="shared" si="130"/>
        <v>Low Quality</v>
      </c>
      <c r="Q1372" s="4" t="str">
        <f t="shared" si="131"/>
        <v>Strong Long-Term Growth</v>
      </c>
    </row>
    <row r="1373" spans="1:17" x14ac:dyDescent="0.35">
      <c r="A1373" s="2" t="s">
        <v>1384</v>
      </c>
      <c r="B1373" s="2">
        <v>5</v>
      </c>
      <c r="C1373" s="2">
        <v>-31154079.559999999</v>
      </c>
      <c r="D1373" s="2">
        <v>0</v>
      </c>
      <c r="E1373" s="2">
        <v>3207354.827</v>
      </c>
      <c r="F1373" s="2">
        <v>-2942960.9</v>
      </c>
      <c r="G1373" s="2">
        <v>4</v>
      </c>
      <c r="H1373" s="2">
        <v>1</v>
      </c>
      <c r="I1373" s="2">
        <v>3</v>
      </c>
      <c r="J1373" s="2">
        <v>2.9</v>
      </c>
      <c r="K1373" s="2" t="s">
        <v>1268</v>
      </c>
      <c r="L1373" s="2" t="str">
        <f t="shared" si="126"/>
        <v>Loss Making</v>
      </c>
      <c r="M1373" s="2" t="str">
        <f t="shared" si="127"/>
        <v>Stable Earnings</v>
      </c>
      <c r="N1373" s="2" t="str">
        <f t="shared" si="128"/>
        <v>Moderate</v>
      </c>
      <c r="O1373" s="4" t="str">
        <f t="shared" si="129"/>
        <v>Accounting Risk</v>
      </c>
      <c r="P1373" s="4" t="str">
        <f t="shared" si="130"/>
        <v>Moderate</v>
      </c>
      <c r="Q1373" s="4" t="str">
        <f t="shared" si="131"/>
        <v>Moderate Growth</v>
      </c>
    </row>
    <row r="1374" spans="1:17" x14ac:dyDescent="0.35">
      <c r="A1374" s="2" t="s">
        <v>1385</v>
      </c>
      <c r="B1374" s="2">
        <v>5</v>
      </c>
      <c r="C1374" s="2">
        <v>-29911205.399999999</v>
      </c>
      <c r="D1374" s="2">
        <v>0</v>
      </c>
      <c r="E1374" s="2">
        <v>3503019.7549999999</v>
      </c>
      <c r="F1374" s="2">
        <v>-2455081.7000000002</v>
      </c>
      <c r="G1374" s="2">
        <v>4</v>
      </c>
      <c r="H1374" s="2">
        <v>1</v>
      </c>
      <c r="I1374" s="2">
        <v>3</v>
      </c>
      <c r="J1374" s="2">
        <v>2.9</v>
      </c>
      <c r="K1374" s="2" t="s">
        <v>1268</v>
      </c>
      <c r="L1374" s="2" t="str">
        <f t="shared" si="126"/>
        <v>Loss Making</v>
      </c>
      <c r="M1374" s="2" t="str">
        <f t="shared" si="127"/>
        <v>Stable Earnings</v>
      </c>
      <c r="N1374" s="2" t="str">
        <f t="shared" si="128"/>
        <v>Moderate</v>
      </c>
      <c r="O1374" s="4" t="str">
        <f t="shared" si="129"/>
        <v>Accounting Risk</v>
      </c>
      <c r="P1374" s="4" t="str">
        <f t="shared" si="130"/>
        <v>Moderate</v>
      </c>
      <c r="Q1374" s="4" t="str">
        <f t="shared" si="131"/>
        <v>Moderate Growth</v>
      </c>
    </row>
    <row r="1375" spans="1:17" x14ac:dyDescent="0.35">
      <c r="A1375" s="2" t="s">
        <v>1386</v>
      </c>
      <c r="B1375" s="2">
        <v>5</v>
      </c>
      <c r="C1375" s="2">
        <v>-5636156.1600000001</v>
      </c>
      <c r="D1375" s="2">
        <v>0.2</v>
      </c>
      <c r="E1375" s="2">
        <v>9926980.5879999995</v>
      </c>
      <c r="F1375" s="2">
        <v>-3628984.6</v>
      </c>
      <c r="G1375" s="2">
        <v>4</v>
      </c>
      <c r="H1375" s="2">
        <v>1</v>
      </c>
      <c r="I1375" s="2">
        <v>3</v>
      </c>
      <c r="J1375" s="2">
        <v>2.9</v>
      </c>
      <c r="K1375" s="2" t="s">
        <v>1268</v>
      </c>
      <c r="L1375" s="2" t="str">
        <f t="shared" si="126"/>
        <v>Loss Making</v>
      </c>
      <c r="M1375" s="2" t="str">
        <f t="shared" si="127"/>
        <v>Stable Earnings</v>
      </c>
      <c r="N1375" s="2" t="str">
        <f t="shared" si="128"/>
        <v>Moderate</v>
      </c>
      <c r="O1375" s="4" t="str">
        <f t="shared" si="129"/>
        <v>Accounting Risk</v>
      </c>
      <c r="P1375" s="4" t="str">
        <f t="shared" si="130"/>
        <v>Moderate</v>
      </c>
      <c r="Q1375" s="4" t="str">
        <f t="shared" si="131"/>
        <v>Moderate Growth</v>
      </c>
    </row>
    <row r="1376" spans="1:17" x14ac:dyDescent="0.35">
      <c r="A1376" s="2" t="s">
        <v>1387</v>
      </c>
      <c r="B1376" s="2">
        <v>5</v>
      </c>
      <c r="C1376" s="2">
        <v>-2156764.66</v>
      </c>
      <c r="D1376" s="2">
        <v>0.2</v>
      </c>
      <c r="E1376" s="2">
        <v>3179139.2859999998</v>
      </c>
      <c r="F1376" s="2">
        <v>-4480161.4000000004</v>
      </c>
      <c r="G1376" s="2">
        <v>4</v>
      </c>
      <c r="H1376" s="2">
        <v>1</v>
      </c>
      <c r="I1376" s="2">
        <v>3</v>
      </c>
      <c r="J1376" s="2">
        <v>2.9</v>
      </c>
      <c r="K1376" s="2" t="s">
        <v>1268</v>
      </c>
      <c r="L1376" s="2" t="str">
        <f t="shared" si="126"/>
        <v>Loss Making</v>
      </c>
      <c r="M1376" s="2" t="str">
        <f t="shared" si="127"/>
        <v>Stable Earnings</v>
      </c>
      <c r="N1376" s="2" t="str">
        <f t="shared" si="128"/>
        <v>Moderate</v>
      </c>
      <c r="O1376" s="4" t="str">
        <f t="shared" si="129"/>
        <v>Accounting Risk</v>
      </c>
      <c r="P1376" s="4" t="str">
        <f t="shared" si="130"/>
        <v>Moderate</v>
      </c>
      <c r="Q1376" s="4" t="str">
        <f t="shared" si="131"/>
        <v>Moderate Growth</v>
      </c>
    </row>
    <row r="1377" spans="1:17" x14ac:dyDescent="0.35">
      <c r="A1377" s="2" t="s">
        <v>1388</v>
      </c>
      <c r="B1377" s="2">
        <v>5</v>
      </c>
      <c r="C1377" s="2">
        <v>-2755606.82</v>
      </c>
      <c r="D1377" s="2">
        <v>0.2</v>
      </c>
      <c r="E1377" s="2">
        <v>3216105.7250000001</v>
      </c>
      <c r="F1377" s="2">
        <v>-4561488.5999999996</v>
      </c>
      <c r="G1377" s="2">
        <v>4</v>
      </c>
      <c r="H1377" s="2">
        <v>1</v>
      </c>
      <c r="I1377" s="2">
        <v>3</v>
      </c>
      <c r="J1377" s="2">
        <v>2.9</v>
      </c>
      <c r="K1377" s="2" t="s">
        <v>1268</v>
      </c>
      <c r="L1377" s="2" t="str">
        <f t="shared" si="126"/>
        <v>Loss Making</v>
      </c>
      <c r="M1377" s="2" t="str">
        <f t="shared" si="127"/>
        <v>Stable Earnings</v>
      </c>
      <c r="N1377" s="2" t="str">
        <f t="shared" si="128"/>
        <v>Moderate</v>
      </c>
      <c r="O1377" s="4" t="str">
        <f t="shared" si="129"/>
        <v>Accounting Risk</v>
      </c>
      <c r="P1377" s="4" t="str">
        <f t="shared" si="130"/>
        <v>Moderate</v>
      </c>
      <c r="Q1377" s="4" t="str">
        <f t="shared" si="131"/>
        <v>Moderate Growth</v>
      </c>
    </row>
    <row r="1378" spans="1:17" x14ac:dyDescent="0.35">
      <c r="A1378" s="2" t="s">
        <v>1389</v>
      </c>
      <c r="B1378" s="2">
        <v>5</v>
      </c>
      <c r="C1378" s="2">
        <v>-2308274.14</v>
      </c>
      <c r="D1378" s="2">
        <v>0.2</v>
      </c>
      <c r="E1378" s="2">
        <v>2856411.58</v>
      </c>
      <c r="F1378" s="2">
        <v>-4219906.9000000004</v>
      </c>
      <c r="G1378" s="2">
        <v>4</v>
      </c>
      <c r="H1378" s="2">
        <v>1</v>
      </c>
      <c r="I1378" s="2">
        <v>3</v>
      </c>
      <c r="J1378" s="2">
        <v>2.9</v>
      </c>
      <c r="K1378" s="2" t="s">
        <v>1268</v>
      </c>
      <c r="L1378" s="2" t="str">
        <f t="shared" si="126"/>
        <v>Loss Making</v>
      </c>
      <c r="M1378" s="2" t="str">
        <f t="shared" si="127"/>
        <v>Stable Earnings</v>
      </c>
      <c r="N1378" s="2" t="str">
        <f t="shared" si="128"/>
        <v>Moderate</v>
      </c>
      <c r="O1378" s="4" t="str">
        <f t="shared" si="129"/>
        <v>Accounting Risk</v>
      </c>
      <c r="P1378" s="4" t="str">
        <f t="shared" si="130"/>
        <v>Moderate</v>
      </c>
      <c r="Q1378" s="4" t="str">
        <f t="shared" si="131"/>
        <v>Moderate Growth</v>
      </c>
    </row>
    <row r="1379" spans="1:17" x14ac:dyDescent="0.35">
      <c r="A1379" s="2" t="s">
        <v>1390</v>
      </c>
      <c r="B1379" s="2">
        <v>5</v>
      </c>
      <c r="C1379" s="2">
        <v>-1828995.06</v>
      </c>
      <c r="D1379" s="2">
        <v>0.2</v>
      </c>
      <c r="E1379" s="2">
        <v>2070155.1159999999</v>
      </c>
      <c r="F1379" s="2">
        <v>-4237368.9000000004</v>
      </c>
      <c r="G1379" s="2">
        <v>4</v>
      </c>
      <c r="H1379" s="2">
        <v>1</v>
      </c>
      <c r="I1379" s="2">
        <v>3</v>
      </c>
      <c r="J1379" s="2">
        <v>2.9</v>
      </c>
      <c r="K1379" s="2" t="s">
        <v>1268</v>
      </c>
      <c r="L1379" s="2" t="str">
        <f t="shared" si="126"/>
        <v>Loss Making</v>
      </c>
      <c r="M1379" s="2" t="str">
        <f t="shared" si="127"/>
        <v>Stable Earnings</v>
      </c>
      <c r="N1379" s="2" t="str">
        <f t="shared" si="128"/>
        <v>Moderate</v>
      </c>
      <c r="O1379" s="4" t="str">
        <f t="shared" si="129"/>
        <v>Accounting Risk</v>
      </c>
      <c r="P1379" s="4" t="str">
        <f t="shared" si="130"/>
        <v>Moderate</v>
      </c>
      <c r="Q1379" s="4" t="str">
        <f t="shared" si="131"/>
        <v>Moderate Growth</v>
      </c>
    </row>
    <row r="1380" spans="1:17" x14ac:dyDescent="0.35">
      <c r="A1380" s="2" t="s">
        <v>1391</v>
      </c>
      <c r="B1380" s="2">
        <v>5</v>
      </c>
      <c r="C1380" s="2">
        <v>-2201956.48</v>
      </c>
      <c r="D1380" s="2">
        <v>0</v>
      </c>
      <c r="E1380" s="2">
        <v>1699097.7239999999</v>
      </c>
      <c r="F1380" s="2">
        <v>-3702637.7</v>
      </c>
      <c r="G1380" s="2">
        <v>4</v>
      </c>
      <c r="H1380" s="2">
        <v>1</v>
      </c>
      <c r="I1380" s="2">
        <v>3</v>
      </c>
      <c r="J1380" s="2">
        <v>2.9</v>
      </c>
      <c r="K1380" s="2" t="s">
        <v>1268</v>
      </c>
      <c r="L1380" s="2" t="str">
        <f t="shared" si="126"/>
        <v>Loss Making</v>
      </c>
      <c r="M1380" s="2" t="str">
        <f t="shared" si="127"/>
        <v>Stable Earnings</v>
      </c>
      <c r="N1380" s="2" t="str">
        <f t="shared" si="128"/>
        <v>Moderate</v>
      </c>
      <c r="O1380" s="4" t="str">
        <f t="shared" si="129"/>
        <v>Accounting Risk</v>
      </c>
      <c r="P1380" s="4" t="str">
        <f t="shared" si="130"/>
        <v>Moderate</v>
      </c>
      <c r="Q1380" s="4" t="str">
        <f t="shared" si="131"/>
        <v>Moderate Growth</v>
      </c>
    </row>
    <row r="1381" spans="1:17" x14ac:dyDescent="0.35">
      <c r="A1381" s="2" t="s">
        <v>1392</v>
      </c>
      <c r="B1381" s="2">
        <v>5</v>
      </c>
      <c r="C1381" s="2">
        <v>135318858</v>
      </c>
      <c r="D1381" s="2">
        <v>0.8</v>
      </c>
      <c r="E1381" s="2">
        <v>84258321.890000001</v>
      </c>
      <c r="F1381" s="2">
        <v>-182251869</v>
      </c>
      <c r="G1381" s="2">
        <v>2</v>
      </c>
      <c r="H1381" s="2">
        <v>3</v>
      </c>
      <c r="I1381" s="2">
        <v>5</v>
      </c>
      <c r="J1381" s="2">
        <v>2.9</v>
      </c>
      <c r="K1381" s="2" t="s">
        <v>1268</v>
      </c>
      <c r="L1381" s="2" t="str">
        <f t="shared" si="126"/>
        <v>Profitable</v>
      </c>
      <c r="M1381" s="2" t="str">
        <f t="shared" si="127"/>
        <v>Stable Earnings</v>
      </c>
      <c r="N1381" s="2" t="str">
        <f t="shared" si="128"/>
        <v>Low Quality</v>
      </c>
      <c r="O1381" s="4" t="str">
        <f t="shared" si="129"/>
        <v>Accounting Risk</v>
      </c>
      <c r="P1381" s="4" t="str">
        <f t="shared" si="130"/>
        <v>Low Quality</v>
      </c>
      <c r="Q1381" s="4" t="str">
        <f t="shared" si="131"/>
        <v>Strong Long-Term Growth</v>
      </c>
    </row>
    <row r="1382" spans="1:17" x14ac:dyDescent="0.35">
      <c r="A1382" s="2" t="s">
        <v>1393</v>
      </c>
      <c r="B1382" s="2">
        <v>5</v>
      </c>
      <c r="C1382" s="2">
        <v>427116620.80000001</v>
      </c>
      <c r="D1382" s="2">
        <v>1</v>
      </c>
      <c r="E1382" s="2">
        <v>78116816.760000005</v>
      </c>
      <c r="F1382" s="2">
        <v>-166185269.5</v>
      </c>
      <c r="G1382" s="2">
        <v>2</v>
      </c>
      <c r="H1382" s="2">
        <v>3</v>
      </c>
      <c r="I1382" s="2">
        <v>5</v>
      </c>
      <c r="J1382" s="2">
        <v>2.9</v>
      </c>
      <c r="K1382" s="2" t="s">
        <v>1268</v>
      </c>
      <c r="L1382" s="2" t="str">
        <f t="shared" si="126"/>
        <v>Profitable</v>
      </c>
      <c r="M1382" s="2" t="str">
        <f t="shared" si="127"/>
        <v>Stable Earnings</v>
      </c>
      <c r="N1382" s="2" t="str">
        <f t="shared" si="128"/>
        <v>Low Quality</v>
      </c>
      <c r="O1382" s="4" t="str">
        <f t="shared" si="129"/>
        <v>Accounting Risk</v>
      </c>
      <c r="P1382" s="4" t="str">
        <f t="shared" si="130"/>
        <v>Low Quality</v>
      </c>
      <c r="Q1382" s="4" t="str">
        <f t="shared" si="131"/>
        <v>Strong Long-Term Growth</v>
      </c>
    </row>
    <row r="1383" spans="1:17" x14ac:dyDescent="0.35">
      <c r="A1383" s="2" t="s">
        <v>1394</v>
      </c>
      <c r="B1383" s="2">
        <v>5</v>
      </c>
      <c r="C1383" s="2">
        <v>104286288.2</v>
      </c>
      <c r="D1383" s="2">
        <v>0.8</v>
      </c>
      <c r="E1383" s="2">
        <v>95675359.780000001</v>
      </c>
      <c r="F1383" s="2">
        <v>-175921768</v>
      </c>
      <c r="G1383" s="2">
        <v>2</v>
      </c>
      <c r="H1383" s="2">
        <v>3</v>
      </c>
      <c r="I1383" s="2">
        <v>5</v>
      </c>
      <c r="J1383" s="2">
        <v>2.9</v>
      </c>
      <c r="K1383" s="2" t="s">
        <v>1268</v>
      </c>
      <c r="L1383" s="2" t="str">
        <f t="shared" si="126"/>
        <v>Profitable</v>
      </c>
      <c r="M1383" s="2" t="str">
        <f t="shared" si="127"/>
        <v>Stable Earnings</v>
      </c>
      <c r="N1383" s="2" t="str">
        <f t="shared" si="128"/>
        <v>Low Quality</v>
      </c>
      <c r="O1383" s="4" t="str">
        <f t="shared" si="129"/>
        <v>Accounting Risk</v>
      </c>
      <c r="P1383" s="4" t="str">
        <f t="shared" si="130"/>
        <v>Low Quality</v>
      </c>
      <c r="Q1383" s="4" t="str">
        <f t="shared" si="131"/>
        <v>Strong Long-Term Growth</v>
      </c>
    </row>
    <row r="1384" spans="1:17" x14ac:dyDescent="0.35">
      <c r="A1384" s="2" t="s">
        <v>1395</v>
      </c>
      <c r="B1384" s="2">
        <v>5</v>
      </c>
      <c r="C1384" s="2">
        <v>125746034.7</v>
      </c>
      <c r="D1384" s="2">
        <v>1</v>
      </c>
      <c r="E1384" s="2">
        <v>74119525.709999993</v>
      </c>
      <c r="F1384" s="2">
        <v>-170182165.30000001</v>
      </c>
      <c r="G1384" s="2">
        <v>2</v>
      </c>
      <c r="H1384" s="2">
        <v>3</v>
      </c>
      <c r="I1384" s="2">
        <v>5</v>
      </c>
      <c r="J1384" s="2">
        <v>2.9</v>
      </c>
      <c r="K1384" s="2" t="s">
        <v>1268</v>
      </c>
      <c r="L1384" s="2" t="str">
        <f t="shared" si="126"/>
        <v>Profitable</v>
      </c>
      <c r="M1384" s="2" t="str">
        <f t="shared" si="127"/>
        <v>Stable Earnings</v>
      </c>
      <c r="N1384" s="2" t="str">
        <f t="shared" si="128"/>
        <v>Low Quality</v>
      </c>
      <c r="O1384" s="4" t="str">
        <f t="shared" si="129"/>
        <v>Accounting Risk</v>
      </c>
      <c r="P1384" s="4" t="str">
        <f t="shared" si="130"/>
        <v>Low Quality</v>
      </c>
      <c r="Q1384" s="4" t="str">
        <f t="shared" si="131"/>
        <v>Strong Long-Term Growth</v>
      </c>
    </row>
    <row r="1385" spans="1:17" x14ac:dyDescent="0.35">
      <c r="A1385" s="2" t="s">
        <v>1396</v>
      </c>
      <c r="B1385" s="2">
        <v>5</v>
      </c>
      <c r="C1385" s="2">
        <v>279176661.10000002</v>
      </c>
      <c r="D1385" s="2">
        <v>1</v>
      </c>
      <c r="E1385" s="2">
        <v>91860464.75</v>
      </c>
      <c r="F1385" s="2">
        <v>-140625611</v>
      </c>
      <c r="G1385" s="2">
        <v>2</v>
      </c>
      <c r="H1385" s="2">
        <v>3</v>
      </c>
      <c r="I1385" s="2">
        <v>5</v>
      </c>
      <c r="J1385" s="2">
        <v>2.9</v>
      </c>
      <c r="K1385" s="2" t="s">
        <v>1268</v>
      </c>
      <c r="L1385" s="2" t="str">
        <f t="shared" si="126"/>
        <v>Profitable</v>
      </c>
      <c r="M1385" s="2" t="str">
        <f t="shared" si="127"/>
        <v>Stable Earnings</v>
      </c>
      <c r="N1385" s="2" t="str">
        <f t="shared" si="128"/>
        <v>Low Quality</v>
      </c>
      <c r="O1385" s="4" t="str">
        <f t="shared" si="129"/>
        <v>Accounting Risk</v>
      </c>
      <c r="P1385" s="4" t="str">
        <f t="shared" si="130"/>
        <v>Low Quality</v>
      </c>
      <c r="Q1385" s="4" t="str">
        <f t="shared" si="131"/>
        <v>Strong Long-Term Growth</v>
      </c>
    </row>
    <row r="1386" spans="1:17" x14ac:dyDescent="0.35">
      <c r="A1386" s="2" t="s">
        <v>1397</v>
      </c>
      <c r="B1386" s="2">
        <v>5</v>
      </c>
      <c r="C1386" s="2">
        <v>131255802.59999999</v>
      </c>
      <c r="D1386" s="2">
        <v>1</v>
      </c>
      <c r="E1386" s="2">
        <v>65058711.810000002</v>
      </c>
      <c r="F1386" s="2">
        <v>-146189450.09999999</v>
      </c>
      <c r="G1386" s="2">
        <v>2</v>
      </c>
      <c r="H1386" s="2">
        <v>3</v>
      </c>
      <c r="I1386" s="2">
        <v>5</v>
      </c>
      <c r="J1386" s="2">
        <v>2.9</v>
      </c>
      <c r="K1386" s="2" t="s">
        <v>1268</v>
      </c>
      <c r="L1386" s="2" t="str">
        <f t="shared" si="126"/>
        <v>Profitable</v>
      </c>
      <c r="M1386" s="2" t="str">
        <f t="shared" si="127"/>
        <v>Stable Earnings</v>
      </c>
      <c r="N1386" s="2" t="str">
        <f t="shared" si="128"/>
        <v>Low Quality</v>
      </c>
      <c r="O1386" s="4" t="str">
        <f t="shared" si="129"/>
        <v>Accounting Risk</v>
      </c>
      <c r="P1386" s="4" t="str">
        <f t="shared" si="130"/>
        <v>Low Quality</v>
      </c>
      <c r="Q1386" s="4" t="str">
        <f t="shared" si="131"/>
        <v>Strong Long-Term Growth</v>
      </c>
    </row>
    <row r="1387" spans="1:17" x14ac:dyDescent="0.35">
      <c r="A1387" s="2" t="s">
        <v>1398</v>
      </c>
      <c r="B1387" s="2">
        <v>5</v>
      </c>
      <c r="C1387" s="2">
        <v>71455646</v>
      </c>
      <c r="D1387" s="2">
        <v>1</v>
      </c>
      <c r="E1387" s="2">
        <v>81890694.659999996</v>
      </c>
      <c r="F1387" s="2">
        <v>-127944075.90000001</v>
      </c>
      <c r="G1387" s="2">
        <v>2</v>
      </c>
      <c r="H1387" s="2">
        <v>3</v>
      </c>
      <c r="I1387" s="2">
        <v>5</v>
      </c>
      <c r="J1387" s="2">
        <v>2.9</v>
      </c>
      <c r="K1387" s="2" t="s">
        <v>1268</v>
      </c>
      <c r="L1387" s="2" t="str">
        <f t="shared" si="126"/>
        <v>Profitable</v>
      </c>
      <c r="M1387" s="2" t="str">
        <f t="shared" si="127"/>
        <v>Stable Earnings</v>
      </c>
      <c r="N1387" s="2" t="str">
        <f t="shared" si="128"/>
        <v>Low Quality</v>
      </c>
      <c r="O1387" s="4" t="str">
        <f t="shared" si="129"/>
        <v>Accounting Risk</v>
      </c>
      <c r="P1387" s="4" t="str">
        <f t="shared" si="130"/>
        <v>Low Quality</v>
      </c>
      <c r="Q1387" s="4" t="str">
        <f t="shared" si="131"/>
        <v>Strong Long-Term Growth</v>
      </c>
    </row>
    <row r="1388" spans="1:17" x14ac:dyDescent="0.35">
      <c r="A1388" s="2" t="s">
        <v>1399</v>
      </c>
      <c r="B1388" s="2">
        <v>5</v>
      </c>
      <c r="C1388" s="2">
        <v>44073239.840000004</v>
      </c>
      <c r="D1388" s="2">
        <v>0.8</v>
      </c>
      <c r="E1388" s="2">
        <v>68793326.819999993</v>
      </c>
      <c r="F1388" s="2">
        <v>-128914693.40000001</v>
      </c>
      <c r="G1388" s="2">
        <v>2</v>
      </c>
      <c r="H1388" s="2">
        <v>3</v>
      </c>
      <c r="I1388" s="2">
        <v>5</v>
      </c>
      <c r="J1388" s="2">
        <v>2.9</v>
      </c>
      <c r="K1388" s="2" t="s">
        <v>1268</v>
      </c>
      <c r="L1388" s="2" t="str">
        <f t="shared" si="126"/>
        <v>Profitable</v>
      </c>
      <c r="M1388" s="2" t="str">
        <f t="shared" si="127"/>
        <v>Stable Earnings</v>
      </c>
      <c r="N1388" s="2" t="str">
        <f t="shared" si="128"/>
        <v>Low Quality</v>
      </c>
      <c r="O1388" s="4" t="str">
        <f t="shared" si="129"/>
        <v>Accounting Risk</v>
      </c>
      <c r="P1388" s="4" t="str">
        <f t="shared" si="130"/>
        <v>Low Quality</v>
      </c>
      <c r="Q1388" s="4" t="str">
        <f t="shared" si="131"/>
        <v>Strong Long-Term Growth</v>
      </c>
    </row>
    <row r="1389" spans="1:17" x14ac:dyDescent="0.35">
      <c r="A1389" s="2" t="s">
        <v>1400</v>
      </c>
      <c r="B1389" s="2">
        <v>5</v>
      </c>
      <c r="C1389" s="2">
        <v>71611613.879999995</v>
      </c>
      <c r="D1389" s="2">
        <v>1</v>
      </c>
      <c r="E1389" s="2">
        <v>51003306.479999997</v>
      </c>
      <c r="F1389" s="2">
        <v>-113454482.2</v>
      </c>
      <c r="G1389" s="2">
        <v>2</v>
      </c>
      <c r="H1389" s="2">
        <v>3</v>
      </c>
      <c r="I1389" s="2">
        <v>5</v>
      </c>
      <c r="J1389" s="2">
        <v>2.9</v>
      </c>
      <c r="K1389" s="2" t="s">
        <v>1268</v>
      </c>
      <c r="L1389" s="2" t="str">
        <f t="shared" si="126"/>
        <v>Profitable</v>
      </c>
      <c r="M1389" s="2" t="str">
        <f t="shared" si="127"/>
        <v>Stable Earnings</v>
      </c>
      <c r="N1389" s="2" t="str">
        <f t="shared" si="128"/>
        <v>Low Quality</v>
      </c>
      <c r="O1389" s="4" t="str">
        <f t="shared" si="129"/>
        <v>Accounting Risk</v>
      </c>
      <c r="P1389" s="4" t="str">
        <f t="shared" si="130"/>
        <v>Low Quality</v>
      </c>
      <c r="Q1389" s="4" t="str">
        <f t="shared" si="131"/>
        <v>Strong Long-Term Growth</v>
      </c>
    </row>
    <row r="1390" spans="1:17" x14ac:dyDescent="0.35">
      <c r="A1390" s="2" t="s">
        <v>1401</v>
      </c>
      <c r="B1390" s="2">
        <v>5</v>
      </c>
      <c r="C1390" s="2">
        <v>179180003.69999999</v>
      </c>
      <c r="D1390" s="2">
        <v>1</v>
      </c>
      <c r="E1390" s="2">
        <v>65415995.899999999</v>
      </c>
      <c r="F1390" s="2">
        <v>-122915502.09999999</v>
      </c>
      <c r="G1390" s="2">
        <v>2</v>
      </c>
      <c r="H1390" s="2">
        <v>3</v>
      </c>
      <c r="I1390" s="2">
        <v>5</v>
      </c>
      <c r="J1390" s="2">
        <v>2.9</v>
      </c>
      <c r="K1390" s="2" t="s">
        <v>1268</v>
      </c>
      <c r="L1390" s="2" t="str">
        <f t="shared" si="126"/>
        <v>Profitable</v>
      </c>
      <c r="M1390" s="2" t="str">
        <f t="shared" si="127"/>
        <v>Stable Earnings</v>
      </c>
      <c r="N1390" s="2" t="str">
        <f t="shared" si="128"/>
        <v>Low Quality</v>
      </c>
      <c r="O1390" s="4" t="str">
        <f t="shared" si="129"/>
        <v>Accounting Risk</v>
      </c>
      <c r="P1390" s="4" t="str">
        <f t="shared" si="130"/>
        <v>Low Quality</v>
      </c>
      <c r="Q1390" s="4" t="str">
        <f t="shared" si="131"/>
        <v>Strong Long-Term Growth</v>
      </c>
    </row>
    <row r="1391" spans="1:17" x14ac:dyDescent="0.35">
      <c r="A1391" s="2" t="s">
        <v>1402</v>
      </c>
      <c r="B1391" s="2">
        <v>5</v>
      </c>
      <c r="C1391" s="2">
        <v>-10515942.82</v>
      </c>
      <c r="D1391" s="2">
        <v>0.8</v>
      </c>
      <c r="E1391" s="2">
        <v>51972549.380000003</v>
      </c>
      <c r="F1391" s="2">
        <v>-103141603.40000001</v>
      </c>
      <c r="G1391" s="2">
        <v>2</v>
      </c>
      <c r="H1391" s="2">
        <v>3</v>
      </c>
      <c r="I1391" s="2">
        <v>5</v>
      </c>
      <c r="J1391" s="2">
        <v>2.9</v>
      </c>
      <c r="K1391" s="2" t="s">
        <v>1268</v>
      </c>
      <c r="L1391" s="2" t="str">
        <f t="shared" si="126"/>
        <v>Loss Making</v>
      </c>
      <c r="M1391" s="2" t="str">
        <f t="shared" si="127"/>
        <v>Stable Earnings</v>
      </c>
      <c r="N1391" s="2" t="str">
        <f t="shared" si="128"/>
        <v>Low Quality</v>
      </c>
      <c r="O1391" s="4" t="str">
        <f t="shared" si="129"/>
        <v>Accounting Risk</v>
      </c>
      <c r="P1391" s="4" t="str">
        <f t="shared" si="130"/>
        <v>Low Quality</v>
      </c>
      <c r="Q1391" s="4" t="str">
        <f t="shared" si="131"/>
        <v>Strong Long-Term Growth</v>
      </c>
    </row>
    <row r="1392" spans="1:17" x14ac:dyDescent="0.35">
      <c r="A1392" s="2" t="s">
        <v>1403</v>
      </c>
      <c r="B1392" s="2">
        <v>5</v>
      </c>
      <c r="C1392" s="2">
        <v>77589827.099999994</v>
      </c>
      <c r="D1392" s="2">
        <v>0.8</v>
      </c>
      <c r="E1392" s="2">
        <v>68273358.870000005</v>
      </c>
      <c r="F1392" s="2">
        <v>-98947831.299999997</v>
      </c>
      <c r="G1392" s="2">
        <v>2</v>
      </c>
      <c r="H1392" s="2">
        <v>3</v>
      </c>
      <c r="I1392" s="2">
        <v>5</v>
      </c>
      <c r="J1392" s="2">
        <v>2.9</v>
      </c>
      <c r="K1392" s="2" t="s">
        <v>1268</v>
      </c>
      <c r="L1392" s="2" t="str">
        <f t="shared" si="126"/>
        <v>Profitable</v>
      </c>
      <c r="M1392" s="2" t="str">
        <f t="shared" si="127"/>
        <v>Stable Earnings</v>
      </c>
      <c r="N1392" s="2" t="str">
        <f t="shared" si="128"/>
        <v>Low Quality</v>
      </c>
      <c r="O1392" s="4" t="str">
        <f t="shared" si="129"/>
        <v>Accounting Risk</v>
      </c>
      <c r="P1392" s="4" t="str">
        <f t="shared" si="130"/>
        <v>Low Quality</v>
      </c>
      <c r="Q1392" s="4" t="str">
        <f t="shared" si="131"/>
        <v>Strong Long-Term Growth</v>
      </c>
    </row>
    <row r="1393" spans="1:17" x14ac:dyDescent="0.35">
      <c r="A1393" s="2" t="s">
        <v>1404</v>
      </c>
      <c r="B1393" s="2">
        <v>5</v>
      </c>
      <c r="C1393" s="2">
        <v>200873637.40000001</v>
      </c>
      <c r="D1393" s="2">
        <v>1</v>
      </c>
      <c r="E1393" s="2">
        <v>59532739.020000003</v>
      </c>
      <c r="F1393" s="2">
        <v>-94482898.900000006</v>
      </c>
      <c r="G1393" s="2">
        <v>2</v>
      </c>
      <c r="H1393" s="2">
        <v>3</v>
      </c>
      <c r="I1393" s="2">
        <v>5</v>
      </c>
      <c r="J1393" s="2">
        <v>2.9</v>
      </c>
      <c r="K1393" s="2" t="s">
        <v>1268</v>
      </c>
      <c r="L1393" s="2" t="str">
        <f t="shared" si="126"/>
        <v>Profitable</v>
      </c>
      <c r="M1393" s="2" t="str">
        <f t="shared" si="127"/>
        <v>Stable Earnings</v>
      </c>
      <c r="N1393" s="2" t="str">
        <f t="shared" si="128"/>
        <v>Low Quality</v>
      </c>
      <c r="O1393" s="4" t="str">
        <f t="shared" si="129"/>
        <v>Accounting Risk</v>
      </c>
      <c r="P1393" s="4" t="str">
        <f t="shared" si="130"/>
        <v>Low Quality</v>
      </c>
      <c r="Q1393" s="4" t="str">
        <f t="shared" si="131"/>
        <v>Strong Long-Term Growth</v>
      </c>
    </row>
    <row r="1394" spans="1:17" x14ac:dyDescent="0.35">
      <c r="A1394" s="2" t="s">
        <v>1405</v>
      </c>
      <c r="B1394" s="2">
        <v>5</v>
      </c>
      <c r="C1394" s="2">
        <v>218781884</v>
      </c>
      <c r="D1394" s="2">
        <v>1</v>
      </c>
      <c r="E1394" s="2">
        <v>47199012.5</v>
      </c>
      <c r="F1394" s="2">
        <v>-82511132.5</v>
      </c>
      <c r="G1394" s="2">
        <v>2</v>
      </c>
      <c r="H1394" s="2">
        <v>3</v>
      </c>
      <c r="I1394" s="2">
        <v>5</v>
      </c>
      <c r="J1394" s="2">
        <v>2.9</v>
      </c>
      <c r="K1394" s="2" t="s">
        <v>1268</v>
      </c>
      <c r="L1394" s="2" t="str">
        <f t="shared" si="126"/>
        <v>Profitable</v>
      </c>
      <c r="M1394" s="2" t="str">
        <f t="shared" si="127"/>
        <v>Stable Earnings</v>
      </c>
      <c r="N1394" s="2" t="str">
        <f t="shared" si="128"/>
        <v>Low Quality</v>
      </c>
      <c r="O1394" s="4" t="str">
        <f t="shared" si="129"/>
        <v>Accounting Risk</v>
      </c>
      <c r="P1394" s="4" t="str">
        <f t="shared" si="130"/>
        <v>Low Quality</v>
      </c>
      <c r="Q1394" s="4" t="str">
        <f t="shared" si="131"/>
        <v>Strong Long-Term Growth</v>
      </c>
    </row>
    <row r="1395" spans="1:17" x14ac:dyDescent="0.35">
      <c r="A1395" s="2" t="s">
        <v>1406</v>
      </c>
      <c r="B1395" s="2">
        <v>5</v>
      </c>
      <c r="C1395" s="2">
        <v>391718195</v>
      </c>
      <c r="D1395" s="2">
        <v>1</v>
      </c>
      <c r="E1395" s="2">
        <v>61235738.07</v>
      </c>
      <c r="F1395" s="2">
        <v>-85714285.200000003</v>
      </c>
      <c r="G1395" s="2">
        <v>2</v>
      </c>
      <c r="H1395" s="2">
        <v>3</v>
      </c>
      <c r="I1395" s="2">
        <v>5</v>
      </c>
      <c r="J1395" s="2">
        <v>2.9</v>
      </c>
      <c r="K1395" s="2" t="s">
        <v>1268</v>
      </c>
      <c r="L1395" s="2" t="str">
        <f t="shared" si="126"/>
        <v>Profitable</v>
      </c>
      <c r="M1395" s="2" t="str">
        <f t="shared" si="127"/>
        <v>Stable Earnings</v>
      </c>
      <c r="N1395" s="2" t="str">
        <f t="shared" si="128"/>
        <v>Low Quality</v>
      </c>
      <c r="O1395" s="4" t="str">
        <f t="shared" si="129"/>
        <v>Accounting Risk</v>
      </c>
      <c r="P1395" s="4" t="str">
        <f t="shared" si="130"/>
        <v>Low Quality</v>
      </c>
      <c r="Q1395" s="4" t="str">
        <f t="shared" si="131"/>
        <v>Strong Long-Term Growth</v>
      </c>
    </row>
    <row r="1396" spans="1:17" x14ac:dyDescent="0.35">
      <c r="A1396" s="2" t="s">
        <v>1407</v>
      </c>
      <c r="B1396" s="2">
        <v>5</v>
      </c>
      <c r="C1396" s="2">
        <v>55671767.380000003</v>
      </c>
      <c r="D1396" s="2">
        <v>0.8</v>
      </c>
      <c r="E1396" s="2">
        <v>41791025.560000002</v>
      </c>
      <c r="F1396" s="2">
        <v>-76191942.400000006</v>
      </c>
      <c r="G1396" s="2">
        <v>3</v>
      </c>
      <c r="H1396" s="2">
        <v>2</v>
      </c>
      <c r="I1396" s="2">
        <v>4</v>
      </c>
      <c r="J1396" s="2">
        <v>2.9</v>
      </c>
      <c r="K1396" s="2" t="s">
        <v>1268</v>
      </c>
      <c r="L1396" s="2" t="str">
        <f t="shared" si="126"/>
        <v>Profitable</v>
      </c>
      <c r="M1396" s="2" t="str">
        <f t="shared" si="127"/>
        <v>Stable Earnings</v>
      </c>
      <c r="N1396" s="2" t="str">
        <f t="shared" si="128"/>
        <v>Low Quality</v>
      </c>
      <c r="O1396" s="4" t="str">
        <f t="shared" si="129"/>
        <v>Accounting Risk</v>
      </c>
      <c r="P1396" s="4" t="str">
        <f t="shared" si="130"/>
        <v>Low Quality</v>
      </c>
      <c r="Q1396" s="4" t="str">
        <f t="shared" si="131"/>
        <v>Strong Long-Term Growth</v>
      </c>
    </row>
    <row r="1397" spans="1:17" x14ac:dyDescent="0.35">
      <c r="A1397" s="2" t="s">
        <v>1408</v>
      </c>
      <c r="B1397" s="2">
        <v>5</v>
      </c>
      <c r="C1397" s="2">
        <v>21478288.879999999</v>
      </c>
      <c r="D1397" s="2">
        <v>0.8</v>
      </c>
      <c r="E1397" s="2">
        <v>36692781.880000003</v>
      </c>
      <c r="F1397" s="2">
        <v>-76481733.5</v>
      </c>
      <c r="G1397" s="2">
        <v>3</v>
      </c>
      <c r="H1397" s="2">
        <v>2</v>
      </c>
      <c r="I1397" s="2">
        <v>4</v>
      </c>
      <c r="J1397" s="2">
        <v>2.9</v>
      </c>
      <c r="K1397" s="2" t="s">
        <v>1268</v>
      </c>
      <c r="L1397" s="2" t="str">
        <f t="shared" si="126"/>
        <v>Profitable</v>
      </c>
      <c r="M1397" s="2" t="str">
        <f t="shared" si="127"/>
        <v>Stable Earnings</v>
      </c>
      <c r="N1397" s="2" t="str">
        <f t="shared" si="128"/>
        <v>Low Quality</v>
      </c>
      <c r="O1397" s="4" t="str">
        <f t="shared" si="129"/>
        <v>Accounting Risk</v>
      </c>
      <c r="P1397" s="4" t="str">
        <f t="shared" si="130"/>
        <v>Low Quality</v>
      </c>
      <c r="Q1397" s="4" t="str">
        <f t="shared" si="131"/>
        <v>Strong Long-Term Growth</v>
      </c>
    </row>
    <row r="1398" spans="1:17" x14ac:dyDescent="0.35">
      <c r="A1398" s="2" t="s">
        <v>1409</v>
      </c>
      <c r="B1398" s="2">
        <v>5</v>
      </c>
      <c r="C1398" s="2">
        <v>34362052.799999997</v>
      </c>
      <c r="D1398" s="2">
        <v>0.8</v>
      </c>
      <c r="E1398" s="2">
        <v>43437055.280000001</v>
      </c>
      <c r="F1398" s="2">
        <v>-72286166.900000006</v>
      </c>
      <c r="G1398" s="2">
        <v>3</v>
      </c>
      <c r="H1398" s="2">
        <v>2</v>
      </c>
      <c r="I1398" s="2">
        <v>4</v>
      </c>
      <c r="J1398" s="2">
        <v>2.9</v>
      </c>
      <c r="K1398" s="2" t="s">
        <v>1268</v>
      </c>
      <c r="L1398" s="2" t="str">
        <f t="shared" si="126"/>
        <v>Profitable</v>
      </c>
      <c r="M1398" s="2" t="str">
        <f t="shared" si="127"/>
        <v>Stable Earnings</v>
      </c>
      <c r="N1398" s="2" t="str">
        <f t="shared" si="128"/>
        <v>Low Quality</v>
      </c>
      <c r="O1398" s="4" t="str">
        <f t="shared" si="129"/>
        <v>Accounting Risk</v>
      </c>
      <c r="P1398" s="4" t="str">
        <f t="shared" si="130"/>
        <v>Low Quality</v>
      </c>
      <c r="Q1398" s="4" t="str">
        <f t="shared" si="131"/>
        <v>Strong Long-Term Growth</v>
      </c>
    </row>
    <row r="1399" spans="1:17" x14ac:dyDescent="0.35">
      <c r="A1399" s="2" t="s">
        <v>1410</v>
      </c>
      <c r="B1399" s="2">
        <v>5</v>
      </c>
      <c r="C1399" s="2">
        <v>5090457.54</v>
      </c>
      <c r="D1399" s="2">
        <v>0.8</v>
      </c>
      <c r="E1399" s="2">
        <v>27851157.100000001</v>
      </c>
      <c r="F1399" s="2">
        <v>-65194775.5</v>
      </c>
      <c r="G1399" s="2">
        <v>3</v>
      </c>
      <c r="H1399" s="2">
        <v>2</v>
      </c>
      <c r="I1399" s="2">
        <v>4</v>
      </c>
      <c r="J1399" s="2">
        <v>2.9</v>
      </c>
      <c r="K1399" s="2" t="s">
        <v>1268</v>
      </c>
      <c r="L1399" s="2" t="str">
        <f t="shared" si="126"/>
        <v>Profitable</v>
      </c>
      <c r="M1399" s="2" t="str">
        <f t="shared" si="127"/>
        <v>Stable Earnings</v>
      </c>
      <c r="N1399" s="2" t="str">
        <f t="shared" si="128"/>
        <v>Low Quality</v>
      </c>
      <c r="O1399" s="4" t="str">
        <f t="shared" si="129"/>
        <v>Accounting Risk</v>
      </c>
      <c r="P1399" s="4" t="str">
        <f t="shared" si="130"/>
        <v>Low Quality</v>
      </c>
      <c r="Q1399" s="4" t="str">
        <f t="shared" si="131"/>
        <v>Strong Long-Term Growth</v>
      </c>
    </row>
    <row r="1400" spans="1:17" x14ac:dyDescent="0.35">
      <c r="A1400" s="2" t="s">
        <v>1411</v>
      </c>
      <c r="B1400" s="2">
        <v>5</v>
      </c>
      <c r="C1400" s="2">
        <v>16523194.939999999</v>
      </c>
      <c r="D1400" s="2">
        <v>0.6</v>
      </c>
      <c r="E1400" s="2">
        <v>32368757.989999998</v>
      </c>
      <c r="F1400" s="2">
        <v>-55590340.399999999</v>
      </c>
      <c r="G1400" s="2">
        <v>3</v>
      </c>
      <c r="H1400" s="2">
        <v>2</v>
      </c>
      <c r="I1400" s="2">
        <v>4</v>
      </c>
      <c r="J1400" s="2">
        <v>2.9</v>
      </c>
      <c r="K1400" s="2" t="s">
        <v>1268</v>
      </c>
      <c r="L1400" s="2" t="str">
        <f t="shared" si="126"/>
        <v>Profitable</v>
      </c>
      <c r="M1400" s="2" t="str">
        <f t="shared" si="127"/>
        <v>Stable Earnings</v>
      </c>
      <c r="N1400" s="2" t="str">
        <f t="shared" si="128"/>
        <v>Low Quality</v>
      </c>
      <c r="O1400" s="4" t="str">
        <f t="shared" si="129"/>
        <v>Accounting Risk</v>
      </c>
      <c r="P1400" s="4" t="str">
        <f t="shared" si="130"/>
        <v>Low Quality</v>
      </c>
      <c r="Q1400" s="4" t="str">
        <f t="shared" si="131"/>
        <v>Strong Long-Term Growth</v>
      </c>
    </row>
    <row r="1401" spans="1:17" x14ac:dyDescent="0.35">
      <c r="A1401" s="2" t="s">
        <v>1412</v>
      </c>
      <c r="B1401" s="2">
        <v>5</v>
      </c>
      <c r="C1401" s="2">
        <v>11414192.1</v>
      </c>
      <c r="D1401" s="2">
        <v>0.6</v>
      </c>
      <c r="E1401" s="2">
        <v>35665126.240000002</v>
      </c>
      <c r="F1401" s="2">
        <v>-58674353.700000003</v>
      </c>
      <c r="G1401" s="2">
        <v>3</v>
      </c>
      <c r="H1401" s="2">
        <v>2</v>
      </c>
      <c r="I1401" s="2">
        <v>4</v>
      </c>
      <c r="J1401" s="2">
        <v>2.9</v>
      </c>
      <c r="K1401" s="2" t="s">
        <v>1268</v>
      </c>
      <c r="L1401" s="2" t="str">
        <f t="shared" si="126"/>
        <v>Profitable</v>
      </c>
      <c r="M1401" s="2" t="str">
        <f t="shared" si="127"/>
        <v>Stable Earnings</v>
      </c>
      <c r="N1401" s="2" t="str">
        <f t="shared" si="128"/>
        <v>Low Quality</v>
      </c>
      <c r="O1401" s="4" t="str">
        <f t="shared" si="129"/>
        <v>Accounting Risk</v>
      </c>
      <c r="P1401" s="4" t="str">
        <f t="shared" si="130"/>
        <v>Low Quality</v>
      </c>
      <c r="Q1401" s="4" t="str">
        <f t="shared" si="131"/>
        <v>Strong Long-Term Growth</v>
      </c>
    </row>
    <row r="1402" spans="1:17" x14ac:dyDescent="0.35">
      <c r="A1402" s="2" t="s">
        <v>1413</v>
      </c>
      <c r="B1402" s="2">
        <v>5</v>
      </c>
      <c r="C1402" s="2">
        <v>11529290.720000001</v>
      </c>
      <c r="D1402" s="2">
        <v>0.6</v>
      </c>
      <c r="E1402" s="2">
        <v>36445237.649999999</v>
      </c>
      <c r="F1402" s="2">
        <v>-52650030.399999999</v>
      </c>
      <c r="G1402" s="2">
        <v>3</v>
      </c>
      <c r="H1402" s="2">
        <v>2</v>
      </c>
      <c r="I1402" s="2">
        <v>4</v>
      </c>
      <c r="J1402" s="2">
        <v>2.9</v>
      </c>
      <c r="K1402" s="2" t="s">
        <v>1268</v>
      </c>
      <c r="L1402" s="2" t="str">
        <f t="shared" si="126"/>
        <v>Profitable</v>
      </c>
      <c r="M1402" s="2" t="str">
        <f t="shared" si="127"/>
        <v>Stable Earnings</v>
      </c>
      <c r="N1402" s="2" t="str">
        <f t="shared" si="128"/>
        <v>Low Quality</v>
      </c>
      <c r="O1402" s="4" t="str">
        <f t="shared" si="129"/>
        <v>Accounting Risk</v>
      </c>
      <c r="P1402" s="4" t="str">
        <f t="shared" si="130"/>
        <v>Low Quality</v>
      </c>
      <c r="Q1402" s="4" t="str">
        <f t="shared" si="131"/>
        <v>Strong Long-Term Growth</v>
      </c>
    </row>
    <row r="1403" spans="1:17" x14ac:dyDescent="0.35">
      <c r="A1403" s="2" t="s">
        <v>1414</v>
      </c>
      <c r="B1403" s="2">
        <v>5</v>
      </c>
      <c r="C1403" s="2">
        <v>1559090.54</v>
      </c>
      <c r="D1403" s="2">
        <v>0.8</v>
      </c>
      <c r="E1403" s="2">
        <v>31473629.460000001</v>
      </c>
      <c r="F1403" s="2">
        <v>-39879124.700000003</v>
      </c>
      <c r="G1403" s="2">
        <v>3</v>
      </c>
      <c r="H1403" s="2">
        <v>2</v>
      </c>
      <c r="I1403" s="2">
        <v>4</v>
      </c>
      <c r="J1403" s="2">
        <v>2.9</v>
      </c>
      <c r="K1403" s="2" t="s">
        <v>1268</v>
      </c>
      <c r="L1403" s="2" t="str">
        <f t="shared" si="126"/>
        <v>Profitable</v>
      </c>
      <c r="M1403" s="2" t="str">
        <f t="shared" si="127"/>
        <v>Stable Earnings</v>
      </c>
      <c r="N1403" s="2" t="str">
        <f t="shared" si="128"/>
        <v>Low Quality</v>
      </c>
      <c r="O1403" s="4" t="str">
        <f t="shared" si="129"/>
        <v>Accounting Risk</v>
      </c>
      <c r="P1403" s="4" t="str">
        <f t="shared" si="130"/>
        <v>Low Quality</v>
      </c>
      <c r="Q1403" s="4" t="str">
        <f t="shared" si="131"/>
        <v>Strong Long-Term Growth</v>
      </c>
    </row>
    <row r="1404" spans="1:17" x14ac:dyDescent="0.35">
      <c r="A1404" s="2" t="s">
        <v>1415</v>
      </c>
      <c r="B1404" s="2">
        <v>5</v>
      </c>
      <c r="C1404" s="2">
        <v>3940595.38</v>
      </c>
      <c r="D1404" s="2">
        <v>0.6</v>
      </c>
      <c r="E1404" s="2">
        <v>16300027.699999999</v>
      </c>
      <c r="F1404" s="2">
        <v>-44447980.899999999</v>
      </c>
      <c r="G1404" s="2">
        <v>3</v>
      </c>
      <c r="H1404" s="2">
        <v>2</v>
      </c>
      <c r="I1404" s="2">
        <v>4</v>
      </c>
      <c r="J1404" s="2">
        <v>2.9</v>
      </c>
      <c r="K1404" s="2" t="s">
        <v>1268</v>
      </c>
      <c r="L1404" s="2" t="str">
        <f t="shared" si="126"/>
        <v>Profitable</v>
      </c>
      <c r="M1404" s="2" t="str">
        <f t="shared" si="127"/>
        <v>Stable Earnings</v>
      </c>
      <c r="N1404" s="2" t="str">
        <f t="shared" si="128"/>
        <v>Low Quality</v>
      </c>
      <c r="O1404" s="4" t="str">
        <f t="shared" si="129"/>
        <v>Accounting Risk</v>
      </c>
      <c r="P1404" s="4" t="str">
        <f t="shared" si="130"/>
        <v>Low Quality</v>
      </c>
      <c r="Q1404" s="4" t="str">
        <f t="shared" si="131"/>
        <v>Strong Long-Term Growth</v>
      </c>
    </row>
    <row r="1405" spans="1:17" x14ac:dyDescent="0.35">
      <c r="A1405" s="2" t="s">
        <v>1416</v>
      </c>
      <c r="B1405" s="2">
        <v>5</v>
      </c>
      <c r="C1405" s="2">
        <v>-11723405.84</v>
      </c>
      <c r="D1405" s="2">
        <v>0.6</v>
      </c>
      <c r="E1405" s="2">
        <v>38790329.229999997</v>
      </c>
      <c r="F1405" s="2">
        <v>-49844513.399999999</v>
      </c>
      <c r="G1405" s="2">
        <v>3</v>
      </c>
      <c r="H1405" s="2">
        <v>2</v>
      </c>
      <c r="I1405" s="2">
        <v>4</v>
      </c>
      <c r="J1405" s="2">
        <v>2.9</v>
      </c>
      <c r="K1405" s="2" t="s">
        <v>1268</v>
      </c>
      <c r="L1405" s="2" t="str">
        <f t="shared" si="126"/>
        <v>Loss Making</v>
      </c>
      <c r="M1405" s="2" t="str">
        <f t="shared" si="127"/>
        <v>Stable Earnings</v>
      </c>
      <c r="N1405" s="2" t="str">
        <f t="shared" si="128"/>
        <v>Low Quality</v>
      </c>
      <c r="O1405" s="4" t="str">
        <f t="shared" si="129"/>
        <v>Accounting Risk</v>
      </c>
      <c r="P1405" s="4" t="str">
        <f t="shared" si="130"/>
        <v>Low Quality</v>
      </c>
      <c r="Q1405" s="4" t="str">
        <f t="shared" si="131"/>
        <v>Strong Long-Term Growth</v>
      </c>
    </row>
    <row r="1406" spans="1:17" x14ac:dyDescent="0.35">
      <c r="A1406" s="2" t="s">
        <v>1417</v>
      </c>
      <c r="B1406" s="2">
        <v>5</v>
      </c>
      <c r="C1406" s="2">
        <v>23985933.539999999</v>
      </c>
      <c r="D1406" s="2">
        <v>0.8</v>
      </c>
      <c r="E1406" s="2">
        <v>39727643</v>
      </c>
      <c r="F1406" s="2">
        <v>-48222718.5</v>
      </c>
      <c r="G1406" s="2">
        <v>3</v>
      </c>
      <c r="H1406" s="2">
        <v>2</v>
      </c>
      <c r="I1406" s="2">
        <v>4</v>
      </c>
      <c r="J1406" s="2">
        <v>2.9</v>
      </c>
      <c r="K1406" s="2" t="s">
        <v>1268</v>
      </c>
      <c r="L1406" s="2" t="str">
        <f t="shared" si="126"/>
        <v>Profitable</v>
      </c>
      <c r="M1406" s="2" t="str">
        <f t="shared" si="127"/>
        <v>Stable Earnings</v>
      </c>
      <c r="N1406" s="2" t="str">
        <f t="shared" si="128"/>
        <v>Low Quality</v>
      </c>
      <c r="O1406" s="4" t="str">
        <f t="shared" si="129"/>
        <v>Accounting Risk</v>
      </c>
      <c r="P1406" s="4" t="str">
        <f t="shared" si="130"/>
        <v>Low Quality</v>
      </c>
      <c r="Q1406" s="4" t="str">
        <f t="shared" si="131"/>
        <v>Strong Long-Term Growth</v>
      </c>
    </row>
    <row r="1407" spans="1:17" x14ac:dyDescent="0.35">
      <c r="A1407" s="2" t="s">
        <v>1418</v>
      </c>
      <c r="B1407" s="2">
        <v>5</v>
      </c>
      <c r="C1407" s="2">
        <v>203531345.59999999</v>
      </c>
      <c r="D1407" s="2">
        <v>1</v>
      </c>
      <c r="E1407" s="2">
        <v>158387442.80000001</v>
      </c>
      <c r="F1407" s="2">
        <v>4968995.5</v>
      </c>
      <c r="G1407" s="2">
        <v>2</v>
      </c>
      <c r="H1407" s="2">
        <v>4</v>
      </c>
      <c r="I1407" s="2">
        <v>3</v>
      </c>
      <c r="J1407" s="2">
        <v>2.8</v>
      </c>
      <c r="K1407" s="2" t="s">
        <v>1268</v>
      </c>
      <c r="L1407" s="2" t="str">
        <f t="shared" si="126"/>
        <v>Profitable</v>
      </c>
      <c r="M1407" s="2" t="str">
        <f t="shared" si="127"/>
        <v>Stable Earnings</v>
      </c>
      <c r="N1407" s="2" t="str">
        <f t="shared" si="128"/>
        <v>Low Quality</v>
      </c>
      <c r="O1407" s="4" t="str">
        <f t="shared" si="129"/>
        <v>Operational Growth</v>
      </c>
      <c r="P1407" s="4" t="str">
        <f t="shared" si="130"/>
        <v>Low Quality</v>
      </c>
      <c r="Q1407" s="4" t="str">
        <f t="shared" si="131"/>
        <v>Moderate Growth</v>
      </c>
    </row>
    <row r="1408" spans="1:17" x14ac:dyDescent="0.35">
      <c r="A1408" s="2" t="s">
        <v>1419</v>
      </c>
      <c r="B1408" s="2">
        <v>5</v>
      </c>
      <c r="C1408" s="2">
        <v>773447634.20000005</v>
      </c>
      <c r="D1408" s="2">
        <v>1</v>
      </c>
      <c r="E1408" s="2">
        <v>613785848.39999998</v>
      </c>
      <c r="F1408" s="2">
        <v>-21163651.899999999</v>
      </c>
      <c r="G1408" s="2">
        <v>1</v>
      </c>
      <c r="H1408" s="2">
        <v>5</v>
      </c>
      <c r="I1408" s="2">
        <v>4</v>
      </c>
      <c r="J1408" s="2">
        <v>2.8</v>
      </c>
      <c r="K1408" s="2" t="s">
        <v>1268</v>
      </c>
      <c r="L1408" s="2" t="str">
        <f t="shared" si="126"/>
        <v>Profitable</v>
      </c>
      <c r="M1408" s="2" t="str">
        <f t="shared" si="127"/>
        <v>High Volatility</v>
      </c>
      <c r="N1408" s="2" t="str">
        <f t="shared" si="128"/>
        <v>Low Quality</v>
      </c>
      <c r="O1408" s="4" t="str">
        <f t="shared" si="129"/>
        <v>Accounting Risk</v>
      </c>
      <c r="P1408" s="4" t="str">
        <f t="shared" si="130"/>
        <v>Low Quality</v>
      </c>
      <c r="Q1408" s="4" t="str">
        <f t="shared" si="131"/>
        <v>Strong Long-Term Growth</v>
      </c>
    </row>
    <row r="1409" spans="1:17" x14ac:dyDescent="0.35">
      <c r="A1409" s="2" t="s">
        <v>1420</v>
      </c>
      <c r="B1409" s="2">
        <v>5</v>
      </c>
      <c r="C1409" s="2">
        <v>2199740684</v>
      </c>
      <c r="D1409" s="2">
        <v>1</v>
      </c>
      <c r="E1409" s="2">
        <v>431810940.69999999</v>
      </c>
      <c r="F1409" s="2">
        <v>-29551852</v>
      </c>
      <c r="G1409" s="2">
        <v>1</v>
      </c>
      <c r="H1409" s="2">
        <v>5</v>
      </c>
      <c r="I1409" s="2">
        <v>4</v>
      </c>
      <c r="J1409" s="2">
        <v>2.8</v>
      </c>
      <c r="K1409" s="2" t="s">
        <v>1268</v>
      </c>
      <c r="L1409" s="2" t="str">
        <f t="shared" si="126"/>
        <v>Profitable</v>
      </c>
      <c r="M1409" s="2" t="str">
        <f t="shared" si="127"/>
        <v>High Volatility</v>
      </c>
      <c r="N1409" s="2" t="str">
        <f t="shared" si="128"/>
        <v>Low Quality</v>
      </c>
      <c r="O1409" s="4" t="str">
        <f t="shared" si="129"/>
        <v>Accounting Risk</v>
      </c>
      <c r="P1409" s="4" t="str">
        <f t="shared" si="130"/>
        <v>Low Quality</v>
      </c>
      <c r="Q1409" s="4" t="str">
        <f t="shared" si="131"/>
        <v>Strong Long-Term Growth</v>
      </c>
    </row>
    <row r="1410" spans="1:17" x14ac:dyDescent="0.35">
      <c r="A1410" s="2" t="s">
        <v>1421</v>
      </c>
      <c r="B1410" s="2">
        <v>5</v>
      </c>
      <c r="C1410" s="2">
        <v>1221926342</v>
      </c>
      <c r="D1410" s="2">
        <v>1</v>
      </c>
      <c r="E1410" s="2">
        <v>516263559.69999999</v>
      </c>
      <c r="F1410" s="2">
        <v>-28674809.600000001</v>
      </c>
      <c r="G1410" s="2">
        <v>1</v>
      </c>
      <c r="H1410" s="2">
        <v>5</v>
      </c>
      <c r="I1410" s="2">
        <v>4</v>
      </c>
      <c r="J1410" s="2">
        <v>2.8</v>
      </c>
      <c r="K1410" s="2" t="s">
        <v>1268</v>
      </c>
      <c r="L1410" s="2" t="str">
        <f t="shared" ref="L1410:L1473" si="132">IF(C1410&gt;0,"Profitable","Loss Making")</f>
        <v>Profitable</v>
      </c>
      <c r="M1410" s="2" t="str">
        <f t="shared" ref="M1410:M1473" si="133">IF(C1410&gt;500000000,"High Volatility","Stable Earnings")</f>
        <v>High Volatility</v>
      </c>
      <c r="N1410" s="2" t="str">
        <f t="shared" ref="N1410:N1473" si="134">IF(G1410&gt;=7,"High Quality",IF(G1410&gt;=4,"Moderate","Low Quality"))</f>
        <v>Low Quality</v>
      </c>
      <c r="O1410" s="4" t="str">
        <f t="shared" ref="O1410:O1473" si="135">IF(AND(F1410&gt;0,D1410&gt;0.6),"Operational Growth","Accounting Risk")</f>
        <v>Accounting Risk</v>
      </c>
      <c r="P1410" s="4" t="str">
        <f t="shared" ref="P1410:P1473" si="136">IF(G1410&gt;=7,"High Quality", IF(G1410&gt;=4,"Moderate","Low Quality"))</f>
        <v>Low Quality</v>
      </c>
      <c r="Q1410" s="4" t="str">
        <f t="shared" ref="Q1410:Q1473" si="137">IF(I1410&gt;=4,"Strong Long-Term Growth",IF(I1410&gt;=2,"Moderate Growth","Weak Growth"))</f>
        <v>Strong Long-Term Growth</v>
      </c>
    </row>
    <row r="1411" spans="1:17" x14ac:dyDescent="0.35">
      <c r="A1411" s="2" t="s">
        <v>1422</v>
      </c>
      <c r="B1411" s="2">
        <v>5</v>
      </c>
      <c r="C1411" s="2">
        <v>2719314.12</v>
      </c>
      <c r="D1411" s="2">
        <v>0.4</v>
      </c>
      <c r="E1411" s="2">
        <v>85517437.480000004</v>
      </c>
      <c r="F1411" s="2">
        <v>183792607.09999999</v>
      </c>
      <c r="G1411" s="2">
        <v>3</v>
      </c>
      <c r="H1411" s="2">
        <v>3</v>
      </c>
      <c r="I1411" s="2">
        <v>2</v>
      </c>
      <c r="J1411" s="2">
        <v>2.8</v>
      </c>
      <c r="K1411" s="2" t="s">
        <v>1268</v>
      </c>
      <c r="L1411" s="2" t="str">
        <f t="shared" si="132"/>
        <v>Profitable</v>
      </c>
      <c r="M1411" s="2" t="str">
        <f t="shared" si="133"/>
        <v>Stable Earnings</v>
      </c>
      <c r="N1411" s="2" t="str">
        <f t="shared" si="134"/>
        <v>Low Quality</v>
      </c>
      <c r="O1411" s="4" t="str">
        <f t="shared" si="135"/>
        <v>Accounting Risk</v>
      </c>
      <c r="P1411" s="4" t="str">
        <f t="shared" si="136"/>
        <v>Low Quality</v>
      </c>
      <c r="Q1411" s="4" t="str">
        <f t="shared" si="137"/>
        <v>Moderate Growth</v>
      </c>
    </row>
    <row r="1412" spans="1:17" x14ac:dyDescent="0.35">
      <c r="A1412" s="2" t="s">
        <v>1423</v>
      </c>
      <c r="B1412" s="2">
        <v>5</v>
      </c>
      <c r="C1412" s="2">
        <v>39542033.200000003</v>
      </c>
      <c r="D1412" s="2">
        <v>0.6</v>
      </c>
      <c r="E1412" s="2">
        <v>80276333.459999993</v>
      </c>
      <c r="F1412" s="2">
        <v>178407942.69999999</v>
      </c>
      <c r="G1412" s="2">
        <v>3</v>
      </c>
      <c r="H1412" s="2">
        <v>3</v>
      </c>
      <c r="I1412" s="2">
        <v>2</v>
      </c>
      <c r="J1412" s="2">
        <v>2.8</v>
      </c>
      <c r="K1412" s="2" t="s">
        <v>1268</v>
      </c>
      <c r="L1412" s="2" t="str">
        <f t="shared" si="132"/>
        <v>Profitable</v>
      </c>
      <c r="M1412" s="2" t="str">
        <f t="shared" si="133"/>
        <v>Stable Earnings</v>
      </c>
      <c r="N1412" s="2" t="str">
        <f t="shared" si="134"/>
        <v>Low Quality</v>
      </c>
      <c r="O1412" s="4" t="str">
        <f t="shared" si="135"/>
        <v>Accounting Risk</v>
      </c>
      <c r="P1412" s="4" t="str">
        <f t="shared" si="136"/>
        <v>Low Quality</v>
      </c>
      <c r="Q1412" s="4" t="str">
        <f t="shared" si="137"/>
        <v>Moderate Growth</v>
      </c>
    </row>
    <row r="1413" spans="1:17" x14ac:dyDescent="0.35">
      <c r="A1413" s="2" t="s">
        <v>1424</v>
      </c>
      <c r="B1413" s="2">
        <v>5</v>
      </c>
      <c r="C1413" s="2">
        <v>-12587575.58</v>
      </c>
      <c r="D1413" s="2">
        <v>0.6</v>
      </c>
      <c r="E1413" s="2">
        <v>92816017.909999996</v>
      </c>
      <c r="F1413" s="2">
        <v>173887855.09999999</v>
      </c>
      <c r="G1413" s="2">
        <v>3</v>
      </c>
      <c r="H1413" s="2">
        <v>3</v>
      </c>
      <c r="I1413" s="2">
        <v>2</v>
      </c>
      <c r="J1413" s="2">
        <v>2.8</v>
      </c>
      <c r="K1413" s="2" t="s">
        <v>1268</v>
      </c>
      <c r="L1413" s="2" t="str">
        <f t="shared" si="132"/>
        <v>Loss Making</v>
      </c>
      <c r="M1413" s="2" t="str">
        <f t="shared" si="133"/>
        <v>Stable Earnings</v>
      </c>
      <c r="N1413" s="2" t="str">
        <f t="shared" si="134"/>
        <v>Low Quality</v>
      </c>
      <c r="O1413" s="4" t="str">
        <f t="shared" si="135"/>
        <v>Accounting Risk</v>
      </c>
      <c r="P1413" s="4" t="str">
        <f t="shared" si="136"/>
        <v>Low Quality</v>
      </c>
      <c r="Q1413" s="4" t="str">
        <f t="shared" si="137"/>
        <v>Moderate Growth</v>
      </c>
    </row>
    <row r="1414" spans="1:17" x14ac:dyDescent="0.35">
      <c r="A1414" s="2" t="s">
        <v>1425</v>
      </c>
      <c r="B1414" s="2">
        <v>5</v>
      </c>
      <c r="C1414" s="2">
        <v>58917411.840000004</v>
      </c>
      <c r="D1414" s="2">
        <v>0.8</v>
      </c>
      <c r="E1414" s="2">
        <v>63790241.270000003</v>
      </c>
      <c r="F1414" s="2">
        <v>158016392.5</v>
      </c>
      <c r="G1414" s="2">
        <v>3</v>
      </c>
      <c r="H1414" s="2">
        <v>3</v>
      </c>
      <c r="I1414" s="2">
        <v>2</v>
      </c>
      <c r="J1414" s="2">
        <v>2.8</v>
      </c>
      <c r="K1414" s="2" t="s">
        <v>1268</v>
      </c>
      <c r="L1414" s="2" t="str">
        <f t="shared" si="132"/>
        <v>Profitable</v>
      </c>
      <c r="M1414" s="2" t="str">
        <f t="shared" si="133"/>
        <v>Stable Earnings</v>
      </c>
      <c r="N1414" s="2" t="str">
        <f t="shared" si="134"/>
        <v>Low Quality</v>
      </c>
      <c r="O1414" s="4" t="str">
        <f t="shared" si="135"/>
        <v>Operational Growth</v>
      </c>
      <c r="P1414" s="4" t="str">
        <f t="shared" si="136"/>
        <v>Low Quality</v>
      </c>
      <c r="Q1414" s="4" t="str">
        <f t="shared" si="137"/>
        <v>Moderate Growth</v>
      </c>
    </row>
    <row r="1415" spans="1:17" x14ac:dyDescent="0.35">
      <c r="A1415" s="2" t="s">
        <v>1426</v>
      </c>
      <c r="B1415" s="2">
        <v>5</v>
      </c>
      <c r="C1415" s="2">
        <v>42060364.340000004</v>
      </c>
      <c r="D1415" s="2">
        <v>0.6</v>
      </c>
      <c r="E1415" s="2">
        <v>99513274.950000003</v>
      </c>
      <c r="F1415" s="2">
        <v>129395368.7</v>
      </c>
      <c r="G1415" s="2">
        <v>3</v>
      </c>
      <c r="H1415" s="2">
        <v>3</v>
      </c>
      <c r="I1415" s="2">
        <v>2</v>
      </c>
      <c r="J1415" s="2">
        <v>2.8</v>
      </c>
      <c r="K1415" s="2" t="s">
        <v>1268</v>
      </c>
      <c r="L1415" s="2" t="str">
        <f t="shared" si="132"/>
        <v>Profitable</v>
      </c>
      <c r="M1415" s="2" t="str">
        <f t="shared" si="133"/>
        <v>Stable Earnings</v>
      </c>
      <c r="N1415" s="2" t="str">
        <f t="shared" si="134"/>
        <v>Low Quality</v>
      </c>
      <c r="O1415" s="4" t="str">
        <f t="shared" si="135"/>
        <v>Accounting Risk</v>
      </c>
      <c r="P1415" s="4" t="str">
        <f t="shared" si="136"/>
        <v>Low Quality</v>
      </c>
      <c r="Q1415" s="4" t="str">
        <f t="shared" si="137"/>
        <v>Moderate Growth</v>
      </c>
    </row>
    <row r="1416" spans="1:17" x14ac:dyDescent="0.35">
      <c r="A1416" s="2" t="s">
        <v>1427</v>
      </c>
      <c r="B1416" s="2">
        <v>5</v>
      </c>
      <c r="C1416" s="2">
        <v>63783915.359999999</v>
      </c>
      <c r="D1416" s="2">
        <v>0.6</v>
      </c>
      <c r="E1416" s="2">
        <v>101443811.7</v>
      </c>
      <c r="F1416" s="2">
        <v>128247404.40000001</v>
      </c>
      <c r="G1416" s="2">
        <v>3</v>
      </c>
      <c r="H1416" s="2">
        <v>3</v>
      </c>
      <c r="I1416" s="2">
        <v>2</v>
      </c>
      <c r="J1416" s="2">
        <v>2.8</v>
      </c>
      <c r="K1416" s="2" t="s">
        <v>1268</v>
      </c>
      <c r="L1416" s="2" t="str">
        <f t="shared" si="132"/>
        <v>Profitable</v>
      </c>
      <c r="M1416" s="2" t="str">
        <f t="shared" si="133"/>
        <v>Stable Earnings</v>
      </c>
      <c r="N1416" s="2" t="str">
        <f t="shared" si="134"/>
        <v>Low Quality</v>
      </c>
      <c r="O1416" s="4" t="str">
        <f t="shared" si="135"/>
        <v>Accounting Risk</v>
      </c>
      <c r="P1416" s="4" t="str">
        <f t="shared" si="136"/>
        <v>Low Quality</v>
      </c>
      <c r="Q1416" s="4" t="str">
        <f t="shared" si="137"/>
        <v>Moderate Growth</v>
      </c>
    </row>
    <row r="1417" spans="1:17" x14ac:dyDescent="0.35">
      <c r="A1417" s="2" t="s">
        <v>1428</v>
      </c>
      <c r="B1417" s="2">
        <v>5</v>
      </c>
      <c r="C1417" s="2">
        <v>48652967</v>
      </c>
      <c r="D1417" s="2">
        <v>0.6</v>
      </c>
      <c r="E1417" s="2">
        <v>60641475.200000003</v>
      </c>
      <c r="F1417" s="2">
        <v>120597559.59999999</v>
      </c>
      <c r="G1417" s="2">
        <v>3</v>
      </c>
      <c r="H1417" s="2">
        <v>3</v>
      </c>
      <c r="I1417" s="2">
        <v>2</v>
      </c>
      <c r="J1417" s="2">
        <v>2.8</v>
      </c>
      <c r="K1417" s="2" t="s">
        <v>1268</v>
      </c>
      <c r="L1417" s="2" t="str">
        <f t="shared" si="132"/>
        <v>Profitable</v>
      </c>
      <c r="M1417" s="2" t="str">
        <f t="shared" si="133"/>
        <v>Stable Earnings</v>
      </c>
      <c r="N1417" s="2" t="str">
        <f t="shared" si="134"/>
        <v>Low Quality</v>
      </c>
      <c r="O1417" s="4" t="str">
        <f t="shared" si="135"/>
        <v>Accounting Risk</v>
      </c>
      <c r="P1417" s="4" t="str">
        <f t="shared" si="136"/>
        <v>Low Quality</v>
      </c>
      <c r="Q1417" s="4" t="str">
        <f t="shared" si="137"/>
        <v>Moderate Growth</v>
      </c>
    </row>
    <row r="1418" spans="1:17" x14ac:dyDescent="0.35">
      <c r="A1418" s="2" t="s">
        <v>1429</v>
      </c>
      <c r="B1418" s="2">
        <v>5</v>
      </c>
      <c r="C1418" s="2">
        <v>-14875608.460000001</v>
      </c>
      <c r="D1418" s="2">
        <v>0.6</v>
      </c>
      <c r="E1418" s="2">
        <v>91908757.540000007</v>
      </c>
      <c r="F1418" s="2">
        <v>105323090.59999999</v>
      </c>
      <c r="G1418" s="2">
        <v>3</v>
      </c>
      <c r="H1418" s="2">
        <v>3</v>
      </c>
      <c r="I1418" s="2">
        <v>2</v>
      </c>
      <c r="J1418" s="2">
        <v>2.8</v>
      </c>
      <c r="K1418" s="2" t="s">
        <v>1268</v>
      </c>
      <c r="L1418" s="2" t="str">
        <f t="shared" si="132"/>
        <v>Loss Making</v>
      </c>
      <c r="M1418" s="2" t="str">
        <f t="shared" si="133"/>
        <v>Stable Earnings</v>
      </c>
      <c r="N1418" s="2" t="str">
        <f t="shared" si="134"/>
        <v>Low Quality</v>
      </c>
      <c r="O1418" s="4" t="str">
        <f t="shared" si="135"/>
        <v>Accounting Risk</v>
      </c>
      <c r="P1418" s="4" t="str">
        <f t="shared" si="136"/>
        <v>Low Quality</v>
      </c>
      <c r="Q1418" s="4" t="str">
        <f t="shared" si="137"/>
        <v>Moderate Growth</v>
      </c>
    </row>
    <row r="1419" spans="1:17" x14ac:dyDescent="0.35">
      <c r="A1419" s="2" t="s">
        <v>1430</v>
      </c>
      <c r="B1419" s="2">
        <v>5</v>
      </c>
      <c r="C1419" s="2">
        <v>-6605344.5</v>
      </c>
      <c r="D1419" s="2">
        <v>0.6</v>
      </c>
      <c r="E1419" s="2">
        <v>79801538.540000007</v>
      </c>
      <c r="F1419" s="2">
        <v>104451426.7</v>
      </c>
      <c r="G1419" s="2">
        <v>3</v>
      </c>
      <c r="H1419" s="2">
        <v>3</v>
      </c>
      <c r="I1419" s="2">
        <v>2</v>
      </c>
      <c r="J1419" s="2">
        <v>2.8</v>
      </c>
      <c r="K1419" s="2" t="s">
        <v>1268</v>
      </c>
      <c r="L1419" s="2" t="str">
        <f t="shared" si="132"/>
        <v>Loss Making</v>
      </c>
      <c r="M1419" s="2" t="str">
        <f t="shared" si="133"/>
        <v>Stable Earnings</v>
      </c>
      <c r="N1419" s="2" t="str">
        <f t="shared" si="134"/>
        <v>Low Quality</v>
      </c>
      <c r="O1419" s="4" t="str">
        <f t="shared" si="135"/>
        <v>Accounting Risk</v>
      </c>
      <c r="P1419" s="4" t="str">
        <f t="shared" si="136"/>
        <v>Low Quality</v>
      </c>
      <c r="Q1419" s="4" t="str">
        <f t="shared" si="137"/>
        <v>Moderate Growth</v>
      </c>
    </row>
    <row r="1420" spans="1:17" x14ac:dyDescent="0.35">
      <c r="A1420" s="2" t="s">
        <v>1431</v>
      </c>
      <c r="B1420" s="2">
        <v>5</v>
      </c>
      <c r="C1420" s="2">
        <v>-2969984.44</v>
      </c>
      <c r="D1420" s="2">
        <v>0.6</v>
      </c>
      <c r="E1420" s="2">
        <v>104014079.09999999</v>
      </c>
      <c r="F1420" s="2">
        <v>111153003.5</v>
      </c>
      <c r="G1420" s="2">
        <v>3</v>
      </c>
      <c r="H1420" s="2">
        <v>3</v>
      </c>
      <c r="I1420" s="2">
        <v>2</v>
      </c>
      <c r="J1420" s="2">
        <v>2.8</v>
      </c>
      <c r="K1420" s="2" t="s">
        <v>1268</v>
      </c>
      <c r="L1420" s="2" t="str">
        <f t="shared" si="132"/>
        <v>Loss Making</v>
      </c>
      <c r="M1420" s="2" t="str">
        <f t="shared" si="133"/>
        <v>Stable Earnings</v>
      </c>
      <c r="N1420" s="2" t="str">
        <f t="shared" si="134"/>
        <v>Low Quality</v>
      </c>
      <c r="O1420" s="4" t="str">
        <f t="shared" si="135"/>
        <v>Accounting Risk</v>
      </c>
      <c r="P1420" s="4" t="str">
        <f t="shared" si="136"/>
        <v>Low Quality</v>
      </c>
      <c r="Q1420" s="4" t="str">
        <f t="shared" si="137"/>
        <v>Moderate Growth</v>
      </c>
    </row>
    <row r="1421" spans="1:17" x14ac:dyDescent="0.35">
      <c r="A1421" s="2" t="s">
        <v>1432</v>
      </c>
      <c r="B1421" s="2">
        <v>5</v>
      </c>
      <c r="C1421" s="2">
        <v>47918858.539999999</v>
      </c>
      <c r="D1421" s="2">
        <v>0.6</v>
      </c>
      <c r="E1421" s="2">
        <v>60346463.439999998</v>
      </c>
      <c r="F1421" s="2">
        <v>107526784.59999999</v>
      </c>
      <c r="G1421" s="2">
        <v>3</v>
      </c>
      <c r="H1421" s="2">
        <v>3</v>
      </c>
      <c r="I1421" s="2">
        <v>2</v>
      </c>
      <c r="J1421" s="2">
        <v>2.8</v>
      </c>
      <c r="K1421" s="2" t="s">
        <v>1268</v>
      </c>
      <c r="L1421" s="2" t="str">
        <f t="shared" si="132"/>
        <v>Profitable</v>
      </c>
      <c r="M1421" s="2" t="str">
        <f t="shared" si="133"/>
        <v>Stable Earnings</v>
      </c>
      <c r="N1421" s="2" t="str">
        <f t="shared" si="134"/>
        <v>Low Quality</v>
      </c>
      <c r="O1421" s="4" t="str">
        <f t="shared" si="135"/>
        <v>Accounting Risk</v>
      </c>
      <c r="P1421" s="4" t="str">
        <f t="shared" si="136"/>
        <v>Low Quality</v>
      </c>
      <c r="Q1421" s="4" t="str">
        <f t="shared" si="137"/>
        <v>Moderate Growth</v>
      </c>
    </row>
    <row r="1422" spans="1:17" x14ac:dyDescent="0.35">
      <c r="A1422" s="2" t="s">
        <v>1433</v>
      </c>
      <c r="B1422" s="2">
        <v>5</v>
      </c>
      <c r="C1422" s="2">
        <v>111595882.3</v>
      </c>
      <c r="D1422" s="2">
        <v>0.8</v>
      </c>
      <c r="E1422" s="2">
        <v>106712458</v>
      </c>
      <c r="F1422" s="2">
        <v>96691107.599999994</v>
      </c>
      <c r="G1422" s="2">
        <v>3</v>
      </c>
      <c r="H1422" s="2">
        <v>3</v>
      </c>
      <c r="I1422" s="2">
        <v>2</v>
      </c>
      <c r="J1422" s="2">
        <v>2.8</v>
      </c>
      <c r="K1422" s="2" t="s">
        <v>1268</v>
      </c>
      <c r="L1422" s="2" t="str">
        <f t="shared" si="132"/>
        <v>Profitable</v>
      </c>
      <c r="M1422" s="2" t="str">
        <f t="shared" si="133"/>
        <v>Stable Earnings</v>
      </c>
      <c r="N1422" s="2" t="str">
        <f t="shared" si="134"/>
        <v>Low Quality</v>
      </c>
      <c r="O1422" s="4" t="str">
        <f t="shared" si="135"/>
        <v>Operational Growth</v>
      </c>
      <c r="P1422" s="4" t="str">
        <f t="shared" si="136"/>
        <v>Low Quality</v>
      </c>
      <c r="Q1422" s="4" t="str">
        <f t="shared" si="137"/>
        <v>Moderate Growth</v>
      </c>
    </row>
    <row r="1423" spans="1:17" x14ac:dyDescent="0.35">
      <c r="A1423" s="2" t="s">
        <v>1434</v>
      </c>
      <c r="B1423" s="2">
        <v>5</v>
      </c>
      <c r="C1423" s="2">
        <v>71054441.480000004</v>
      </c>
      <c r="D1423" s="2">
        <v>0.8</v>
      </c>
      <c r="E1423" s="2">
        <v>71728778.840000004</v>
      </c>
      <c r="F1423" s="2">
        <v>99424054.099999994</v>
      </c>
      <c r="G1423" s="2">
        <v>3</v>
      </c>
      <c r="H1423" s="2">
        <v>3</v>
      </c>
      <c r="I1423" s="2">
        <v>2</v>
      </c>
      <c r="J1423" s="2">
        <v>2.8</v>
      </c>
      <c r="K1423" s="2" t="s">
        <v>1268</v>
      </c>
      <c r="L1423" s="2" t="str">
        <f t="shared" si="132"/>
        <v>Profitable</v>
      </c>
      <c r="M1423" s="2" t="str">
        <f t="shared" si="133"/>
        <v>Stable Earnings</v>
      </c>
      <c r="N1423" s="2" t="str">
        <f t="shared" si="134"/>
        <v>Low Quality</v>
      </c>
      <c r="O1423" s="4" t="str">
        <f t="shared" si="135"/>
        <v>Operational Growth</v>
      </c>
      <c r="P1423" s="4" t="str">
        <f t="shared" si="136"/>
        <v>Low Quality</v>
      </c>
      <c r="Q1423" s="4" t="str">
        <f t="shared" si="137"/>
        <v>Moderate Growth</v>
      </c>
    </row>
    <row r="1424" spans="1:17" x14ac:dyDescent="0.35">
      <c r="A1424" s="2" t="s">
        <v>1435</v>
      </c>
      <c r="B1424" s="2">
        <v>5</v>
      </c>
      <c r="C1424" s="2">
        <v>36200550.960000001</v>
      </c>
      <c r="D1424" s="2">
        <v>0.6</v>
      </c>
      <c r="E1424" s="2">
        <v>107429860.40000001</v>
      </c>
      <c r="F1424" s="2">
        <v>80802833</v>
      </c>
      <c r="G1424" s="2">
        <v>3</v>
      </c>
      <c r="H1424" s="2">
        <v>3</v>
      </c>
      <c r="I1424" s="2">
        <v>2</v>
      </c>
      <c r="J1424" s="2">
        <v>2.8</v>
      </c>
      <c r="K1424" s="2" t="s">
        <v>1268</v>
      </c>
      <c r="L1424" s="2" t="str">
        <f t="shared" si="132"/>
        <v>Profitable</v>
      </c>
      <c r="M1424" s="2" t="str">
        <f t="shared" si="133"/>
        <v>Stable Earnings</v>
      </c>
      <c r="N1424" s="2" t="str">
        <f t="shared" si="134"/>
        <v>Low Quality</v>
      </c>
      <c r="O1424" s="4" t="str">
        <f t="shared" si="135"/>
        <v>Accounting Risk</v>
      </c>
      <c r="P1424" s="4" t="str">
        <f t="shared" si="136"/>
        <v>Low Quality</v>
      </c>
      <c r="Q1424" s="4" t="str">
        <f t="shared" si="137"/>
        <v>Moderate Growth</v>
      </c>
    </row>
    <row r="1425" spans="1:17" x14ac:dyDescent="0.35">
      <c r="A1425" s="2" t="s">
        <v>1436</v>
      </c>
      <c r="B1425" s="2">
        <v>5</v>
      </c>
      <c r="C1425" s="2">
        <v>31386471.460000001</v>
      </c>
      <c r="D1425" s="2">
        <v>0.6</v>
      </c>
      <c r="E1425" s="2">
        <v>50239927.5</v>
      </c>
      <c r="F1425" s="2">
        <v>79413328.200000003</v>
      </c>
      <c r="G1425" s="2">
        <v>3</v>
      </c>
      <c r="H1425" s="2">
        <v>3</v>
      </c>
      <c r="I1425" s="2">
        <v>2</v>
      </c>
      <c r="J1425" s="2">
        <v>2.8</v>
      </c>
      <c r="K1425" s="2" t="s">
        <v>1268</v>
      </c>
      <c r="L1425" s="2" t="str">
        <f t="shared" si="132"/>
        <v>Profitable</v>
      </c>
      <c r="M1425" s="2" t="str">
        <f t="shared" si="133"/>
        <v>Stable Earnings</v>
      </c>
      <c r="N1425" s="2" t="str">
        <f t="shared" si="134"/>
        <v>Low Quality</v>
      </c>
      <c r="O1425" s="4" t="str">
        <f t="shared" si="135"/>
        <v>Accounting Risk</v>
      </c>
      <c r="P1425" s="4" t="str">
        <f t="shared" si="136"/>
        <v>Low Quality</v>
      </c>
      <c r="Q1425" s="4" t="str">
        <f t="shared" si="137"/>
        <v>Moderate Growth</v>
      </c>
    </row>
    <row r="1426" spans="1:17" x14ac:dyDescent="0.35">
      <c r="A1426" s="2" t="s">
        <v>1437</v>
      </c>
      <c r="B1426" s="2">
        <v>5</v>
      </c>
      <c r="C1426" s="2">
        <v>-4078009.82</v>
      </c>
      <c r="D1426" s="2">
        <v>0.6</v>
      </c>
      <c r="E1426" s="2">
        <v>82878012.620000005</v>
      </c>
      <c r="F1426" s="2">
        <v>75782653.900000006</v>
      </c>
      <c r="G1426" s="2">
        <v>3</v>
      </c>
      <c r="H1426" s="2">
        <v>3</v>
      </c>
      <c r="I1426" s="2">
        <v>2</v>
      </c>
      <c r="J1426" s="2">
        <v>2.8</v>
      </c>
      <c r="K1426" s="2" t="s">
        <v>1268</v>
      </c>
      <c r="L1426" s="2" t="str">
        <f t="shared" si="132"/>
        <v>Loss Making</v>
      </c>
      <c r="M1426" s="2" t="str">
        <f t="shared" si="133"/>
        <v>Stable Earnings</v>
      </c>
      <c r="N1426" s="2" t="str">
        <f t="shared" si="134"/>
        <v>Low Quality</v>
      </c>
      <c r="O1426" s="4" t="str">
        <f t="shared" si="135"/>
        <v>Accounting Risk</v>
      </c>
      <c r="P1426" s="4" t="str">
        <f t="shared" si="136"/>
        <v>Low Quality</v>
      </c>
      <c r="Q1426" s="4" t="str">
        <f t="shared" si="137"/>
        <v>Moderate Growth</v>
      </c>
    </row>
    <row r="1427" spans="1:17" x14ac:dyDescent="0.35">
      <c r="A1427" s="2" t="s">
        <v>1438</v>
      </c>
      <c r="B1427" s="2">
        <v>5</v>
      </c>
      <c r="C1427" s="2">
        <v>25498740.079999998</v>
      </c>
      <c r="D1427" s="2">
        <v>0.6</v>
      </c>
      <c r="E1427" s="2">
        <v>57361306.200000003</v>
      </c>
      <c r="F1427" s="2">
        <v>74557572.400000006</v>
      </c>
      <c r="G1427" s="2">
        <v>3</v>
      </c>
      <c r="H1427" s="2">
        <v>3</v>
      </c>
      <c r="I1427" s="2">
        <v>2</v>
      </c>
      <c r="J1427" s="2">
        <v>2.8</v>
      </c>
      <c r="K1427" s="2" t="s">
        <v>1268</v>
      </c>
      <c r="L1427" s="2" t="str">
        <f t="shared" si="132"/>
        <v>Profitable</v>
      </c>
      <c r="M1427" s="2" t="str">
        <f t="shared" si="133"/>
        <v>Stable Earnings</v>
      </c>
      <c r="N1427" s="2" t="str">
        <f t="shared" si="134"/>
        <v>Low Quality</v>
      </c>
      <c r="O1427" s="4" t="str">
        <f t="shared" si="135"/>
        <v>Accounting Risk</v>
      </c>
      <c r="P1427" s="4" t="str">
        <f t="shared" si="136"/>
        <v>Low Quality</v>
      </c>
      <c r="Q1427" s="4" t="str">
        <f t="shared" si="137"/>
        <v>Moderate Growth</v>
      </c>
    </row>
    <row r="1428" spans="1:17" x14ac:dyDescent="0.35">
      <c r="A1428" s="2" t="s">
        <v>1439</v>
      </c>
      <c r="B1428" s="2">
        <v>5</v>
      </c>
      <c r="C1428" s="2">
        <v>17560558.859999999</v>
      </c>
      <c r="D1428" s="2">
        <v>0.6</v>
      </c>
      <c r="E1428" s="2">
        <v>87307339.290000007</v>
      </c>
      <c r="F1428" s="2">
        <v>84231501.599999994</v>
      </c>
      <c r="G1428" s="2">
        <v>3</v>
      </c>
      <c r="H1428" s="2">
        <v>3</v>
      </c>
      <c r="I1428" s="2">
        <v>2</v>
      </c>
      <c r="J1428" s="2">
        <v>2.8</v>
      </c>
      <c r="K1428" s="2" t="s">
        <v>1268</v>
      </c>
      <c r="L1428" s="2" t="str">
        <f t="shared" si="132"/>
        <v>Profitable</v>
      </c>
      <c r="M1428" s="2" t="str">
        <f t="shared" si="133"/>
        <v>Stable Earnings</v>
      </c>
      <c r="N1428" s="2" t="str">
        <f t="shared" si="134"/>
        <v>Low Quality</v>
      </c>
      <c r="O1428" s="4" t="str">
        <f t="shared" si="135"/>
        <v>Accounting Risk</v>
      </c>
      <c r="P1428" s="4" t="str">
        <f t="shared" si="136"/>
        <v>Low Quality</v>
      </c>
      <c r="Q1428" s="4" t="str">
        <f t="shared" si="137"/>
        <v>Moderate Growth</v>
      </c>
    </row>
    <row r="1429" spans="1:17" x14ac:dyDescent="0.35">
      <c r="A1429" s="2" t="s">
        <v>1440</v>
      </c>
      <c r="B1429" s="2">
        <v>5</v>
      </c>
      <c r="C1429" s="2">
        <v>59516799.060000002</v>
      </c>
      <c r="D1429" s="2">
        <v>0.8</v>
      </c>
      <c r="E1429" s="2">
        <v>59795964.130000003</v>
      </c>
      <c r="F1429" s="2">
        <v>83791342</v>
      </c>
      <c r="G1429" s="2">
        <v>3</v>
      </c>
      <c r="H1429" s="2">
        <v>3</v>
      </c>
      <c r="I1429" s="2">
        <v>2</v>
      </c>
      <c r="J1429" s="2">
        <v>2.8</v>
      </c>
      <c r="K1429" s="2" t="s">
        <v>1268</v>
      </c>
      <c r="L1429" s="2" t="str">
        <f t="shared" si="132"/>
        <v>Profitable</v>
      </c>
      <c r="M1429" s="2" t="str">
        <f t="shared" si="133"/>
        <v>Stable Earnings</v>
      </c>
      <c r="N1429" s="2" t="str">
        <f t="shared" si="134"/>
        <v>Low Quality</v>
      </c>
      <c r="O1429" s="4" t="str">
        <f t="shared" si="135"/>
        <v>Operational Growth</v>
      </c>
      <c r="P1429" s="4" t="str">
        <f t="shared" si="136"/>
        <v>Low Quality</v>
      </c>
      <c r="Q1429" s="4" t="str">
        <f t="shared" si="137"/>
        <v>Moderate Growth</v>
      </c>
    </row>
    <row r="1430" spans="1:17" x14ac:dyDescent="0.35">
      <c r="A1430" s="2" t="s">
        <v>1441</v>
      </c>
      <c r="B1430" s="2">
        <v>5</v>
      </c>
      <c r="C1430" s="2">
        <v>108655818.90000001</v>
      </c>
      <c r="D1430" s="2">
        <v>0.8</v>
      </c>
      <c r="E1430" s="2">
        <v>110507608.40000001</v>
      </c>
      <c r="F1430" s="2">
        <v>94791449.900000006</v>
      </c>
      <c r="G1430" s="2">
        <v>3</v>
      </c>
      <c r="H1430" s="2">
        <v>3</v>
      </c>
      <c r="I1430" s="2">
        <v>2</v>
      </c>
      <c r="J1430" s="2">
        <v>2.8</v>
      </c>
      <c r="K1430" s="2" t="s">
        <v>1268</v>
      </c>
      <c r="L1430" s="2" t="str">
        <f t="shared" si="132"/>
        <v>Profitable</v>
      </c>
      <c r="M1430" s="2" t="str">
        <f t="shared" si="133"/>
        <v>Stable Earnings</v>
      </c>
      <c r="N1430" s="2" t="str">
        <f t="shared" si="134"/>
        <v>Low Quality</v>
      </c>
      <c r="O1430" s="4" t="str">
        <f t="shared" si="135"/>
        <v>Operational Growth</v>
      </c>
      <c r="P1430" s="4" t="str">
        <f t="shared" si="136"/>
        <v>Low Quality</v>
      </c>
      <c r="Q1430" s="4" t="str">
        <f t="shared" si="137"/>
        <v>Moderate Growth</v>
      </c>
    </row>
    <row r="1431" spans="1:17" x14ac:dyDescent="0.35">
      <c r="A1431" s="2" t="s">
        <v>1442</v>
      </c>
      <c r="B1431" s="2">
        <v>5</v>
      </c>
      <c r="C1431" s="2">
        <v>16589658.08</v>
      </c>
      <c r="D1431" s="2">
        <v>0.8</v>
      </c>
      <c r="E1431" s="2">
        <v>49852254.310000002</v>
      </c>
      <c r="F1431" s="2">
        <v>94201681.599999994</v>
      </c>
      <c r="G1431" s="2">
        <v>3</v>
      </c>
      <c r="H1431" s="2">
        <v>3</v>
      </c>
      <c r="I1431" s="2">
        <v>2</v>
      </c>
      <c r="J1431" s="2">
        <v>2.8</v>
      </c>
      <c r="K1431" s="2" t="s">
        <v>1268</v>
      </c>
      <c r="L1431" s="2" t="str">
        <f t="shared" si="132"/>
        <v>Profitable</v>
      </c>
      <c r="M1431" s="2" t="str">
        <f t="shared" si="133"/>
        <v>Stable Earnings</v>
      </c>
      <c r="N1431" s="2" t="str">
        <f t="shared" si="134"/>
        <v>Low Quality</v>
      </c>
      <c r="O1431" s="4" t="str">
        <f t="shared" si="135"/>
        <v>Operational Growth</v>
      </c>
      <c r="P1431" s="4" t="str">
        <f t="shared" si="136"/>
        <v>Low Quality</v>
      </c>
      <c r="Q1431" s="4" t="str">
        <f t="shared" si="137"/>
        <v>Moderate Growth</v>
      </c>
    </row>
    <row r="1432" spans="1:17" x14ac:dyDescent="0.35">
      <c r="A1432" s="2" t="s">
        <v>1443</v>
      </c>
      <c r="B1432" s="2">
        <v>5</v>
      </c>
      <c r="C1432" s="2">
        <v>68690579.920000002</v>
      </c>
      <c r="D1432" s="2">
        <v>0.8</v>
      </c>
      <c r="E1432" s="2">
        <v>67659086.890000001</v>
      </c>
      <c r="F1432" s="2">
        <v>40499280.799999997</v>
      </c>
      <c r="G1432" s="2">
        <v>3</v>
      </c>
      <c r="H1432" s="2">
        <v>3</v>
      </c>
      <c r="I1432" s="2">
        <v>2</v>
      </c>
      <c r="J1432" s="2">
        <v>2.8</v>
      </c>
      <c r="K1432" s="2" t="s">
        <v>1268</v>
      </c>
      <c r="L1432" s="2" t="str">
        <f t="shared" si="132"/>
        <v>Profitable</v>
      </c>
      <c r="M1432" s="2" t="str">
        <f t="shared" si="133"/>
        <v>Stable Earnings</v>
      </c>
      <c r="N1432" s="2" t="str">
        <f t="shared" si="134"/>
        <v>Low Quality</v>
      </c>
      <c r="O1432" s="4" t="str">
        <f t="shared" si="135"/>
        <v>Operational Growth</v>
      </c>
      <c r="P1432" s="4" t="str">
        <f t="shared" si="136"/>
        <v>Low Quality</v>
      </c>
      <c r="Q1432" s="4" t="str">
        <f t="shared" si="137"/>
        <v>Moderate Growth</v>
      </c>
    </row>
    <row r="1433" spans="1:17" x14ac:dyDescent="0.35">
      <c r="A1433" s="2" t="s">
        <v>1444</v>
      </c>
      <c r="B1433" s="2">
        <v>5</v>
      </c>
      <c r="C1433" s="2">
        <v>38303586.259999998</v>
      </c>
      <c r="D1433" s="2">
        <v>0.8</v>
      </c>
      <c r="E1433" s="2">
        <v>57423683.07</v>
      </c>
      <c r="F1433" s="2">
        <v>49674580.700000003</v>
      </c>
      <c r="G1433" s="2">
        <v>3</v>
      </c>
      <c r="H1433" s="2">
        <v>3</v>
      </c>
      <c r="I1433" s="2">
        <v>2</v>
      </c>
      <c r="J1433" s="2">
        <v>2.8</v>
      </c>
      <c r="K1433" s="2" t="s">
        <v>1268</v>
      </c>
      <c r="L1433" s="2" t="str">
        <f t="shared" si="132"/>
        <v>Profitable</v>
      </c>
      <c r="M1433" s="2" t="str">
        <f t="shared" si="133"/>
        <v>Stable Earnings</v>
      </c>
      <c r="N1433" s="2" t="str">
        <f t="shared" si="134"/>
        <v>Low Quality</v>
      </c>
      <c r="O1433" s="4" t="str">
        <f t="shared" si="135"/>
        <v>Operational Growth</v>
      </c>
      <c r="P1433" s="4" t="str">
        <f t="shared" si="136"/>
        <v>Low Quality</v>
      </c>
      <c r="Q1433" s="4" t="str">
        <f t="shared" si="137"/>
        <v>Moderate Growth</v>
      </c>
    </row>
    <row r="1434" spans="1:17" x14ac:dyDescent="0.35">
      <c r="A1434" s="2" t="s">
        <v>1445</v>
      </c>
      <c r="B1434" s="2">
        <v>5</v>
      </c>
      <c r="C1434" s="2">
        <v>16529033.1</v>
      </c>
      <c r="D1434" s="2">
        <v>0.4</v>
      </c>
      <c r="E1434" s="2">
        <v>95656427.400000006</v>
      </c>
      <c r="F1434" s="2">
        <v>49415109.600000001</v>
      </c>
      <c r="G1434" s="2">
        <v>3</v>
      </c>
      <c r="H1434" s="2">
        <v>3</v>
      </c>
      <c r="I1434" s="2">
        <v>2</v>
      </c>
      <c r="J1434" s="2">
        <v>2.8</v>
      </c>
      <c r="K1434" s="2" t="s">
        <v>1268</v>
      </c>
      <c r="L1434" s="2" t="str">
        <f t="shared" si="132"/>
        <v>Profitable</v>
      </c>
      <c r="M1434" s="2" t="str">
        <f t="shared" si="133"/>
        <v>Stable Earnings</v>
      </c>
      <c r="N1434" s="2" t="str">
        <f t="shared" si="134"/>
        <v>Low Quality</v>
      </c>
      <c r="O1434" s="4" t="str">
        <f t="shared" si="135"/>
        <v>Accounting Risk</v>
      </c>
      <c r="P1434" s="4" t="str">
        <f t="shared" si="136"/>
        <v>Low Quality</v>
      </c>
      <c r="Q1434" s="4" t="str">
        <f t="shared" si="137"/>
        <v>Moderate Growth</v>
      </c>
    </row>
    <row r="1435" spans="1:17" x14ac:dyDescent="0.35">
      <c r="A1435" s="2" t="s">
        <v>1446</v>
      </c>
      <c r="B1435" s="2">
        <v>5</v>
      </c>
      <c r="C1435" s="2">
        <v>63877522.359999999</v>
      </c>
      <c r="D1435" s="2">
        <v>0.8</v>
      </c>
      <c r="E1435" s="2">
        <v>96646419.569999993</v>
      </c>
      <c r="F1435" s="2">
        <v>46845257.899999999</v>
      </c>
      <c r="G1435" s="2">
        <v>3</v>
      </c>
      <c r="H1435" s="2">
        <v>3</v>
      </c>
      <c r="I1435" s="2">
        <v>2</v>
      </c>
      <c r="J1435" s="2">
        <v>2.8</v>
      </c>
      <c r="K1435" s="2" t="s">
        <v>1268</v>
      </c>
      <c r="L1435" s="2" t="str">
        <f t="shared" si="132"/>
        <v>Profitable</v>
      </c>
      <c r="M1435" s="2" t="str">
        <f t="shared" si="133"/>
        <v>Stable Earnings</v>
      </c>
      <c r="N1435" s="2" t="str">
        <f t="shared" si="134"/>
        <v>Low Quality</v>
      </c>
      <c r="O1435" s="4" t="str">
        <f t="shared" si="135"/>
        <v>Operational Growth</v>
      </c>
      <c r="P1435" s="4" t="str">
        <f t="shared" si="136"/>
        <v>Low Quality</v>
      </c>
      <c r="Q1435" s="4" t="str">
        <f t="shared" si="137"/>
        <v>Moderate Growth</v>
      </c>
    </row>
    <row r="1436" spans="1:17" x14ac:dyDescent="0.35">
      <c r="A1436" s="2" t="s">
        <v>1447</v>
      </c>
      <c r="B1436" s="2">
        <v>5</v>
      </c>
      <c r="C1436" s="2">
        <v>50745848.700000003</v>
      </c>
      <c r="D1436" s="2">
        <v>0.8</v>
      </c>
      <c r="E1436" s="2">
        <v>46710882.259999998</v>
      </c>
      <c r="F1436" s="2">
        <v>57331337.799999997</v>
      </c>
      <c r="G1436" s="2">
        <v>3</v>
      </c>
      <c r="H1436" s="2">
        <v>3</v>
      </c>
      <c r="I1436" s="2">
        <v>2</v>
      </c>
      <c r="J1436" s="2">
        <v>2.8</v>
      </c>
      <c r="K1436" s="2" t="s">
        <v>1268</v>
      </c>
      <c r="L1436" s="2" t="str">
        <f t="shared" si="132"/>
        <v>Profitable</v>
      </c>
      <c r="M1436" s="2" t="str">
        <f t="shared" si="133"/>
        <v>Stable Earnings</v>
      </c>
      <c r="N1436" s="2" t="str">
        <f t="shared" si="134"/>
        <v>Low Quality</v>
      </c>
      <c r="O1436" s="4" t="str">
        <f t="shared" si="135"/>
        <v>Operational Growth</v>
      </c>
      <c r="P1436" s="4" t="str">
        <f t="shared" si="136"/>
        <v>Low Quality</v>
      </c>
      <c r="Q1436" s="4" t="str">
        <f t="shared" si="137"/>
        <v>Moderate Growth</v>
      </c>
    </row>
    <row r="1437" spans="1:17" x14ac:dyDescent="0.35">
      <c r="A1437" s="2" t="s">
        <v>1448</v>
      </c>
      <c r="B1437" s="2">
        <v>5</v>
      </c>
      <c r="C1437" s="2">
        <v>30221519.399999999</v>
      </c>
      <c r="D1437" s="2">
        <v>0.8</v>
      </c>
      <c r="E1437" s="2">
        <v>52043457.850000001</v>
      </c>
      <c r="F1437" s="2">
        <v>57976729.299999997</v>
      </c>
      <c r="G1437" s="2">
        <v>3</v>
      </c>
      <c r="H1437" s="2">
        <v>3</v>
      </c>
      <c r="I1437" s="2">
        <v>2</v>
      </c>
      <c r="J1437" s="2">
        <v>2.8</v>
      </c>
      <c r="K1437" s="2" t="s">
        <v>1268</v>
      </c>
      <c r="L1437" s="2" t="str">
        <f t="shared" si="132"/>
        <v>Profitable</v>
      </c>
      <c r="M1437" s="2" t="str">
        <f t="shared" si="133"/>
        <v>Stable Earnings</v>
      </c>
      <c r="N1437" s="2" t="str">
        <f t="shared" si="134"/>
        <v>Low Quality</v>
      </c>
      <c r="O1437" s="4" t="str">
        <f t="shared" si="135"/>
        <v>Operational Growth</v>
      </c>
      <c r="P1437" s="4" t="str">
        <f t="shared" si="136"/>
        <v>Low Quality</v>
      </c>
      <c r="Q1437" s="4" t="str">
        <f t="shared" si="137"/>
        <v>Moderate Growth</v>
      </c>
    </row>
    <row r="1438" spans="1:17" x14ac:dyDescent="0.35">
      <c r="A1438" s="2" t="s">
        <v>1449</v>
      </c>
      <c r="B1438" s="2">
        <v>5</v>
      </c>
      <c r="C1438" s="2">
        <v>43708021.460000001</v>
      </c>
      <c r="D1438" s="2">
        <v>0.8</v>
      </c>
      <c r="E1438" s="2">
        <v>59805599.289999999</v>
      </c>
      <c r="F1438" s="2">
        <v>52515506.799999997</v>
      </c>
      <c r="G1438" s="2">
        <v>3</v>
      </c>
      <c r="H1438" s="2">
        <v>3</v>
      </c>
      <c r="I1438" s="2">
        <v>2</v>
      </c>
      <c r="J1438" s="2">
        <v>2.8</v>
      </c>
      <c r="K1438" s="2" t="s">
        <v>1268</v>
      </c>
      <c r="L1438" s="2" t="str">
        <f t="shared" si="132"/>
        <v>Profitable</v>
      </c>
      <c r="M1438" s="2" t="str">
        <f t="shared" si="133"/>
        <v>Stable Earnings</v>
      </c>
      <c r="N1438" s="2" t="str">
        <f t="shared" si="134"/>
        <v>Low Quality</v>
      </c>
      <c r="O1438" s="4" t="str">
        <f t="shared" si="135"/>
        <v>Operational Growth</v>
      </c>
      <c r="P1438" s="4" t="str">
        <f t="shared" si="136"/>
        <v>Low Quality</v>
      </c>
      <c r="Q1438" s="4" t="str">
        <f t="shared" si="137"/>
        <v>Moderate Growth</v>
      </c>
    </row>
    <row r="1439" spans="1:17" x14ac:dyDescent="0.35">
      <c r="A1439" s="2" t="s">
        <v>1450</v>
      </c>
      <c r="B1439" s="2">
        <v>5</v>
      </c>
      <c r="C1439" s="2">
        <v>134328200.69999999</v>
      </c>
      <c r="D1439" s="2">
        <v>1</v>
      </c>
      <c r="E1439" s="2">
        <v>162343318.80000001</v>
      </c>
      <c r="F1439" s="2">
        <v>20861810.899999999</v>
      </c>
      <c r="G1439" s="2">
        <v>2</v>
      </c>
      <c r="H1439" s="2">
        <v>4</v>
      </c>
      <c r="I1439" s="2">
        <v>3</v>
      </c>
      <c r="J1439" s="2">
        <v>2.8</v>
      </c>
      <c r="K1439" s="2" t="s">
        <v>1268</v>
      </c>
      <c r="L1439" s="2" t="str">
        <f t="shared" si="132"/>
        <v>Profitable</v>
      </c>
      <c r="M1439" s="2" t="str">
        <f t="shared" si="133"/>
        <v>Stable Earnings</v>
      </c>
      <c r="N1439" s="2" t="str">
        <f t="shared" si="134"/>
        <v>Low Quality</v>
      </c>
      <c r="O1439" s="4" t="str">
        <f t="shared" si="135"/>
        <v>Operational Growth</v>
      </c>
      <c r="P1439" s="4" t="str">
        <f t="shared" si="136"/>
        <v>Low Quality</v>
      </c>
      <c r="Q1439" s="4" t="str">
        <f t="shared" si="137"/>
        <v>Moderate Growth</v>
      </c>
    </row>
    <row r="1440" spans="1:17" x14ac:dyDescent="0.35">
      <c r="A1440" s="2" t="s">
        <v>1451</v>
      </c>
      <c r="B1440" s="2">
        <v>5</v>
      </c>
      <c r="C1440" s="2">
        <v>51874514.240000002</v>
      </c>
      <c r="D1440" s="2">
        <v>0.8</v>
      </c>
      <c r="E1440" s="2">
        <v>146455792.19999999</v>
      </c>
      <c r="F1440" s="2">
        <v>22979048.199999999</v>
      </c>
      <c r="G1440" s="2">
        <v>2</v>
      </c>
      <c r="H1440" s="2">
        <v>4</v>
      </c>
      <c r="I1440" s="2">
        <v>3</v>
      </c>
      <c r="J1440" s="2">
        <v>2.8</v>
      </c>
      <c r="K1440" s="2" t="s">
        <v>1268</v>
      </c>
      <c r="L1440" s="2" t="str">
        <f t="shared" si="132"/>
        <v>Profitable</v>
      </c>
      <c r="M1440" s="2" t="str">
        <f t="shared" si="133"/>
        <v>Stable Earnings</v>
      </c>
      <c r="N1440" s="2" t="str">
        <f t="shared" si="134"/>
        <v>Low Quality</v>
      </c>
      <c r="O1440" s="4" t="str">
        <f t="shared" si="135"/>
        <v>Operational Growth</v>
      </c>
      <c r="P1440" s="4" t="str">
        <f t="shared" si="136"/>
        <v>Low Quality</v>
      </c>
      <c r="Q1440" s="4" t="str">
        <f t="shared" si="137"/>
        <v>Moderate Growth</v>
      </c>
    </row>
    <row r="1441" spans="1:17" x14ac:dyDescent="0.35">
      <c r="A1441" s="2" t="s">
        <v>1452</v>
      </c>
      <c r="B1441" s="2">
        <v>5</v>
      </c>
      <c r="C1441" s="2">
        <v>17985060.32</v>
      </c>
      <c r="D1441" s="2">
        <v>0.8</v>
      </c>
      <c r="E1441" s="2">
        <v>58751445</v>
      </c>
      <c r="F1441" s="2">
        <v>35815310.299999997</v>
      </c>
      <c r="G1441" s="2">
        <v>3</v>
      </c>
      <c r="H1441" s="2">
        <v>3</v>
      </c>
      <c r="I1441" s="2">
        <v>2</v>
      </c>
      <c r="J1441" s="2">
        <v>2.8</v>
      </c>
      <c r="K1441" s="2" t="s">
        <v>1268</v>
      </c>
      <c r="L1441" s="2" t="str">
        <f t="shared" si="132"/>
        <v>Profitable</v>
      </c>
      <c r="M1441" s="2" t="str">
        <f t="shared" si="133"/>
        <v>Stable Earnings</v>
      </c>
      <c r="N1441" s="2" t="str">
        <f t="shared" si="134"/>
        <v>Low Quality</v>
      </c>
      <c r="O1441" s="4" t="str">
        <f t="shared" si="135"/>
        <v>Operational Growth</v>
      </c>
      <c r="P1441" s="4" t="str">
        <f t="shared" si="136"/>
        <v>Low Quality</v>
      </c>
      <c r="Q1441" s="4" t="str">
        <f t="shared" si="137"/>
        <v>Moderate Growth</v>
      </c>
    </row>
    <row r="1442" spans="1:17" x14ac:dyDescent="0.35">
      <c r="A1442" s="2" t="s">
        <v>1453</v>
      </c>
      <c r="B1442" s="2">
        <v>5</v>
      </c>
      <c r="C1442" s="2">
        <v>19575592.52</v>
      </c>
      <c r="D1442" s="2">
        <v>0.6</v>
      </c>
      <c r="E1442" s="2">
        <v>58078724.780000001</v>
      </c>
      <c r="F1442" s="2">
        <v>36808009.899999999</v>
      </c>
      <c r="G1442" s="2">
        <v>3</v>
      </c>
      <c r="H1442" s="2">
        <v>3</v>
      </c>
      <c r="I1442" s="2">
        <v>2</v>
      </c>
      <c r="J1442" s="2">
        <v>2.8</v>
      </c>
      <c r="K1442" s="2" t="s">
        <v>1268</v>
      </c>
      <c r="L1442" s="2" t="str">
        <f t="shared" si="132"/>
        <v>Profitable</v>
      </c>
      <c r="M1442" s="2" t="str">
        <f t="shared" si="133"/>
        <v>Stable Earnings</v>
      </c>
      <c r="N1442" s="2" t="str">
        <f t="shared" si="134"/>
        <v>Low Quality</v>
      </c>
      <c r="O1442" s="4" t="str">
        <f t="shared" si="135"/>
        <v>Accounting Risk</v>
      </c>
      <c r="P1442" s="4" t="str">
        <f t="shared" si="136"/>
        <v>Low Quality</v>
      </c>
      <c r="Q1442" s="4" t="str">
        <f t="shared" si="137"/>
        <v>Moderate Growth</v>
      </c>
    </row>
    <row r="1443" spans="1:17" x14ac:dyDescent="0.35">
      <c r="A1443" s="2" t="s">
        <v>1454</v>
      </c>
      <c r="B1443" s="2">
        <v>5</v>
      </c>
      <c r="C1443" s="2">
        <v>-15903466.439999999</v>
      </c>
      <c r="D1443" s="2">
        <v>0.6</v>
      </c>
      <c r="E1443" s="2">
        <v>94736627.349999994</v>
      </c>
      <c r="F1443" s="2">
        <v>38963222.100000001</v>
      </c>
      <c r="G1443" s="2">
        <v>3</v>
      </c>
      <c r="H1443" s="2">
        <v>3</v>
      </c>
      <c r="I1443" s="2">
        <v>2</v>
      </c>
      <c r="J1443" s="2">
        <v>2.8</v>
      </c>
      <c r="K1443" s="2" t="s">
        <v>1268</v>
      </c>
      <c r="L1443" s="2" t="str">
        <f t="shared" si="132"/>
        <v>Loss Making</v>
      </c>
      <c r="M1443" s="2" t="str">
        <f t="shared" si="133"/>
        <v>Stable Earnings</v>
      </c>
      <c r="N1443" s="2" t="str">
        <f t="shared" si="134"/>
        <v>Low Quality</v>
      </c>
      <c r="O1443" s="4" t="str">
        <f t="shared" si="135"/>
        <v>Accounting Risk</v>
      </c>
      <c r="P1443" s="4" t="str">
        <f t="shared" si="136"/>
        <v>Low Quality</v>
      </c>
      <c r="Q1443" s="4" t="str">
        <f t="shared" si="137"/>
        <v>Moderate Growth</v>
      </c>
    </row>
    <row r="1444" spans="1:17" x14ac:dyDescent="0.35">
      <c r="A1444" s="2" t="s">
        <v>1455</v>
      </c>
      <c r="B1444" s="2">
        <v>5</v>
      </c>
      <c r="C1444" s="2">
        <v>5465094.7999999998</v>
      </c>
      <c r="D1444" s="2">
        <v>0.8</v>
      </c>
      <c r="E1444" s="2">
        <v>47185887.93</v>
      </c>
      <c r="F1444" s="2">
        <v>34899618.799999997</v>
      </c>
      <c r="G1444" s="2">
        <v>3</v>
      </c>
      <c r="H1444" s="2">
        <v>3</v>
      </c>
      <c r="I1444" s="2">
        <v>2</v>
      </c>
      <c r="J1444" s="2">
        <v>2.8</v>
      </c>
      <c r="K1444" s="2" t="s">
        <v>1268</v>
      </c>
      <c r="L1444" s="2" t="str">
        <f t="shared" si="132"/>
        <v>Profitable</v>
      </c>
      <c r="M1444" s="2" t="str">
        <f t="shared" si="133"/>
        <v>Stable Earnings</v>
      </c>
      <c r="N1444" s="2" t="str">
        <f t="shared" si="134"/>
        <v>Low Quality</v>
      </c>
      <c r="O1444" s="4" t="str">
        <f t="shared" si="135"/>
        <v>Operational Growth</v>
      </c>
      <c r="P1444" s="4" t="str">
        <f t="shared" si="136"/>
        <v>Low Quality</v>
      </c>
      <c r="Q1444" s="4" t="str">
        <f t="shared" si="137"/>
        <v>Moderate Growth</v>
      </c>
    </row>
    <row r="1445" spans="1:17" x14ac:dyDescent="0.35">
      <c r="A1445" s="2" t="s">
        <v>1456</v>
      </c>
      <c r="B1445" s="2">
        <v>5</v>
      </c>
      <c r="C1445" s="2">
        <v>-33215197.920000002</v>
      </c>
      <c r="D1445" s="2">
        <v>0.4</v>
      </c>
      <c r="E1445" s="2">
        <v>47488880.310000002</v>
      </c>
      <c r="F1445" s="2">
        <v>28318479.399999999</v>
      </c>
      <c r="G1445" s="2">
        <v>3</v>
      </c>
      <c r="H1445" s="2">
        <v>3</v>
      </c>
      <c r="I1445" s="2">
        <v>2</v>
      </c>
      <c r="J1445" s="2">
        <v>2.8</v>
      </c>
      <c r="K1445" s="2" t="s">
        <v>1268</v>
      </c>
      <c r="L1445" s="2" t="str">
        <f t="shared" si="132"/>
        <v>Loss Making</v>
      </c>
      <c r="M1445" s="2" t="str">
        <f t="shared" si="133"/>
        <v>Stable Earnings</v>
      </c>
      <c r="N1445" s="2" t="str">
        <f t="shared" si="134"/>
        <v>Low Quality</v>
      </c>
      <c r="O1445" s="4" t="str">
        <f t="shared" si="135"/>
        <v>Accounting Risk</v>
      </c>
      <c r="P1445" s="4" t="str">
        <f t="shared" si="136"/>
        <v>Low Quality</v>
      </c>
      <c r="Q1445" s="4" t="str">
        <f t="shared" si="137"/>
        <v>Moderate Growth</v>
      </c>
    </row>
    <row r="1446" spans="1:17" x14ac:dyDescent="0.35">
      <c r="A1446" s="2" t="s">
        <v>1457</v>
      </c>
      <c r="B1446" s="2">
        <v>5</v>
      </c>
      <c r="C1446" s="2">
        <v>90834505.560000002</v>
      </c>
      <c r="D1446" s="2">
        <v>0.8</v>
      </c>
      <c r="E1446" s="2">
        <v>134693928.5</v>
      </c>
      <c r="F1446" s="2">
        <v>16733121.1</v>
      </c>
      <c r="G1446" s="2">
        <v>2</v>
      </c>
      <c r="H1446" s="2">
        <v>4</v>
      </c>
      <c r="I1446" s="2">
        <v>3</v>
      </c>
      <c r="J1446" s="2">
        <v>2.8</v>
      </c>
      <c r="K1446" s="2" t="s">
        <v>1268</v>
      </c>
      <c r="L1446" s="2" t="str">
        <f t="shared" si="132"/>
        <v>Profitable</v>
      </c>
      <c r="M1446" s="2" t="str">
        <f t="shared" si="133"/>
        <v>Stable Earnings</v>
      </c>
      <c r="N1446" s="2" t="str">
        <f t="shared" si="134"/>
        <v>Low Quality</v>
      </c>
      <c r="O1446" s="4" t="str">
        <f t="shared" si="135"/>
        <v>Operational Growth</v>
      </c>
      <c r="P1446" s="4" t="str">
        <f t="shared" si="136"/>
        <v>Low Quality</v>
      </c>
      <c r="Q1446" s="4" t="str">
        <f t="shared" si="137"/>
        <v>Moderate Growth</v>
      </c>
    </row>
    <row r="1447" spans="1:17" x14ac:dyDescent="0.35">
      <c r="A1447" s="2" t="s">
        <v>1458</v>
      </c>
      <c r="B1447" s="2">
        <v>5</v>
      </c>
      <c r="C1447" s="2">
        <v>750251990.79999995</v>
      </c>
      <c r="D1447" s="2">
        <v>1</v>
      </c>
      <c r="E1447" s="2">
        <v>278189197.60000002</v>
      </c>
      <c r="F1447" s="2">
        <v>11378004</v>
      </c>
      <c r="G1447" s="2">
        <v>2</v>
      </c>
      <c r="H1447" s="2">
        <v>4</v>
      </c>
      <c r="I1447" s="2">
        <v>3</v>
      </c>
      <c r="J1447" s="2">
        <v>2.8</v>
      </c>
      <c r="K1447" s="2" t="s">
        <v>1268</v>
      </c>
      <c r="L1447" s="2" t="str">
        <f t="shared" si="132"/>
        <v>Profitable</v>
      </c>
      <c r="M1447" s="2" t="str">
        <f t="shared" si="133"/>
        <v>High Volatility</v>
      </c>
      <c r="N1447" s="2" t="str">
        <f t="shared" si="134"/>
        <v>Low Quality</v>
      </c>
      <c r="O1447" s="4" t="str">
        <f t="shared" si="135"/>
        <v>Operational Growth</v>
      </c>
      <c r="P1447" s="4" t="str">
        <f t="shared" si="136"/>
        <v>Low Quality</v>
      </c>
      <c r="Q1447" s="4" t="str">
        <f t="shared" si="137"/>
        <v>Moderate Growth</v>
      </c>
    </row>
    <row r="1448" spans="1:17" x14ac:dyDescent="0.35">
      <c r="A1448" s="2" t="s">
        <v>1459</v>
      </c>
      <c r="B1448" s="2">
        <v>5</v>
      </c>
      <c r="C1448" s="2">
        <v>860473682.10000002</v>
      </c>
      <c r="D1448" s="2">
        <v>1</v>
      </c>
      <c r="E1448" s="2">
        <v>271657310.80000001</v>
      </c>
      <c r="F1448" s="2">
        <v>10269796.800000001</v>
      </c>
      <c r="G1448" s="2">
        <v>2</v>
      </c>
      <c r="H1448" s="2">
        <v>4</v>
      </c>
      <c r="I1448" s="2">
        <v>3</v>
      </c>
      <c r="J1448" s="2">
        <v>2.8</v>
      </c>
      <c r="K1448" s="2" t="s">
        <v>1268</v>
      </c>
      <c r="L1448" s="2" t="str">
        <f t="shared" si="132"/>
        <v>Profitable</v>
      </c>
      <c r="M1448" s="2" t="str">
        <f t="shared" si="133"/>
        <v>High Volatility</v>
      </c>
      <c r="N1448" s="2" t="str">
        <f t="shared" si="134"/>
        <v>Low Quality</v>
      </c>
      <c r="O1448" s="4" t="str">
        <f t="shared" si="135"/>
        <v>Operational Growth</v>
      </c>
      <c r="P1448" s="4" t="str">
        <f t="shared" si="136"/>
        <v>Low Quality</v>
      </c>
      <c r="Q1448" s="4" t="str">
        <f t="shared" si="137"/>
        <v>Moderate Growth</v>
      </c>
    </row>
    <row r="1449" spans="1:17" x14ac:dyDescent="0.35">
      <c r="A1449" s="2" t="s">
        <v>1460</v>
      </c>
      <c r="B1449" s="2">
        <v>5</v>
      </c>
      <c r="C1449" s="2">
        <v>49552452.960000001</v>
      </c>
      <c r="D1449" s="2">
        <v>0.8</v>
      </c>
      <c r="E1449" s="2">
        <v>34744143.100000001</v>
      </c>
      <c r="F1449" s="2">
        <v>10018740.6</v>
      </c>
      <c r="G1449" s="2">
        <v>3</v>
      </c>
      <c r="H1449" s="2">
        <v>2</v>
      </c>
      <c r="I1449" s="2">
        <v>3</v>
      </c>
      <c r="J1449" s="2">
        <v>2.7</v>
      </c>
      <c r="K1449" s="2" t="s">
        <v>1268</v>
      </c>
      <c r="L1449" s="2" t="str">
        <f t="shared" si="132"/>
        <v>Profitable</v>
      </c>
      <c r="M1449" s="2" t="str">
        <f t="shared" si="133"/>
        <v>Stable Earnings</v>
      </c>
      <c r="N1449" s="2" t="str">
        <f t="shared" si="134"/>
        <v>Low Quality</v>
      </c>
      <c r="O1449" s="4" t="str">
        <f t="shared" si="135"/>
        <v>Operational Growth</v>
      </c>
      <c r="P1449" s="4" t="str">
        <f t="shared" si="136"/>
        <v>Low Quality</v>
      </c>
      <c r="Q1449" s="4" t="str">
        <f t="shared" si="137"/>
        <v>Moderate Growth</v>
      </c>
    </row>
    <row r="1450" spans="1:17" x14ac:dyDescent="0.35">
      <c r="A1450" s="2" t="s">
        <v>1461</v>
      </c>
      <c r="B1450" s="2">
        <v>5</v>
      </c>
      <c r="C1450" s="2">
        <v>-238332.32</v>
      </c>
      <c r="D1450" s="2">
        <v>0.4</v>
      </c>
      <c r="E1450" s="2">
        <v>15875761.640000001</v>
      </c>
      <c r="F1450" s="2">
        <v>11101564.300000001</v>
      </c>
      <c r="G1450" s="2">
        <v>3</v>
      </c>
      <c r="H1450" s="2">
        <v>2</v>
      </c>
      <c r="I1450" s="2">
        <v>3</v>
      </c>
      <c r="J1450" s="2">
        <v>2.7</v>
      </c>
      <c r="K1450" s="2" t="s">
        <v>1268</v>
      </c>
      <c r="L1450" s="2" t="str">
        <f t="shared" si="132"/>
        <v>Loss Making</v>
      </c>
      <c r="M1450" s="2" t="str">
        <f t="shared" si="133"/>
        <v>Stable Earnings</v>
      </c>
      <c r="N1450" s="2" t="str">
        <f t="shared" si="134"/>
        <v>Low Quality</v>
      </c>
      <c r="O1450" s="4" t="str">
        <f t="shared" si="135"/>
        <v>Accounting Risk</v>
      </c>
      <c r="P1450" s="4" t="str">
        <f t="shared" si="136"/>
        <v>Low Quality</v>
      </c>
      <c r="Q1450" s="4" t="str">
        <f t="shared" si="137"/>
        <v>Moderate Growth</v>
      </c>
    </row>
    <row r="1451" spans="1:17" x14ac:dyDescent="0.35">
      <c r="A1451" s="2" t="s">
        <v>1462</v>
      </c>
      <c r="B1451" s="2">
        <v>5</v>
      </c>
      <c r="C1451" s="2">
        <v>31896400.66</v>
      </c>
      <c r="D1451" s="2">
        <v>0.8</v>
      </c>
      <c r="E1451" s="2">
        <v>30855029.120000001</v>
      </c>
      <c r="F1451" s="2">
        <v>11554166.5</v>
      </c>
      <c r="G1451" s="2">
        <v>3</v>
      </c>
      <c r="H1451" s="2">
        <v>2</v>
      </c>
      <c r="I1451" s="2">
        <v>3</v>
      </c>
      <c r="J1451" s="2">
        <v>2.7</v>
      </c>
      <c r="K1451" s="2" t="s">
        <v>1268</v>
      </c>
      <c r="L1451" s="2" t="str">
        <f t="shared" si="132"/>
        <v>Profitable</v>
      </c>
      <c r="M1451" s="2" t="str">
        <f t="shared" si="133"/>
        <v>Stable Earnings</v>
      </c>
      <c r="N1451" s="2" t="str">
        <f t="shared" si="134"/>
        <v>Low Quality</v>
      </c>
      <c r="O1451" s="4" t="str">
        <f t="shared" si="135"/>
        <v>Operational Growth</v>
      </c>
      <c r="P1451" s="4" t="str">
        <f t="shared" si="136"/>
        <v>Low Quality</v>
      </c>
      <c r="Q1451" s="4" t="str">
        <f t="shared" si="137"/>
        <v>Moderate Growth</v>
      </c>
    </row>
    <row r="1452" spans="1:17" x14ac:dyDescent="0.35">
      <c r="A1452" s="2" t="s">
        <v>1463</v>
      </c>
      <c r="B1452" s="2">
        <v>5</v>
      </c>
      <c r="C1452" s="2">
        <v>16871777.16</v>
      </c>
      <c r="D1452" s="2">
        <v>0.8</v>
      </c>
      <c r="E1452" s="2">
        <v>20677738.09</v>
      </c>
      <c r="F1452" s="2">
        <v>17793236.100000001</v>
      </c>
      <c r="G1452" s="2">
        <v>3</v>
      </c>
      <c r="H1452" s="2">
        <v>2</v>
      </c>
      <c r="I1452" s="2">
        <v>3</v>
      </c>
      <c r="J1452" s="2">
        <v>2.7</v>
      </c>
      <c r="K1452" s="2" t="s">
        <v>1268</v>
      </c>
      <c r="L1452" s="2" t="str">
        <f t="shared" si="132"/>
        <v>Profitable</v>
      </c>
      <c r="M1452" s="2" t="str">
        <f t="shared" si="133"/>
        <v>Stable Earnings</v>
      </c>
      <c r="N1452" s="2" t="str">
        <f t="shared" si="134"/>
        <v>Low Quality</v>
      </c>
      <c r="O1452" s="4" t="str">
        <f t="shared" si="135"/>
        <v>Operational Growth</v>
      </c>
      <c r="P1452" s="4" t="str">
        <f t="shared" si="136"/>
        <v>Low Quality</v>
      </c>
      <c r="Q1452" s="4" t="str">
        <f t="shared" si="137"/>
        <v>Moderate Growth</v>
      </c>
    </row>
    <row r="1453" spans="1:17" x14ac:dyDescent="0.35">
      <c r="A1453" s="2" t="s">
        <v>1464</v>
      </c>
      <c r="B1453" s="2">
        <v>5</v>
      </c>
      <c r="C1453" s="2">
        <v>1853350.56</v>
      </c>
      <c r="D1453" s="2">
        <v>0.4</v>
      </c>
      <c r="E1453" s="2">
        <v>18267303</v>
      </c>
      <c r="F1453" s="2">
        <v>17544985.600000001</v>
      </c>
      <c r="G1453" s="2">
        <v>3</v>
      </c>
      <c r="H1453" s="2">
        <v>2</v>
      </c>
      <c r="I1453" s="2">
        <v>3</v>
      </c>
      <c r="J1453" s="2">
        <v>2.7</v>
      </c>
      <c r="K1453" s="2" t="s">
        <v>1268</v>
      </c>
      <c r="L1453" s="2" t="str">
        <f t="shared" si="132"/>
        <v>Profitable</v>
      </c>
      <c r="M1453" s="2" t="str">
        <f t="shared" si="133"/>
        <v>Stable Earnings</v>
      </c>
      <c r="N1453" s="2" t="str">
        <f t="shared" si="134"/>
        <v>Low Quality</v>
      </c>
      <c r="O1453" s="4" t="str">
        <f t="shared" si="135"/>
        <v>Accounting Risk</v>
      </c>
      <c r="P1453" s="4" t="str">
        <f t="shared" si="136"/>
        <v>Low Quality</v>
      </c>
      <c r="Q1453" s="4" t="str">
        <f t="shared" si="137"/>
        <v>Moderate Growth</v>
      </c>
    </row>
    <row r="1454" spans="1:17" x14ac:dyDescent="0.35">
      <c r="A1454" s="2" t="s">
        <v>1465</v>
      </c>
      <c r="B1454" s="2">
        <v>5</v>
      </c>
      <c r="C1454" s="2">
        <v>-3173598.48</v>
      </c>
      <c r="D1454" s="2">
        <v>0.6</v>
      </c>
      <c r="E1454" s="2">
        <v>20228378.57</v>
      </c>
      <c r="F1454" s="2">
        <v>18679081.399999999</v>
      </c>
      <c r="G1454" s="2">
        <v>3</v>
      </c>
      <c r="H1454" s="2">
        <v>2</v>
      </c>
      <c r="I1454" s="2">
        <v>3</v>
      </c>
      <c r="J1454" s="2">
        <v>2.7</v>
      </c>
      <c r="K1454" s="2" t="s">
        <v>1268</v>
      </c>
      <c r="L1454" s="2" t="str">
        <f t="shared" si="132"/>
        <v>Loss Making</v>
      </c>
      <c r="M1454" s="2" t="str">
        <f t="shared" si="133"/>
        <v>Stable Earnings</v>
      </c>
      <c r="N1454" s="2" t="str">
        <f t="shared" si="134"/>
        <v>Low Quality</v>
      </c>
      <c r="O1454" s="4" t="str">
        <f t="shared" si="135"/>
        <v>Accounting Risk</v>
      </c>
      <c r="P1454" s="4" t="str">
        <f t="shared" si="136"/>
        <v>Low Quality</v>
      </c>
      <c r="Q1454" s="4" t="str">
        <f t="shared" si="137"/>
        <v>Moderate Growth</v>
      </c>
    </row>
    <row r="1455" spans="1:17" x14ac:dyDescent="0.35">
      <c r="A1455" s="2" t="s">
        <v>1466</v>
      </c>
      <c r="B1455" s="2">
        <v>5</v>
      </c>
      <c r="C1455" s="2">
        <v>-5601763.54</v>
      </c>
      <c r="D1455" s="2">
        <v>0.6</v>
      </c>
      <c r="E1455" s="2">
        <v>31131428.210000001</v>
      </c>
      <c r="F1455" s="2">
        <v>18757002.5</v>
      </c>
      <c r="G1455" s="2">
        <v>3</v>
      </c>
      <c r="H1455" s="2">
        <v>2</v>
      </c>
      <c r="I1455" s="2">
        <v>3</v>
      </c>
      <c r="J1455" s="2">
        <v>2.7</v>
      </c>
      <c r="K1455" s="2" t="s">
        <v>1268</v>
      </c>
      <c r="L1455" s="2" t="str">
        <f t="shared" si="132"/>
        <v>Loss Making</v>
      </c>
      <c r="M1455" s="2" t="str">
        <f t="shared" si="133"/>
        <v>Stable Earnings</v>
      </c>
      <c r="N1455" s="2" t="str">
        <f t="shared" si="134"/>
        <v>Low Quality</v>
      </c>
      <c r="O1455" s="4" t="str">
        <f t="shared" si="135"/>
        <v>Accounting Risk</v>
      </c>
      <c r="P1455" s="4" t="str">
        <f t="shared" si="136"/>
        <v>Low Quality</v>
      </c>
      <c r="Q1455" s="4" t="str">
        <f t="shared" si="137"/>
        <v>Moderate Growth</v>
      </c>
    </row>
    <row r="1456" spans="1:17" x14ac:dyDescent="0.35">
      <c r="A1456" s="2" t="s">
        <v>1467</v>
      </c>
      <c r="B1456" s="2">
        <v>5</v>
      </c>
      <c r="C1456" s="2">
        <v>6005055.5</v>
      </c>
      <c r="D1456" s="2">
        <v>0.6</v>
      </c>
      <c r="E1456" s="2">
        <v>41519034.770000003</v>
      </c>
      <c r="F1456" s="2">
        <v>14394406.199999999</v>
      </c>
      <c r="G1456" s="2">
        <v>3</v>
      </c>
      <c r="H1456" s="2">
        <v>2</v>
      </c>
      <c r="I1456" s="2">
        <v>3</v>
      </c>
      <c r="J1456" s="2">
        <v>2.7</v>
      </c>
      <c r="K1456" s="2" t="s">
        <v>1268</v>
      </c>
      <c r="L1456" s="2" t="str">
        <f t="shared" si="132"/>
        <v>Profitable</v>
      </c>
      <c r="M1456" s="2" t="str">
        <f t="shared" si="133"/>
        <v>Stable Earnings</v>
      </c>
      <c r="N1456" s="2" t="str">
        <f t="shared" si="134"/>
        <v>Low Quality</v>
      </c>
      <c r="O1456" s="4" t="str">
        <f t="shared" si="135"/>
        <v>Accounting Risk</v>
      </c>
      <c r="P1456" s="4" t="str">
        <f t="shared" si="136"/>
        <v>Low Quality</v>
      </c>
      <c r="Q1456" s="4" t="str">
        <f t="shared" si="137"/>
        <v>Moderate Growth</v>
      </c>
    </row>
    <row r="1457" spans="1:17" x14ac:dyDescent="0.35">
      <c r="A1457" s="2" t="s">
        <v>1468</v>
      </c>
      <c r="B1457" s="2">
        <v>5</v>
      </c>
      <c r="C1457" s="2">
        <v>23795912.100000001</v>
      </c>
      <c r="D1457" s="2">
        <v>0.8</v>
      </c>
      <c r="E1457" s="2">
        <v>18100585.57</v>
      </c>
      <c r="F1457" s="2">
        <v>13152965.199999999</v>
      </c>
      <c r="G1457" s="2">
        <v>3</v>
      </c>
      <c r="H1457" s="2">
        <v>2</v>
      </c>
      <c r="I1457" s="2">
        <v>3</v>
      </c>
      <c r="J1457" s="2">
        <v>2.7</v>
      </c>
      <c r="K1457" s="2" t="s">
        <v>1268</v>
      </c>
      <c r="L1457" s="2" t="str">
        <f t="shared" si="132"/>
        <v>Profitable</v>
      </c>
      <c r="M1457" s="2" t="str">
        <f t="shared" si="133"/>
        <v>Stable Earnings</v>
      </c>
      <c r="N1457" s="2" t="str">
        <f t="shared" si="134"/>
        <v>Low Quality</v>
      </c>
      <c r="O1457" s="4" t="str">
        <f t="shared" si="135"/>
        <v>Operational Growth</v>
      </c>
      <c r="P1457" s="4" t="str">
        <f t="shared" si="136"/>
        <v>Low Quality</v>
      </c>
      <c r="Q1457" s="4" t="str">
        <f t="shared" si="137"/>
        <v>Moderate Growth</v>
      </c>
    </row>
    <row r="1458" spans="1:17" x14ac:dyDescent="0.35">
      <c r="A1458" s="2" t="s">
        <v>1469</v>
      </c>
      <c r="B1458" s="2">
        <v>5</v>
      </c>
      <c r="C1458" s="2">
        <v>-17814064.600000001</v>
      </c>
      <c r="D1458" s="2">
        <v>0.2</v>
      </c>
      <c r="E1458" s="2">
        <v>11486479.09</v>
      </c>
      <c r="F1458" s="2">
        <v>27528472</v>
      </c>
      <c r="G1458" s="2">
        <v>4</v>
      </c>
      <c r="H1458" s="2">
        <v>1</v>
      </c>
      <c r="I1458" s="2">
        <v>2</v>
      </c>
      <c r="J1458" s="2">
        <v>2.7</v>
      </c>
      <c r="K1458" s="2" t="s">
        <v>1268</v>
      </c>
      <c r="L1458" s="2" t="str">
        <f t="shared" si="132"/>
        <v>Loss Making</v>
      </c>
      <c r="M1458" s="2" t="str">
        <f t="shared" si="133"/>
        <v>Stable Earnings</v>
      </c>
      <c r="N1458" s="2" t="str">
        <f t="shared" si="134"/>
        <v>Moderate</v>
      </c>
      <c r="O1458" s="4" t="str">
        <f t="shared" si="135"/>
        <v>Accounting Risk</v>
      </c>
      <c r="P1458" s="4" t="str">
        <f t="shared" si="136"/>
        <v>Moderate</v>
      </c>
      <c r="Q1458" s="4" t="str">
        <f t="shared" si="137"/>
        <v>Moderate Growth</v>
      </c>
    </row>
    <row r="1459" spans="1:17" x14ac:dyDescent="0.35">
      <c r="A1459" s="2" t="s">
        <v>1470</v>
      </c>
      <c r="B1459" s="2">
        <v>5</v>
      </c>
      <c r="C1459" s="2">
        <v>44639880.060000002</v>
      </c>
      <c r="D1459" s="2">
        <v>0.8</v>
      </c>
      <c r="E1459" s="2">
        <v>40153955.170000002</v>
      </c>
      <c r="F1459" s="2">
        <v>21107722.800000001</v>
      </c>
      <c r="G1459" s="2">
        <v>3</v>
      </c>
      <c r="H1459" s="2">
        <v>2</v>
      </c>
      <c r="I1459" s="2">
        <v>3</v>
      </c>
      <c r="J1459" s="2">
        <v>2.7</v>
      </c>
      <c r="K1459" s="2" t="s">
        <v>1268</v>
      </c>
      <c r="L1459" s="2" t="str">
        <f t="shared" si="132"/>
        <v>Profitable</v>
      </c>
      <c r="M1459" s="2" t="str">
        <f t="shared" si="133"/>
        <v>Stable Earnings</v>
      </c>
      <c r="N1459" s="2" t="str">
        <f t="shared" si="134"/>
        <v>Low Quality</v>
      </c>
      <c r="O1459" s="4" t="str">
        <f t="shared" si="135"/>
        <v>Operational Growth</v>
      </c>
      <c r="P1459" s="4" t="str">
        <f t="shared" si="136"/>
        <v>Low Quality</v>
      </c>
      <c r="Q1459" s="4" t="str">
        <f t="shared" si="137"/>
        <v>Moderate Growth</v>
      </c>
    </row>
    <row r="1460" spans="1:17" x14ac:dyDescent="0.35">
      <c r="A1460" s="2" t="s">
        <v>1471</v>
      </c>
      <c r="B1460" s="2">
        <v>5</v>
      </c>
      <c r="C1460" s="2">
        <v>29119943.100000001</v>
      </c>
      <c r="D1460" s="2">
        <v>0.8</v>
      </c>
      <c r="E1460" s="2">
        <v>41676184.380000003</v>
      </c>
      <c r="F1460" s="2">
        <v>21460495</v>
      </c>
      <c r="G1460" s="2">
        <v>3</v>
      </c>
      <c r="H1460" s="2">
        <v>2</v>
      </c>
      <c r="I1460" s="2">
        <v>3</v>
      </c>
      <c r="J1460" s="2">
        <v>2.7</v>
      </c>
      <c r="K1460" s="2" t="s">
        <v>1268</v>
      </c>
      <c r="L1460" s="2" t="str">
        <f t="shared" si="132"/>
        <v>Profitable</v>
      </c>
      <c r="M1460" s="2" t="str">
        <f t="shared" si="133"/>
        <v>Stable Earnings</v>
      </c>
      <c r="N1460" s="2" t="str">
        <f t="shared" si="134"/>
        <v>Low Quality</v>
      </c>
      <c r="O1460" s="4" t="str">
        <f t="shared" si="135"/>
        <v>Operational Growth</v>
      </c>
      <c r="P1460" s="4" t="str">
        <f t="shared" si="136"/>
        <v>Low Quality</v>
      </c>
      <c r="Q1460" s="4" t="str">
        <f t="shared" si="137"/>
        <v>Moderate Growth</v>
      </c>
    </row>
    <row r="1461" spans="1:17" x14ac:dyDescent="0.35">
      <c r="A1461" s="2" t="s">
        <v>1472</v>
      </c>
      <c r="B1461" s="2">
        <v>5</v>
      </c>
      <c r="C1461" s="2">
        <v>14764479.279999999</v>
      </c>
      <c r="D1461" s="2">
        <v>0.8</v>
      </c>
      <c r="E1461" s="2">
        <v>21010725.899999999</v>
      </c>
      <c r="F1461" s="2">
        <v>20038315.899999999</v>
      </c>
      <c r="G1461" s="2">
        <v>3</v>
      </c>
      <c r="H1461" s="2">
        <v>2</v>
      </c>
      <c r="I1461" s="2">
        <v>3</v>
      </c>
      <c r="J1461" s="2">
        <v>2.7</v>
      </c>
      <c r="K1461" s="2" t="s">
        <v>1268</v>
      </c>
      <c r="L1461" s="2" t="str">
        <f t="shared" si="132"/>
        <v>Profitable</v>
      </c>
      <c r="M1461" s="2" t="str">
        <f t="shared" si="133"/>
        <v>Stable Earnings</v>
      </c>
      <c r="N1461" s="2" t="str">
        <f t="shared" si="134"/>
        <v>Low Quality</v>
      </c>
      <c r="O1461" s="4" t="str">
        <f t="shared" si="135"/>
        <v>Operational Growth</v>
      </c>
      <c r="P1461" s="4" t="str">
        <f t="shared" si="136"/>
        <v>Low Quality</v>
      </c>
      <c r="Q1461" s="4" t="str">
        <f t="shared" si="137"/>
        <v>Moderate Growth</v>
      </c>
    </row>
    <row r="1462" spans="1:17" x14ac:dyDescent="0.35">
      <c r="A1462" s="2" t="s">
        <v>1473</v>
      </c>
      <c r="B1462" s="2">
        <v>5</v>
      </c>
      <c r="C1462" s="2">
        <v>524611742.19999999</v>
      </c>
      <c r="D1462" s="2">
        <v>1</v>
      </c>
      <c r="E1462" s="2">
        <v>470339344.5</v>
      </c>
      <c r="F1462" s="2">
        <v>202505167.90000001</v>
      </c>
      <c r="G1462" s="2">
        <v>2</v>
      </c>
      <c r="H1462" s="2">
        <v>5</v>
      </c>
      <c r="I1462" s="2">
        <v>1</v>
      </c>
      <c r="J1462" s="2">
        <v>2.7</v>
      </c>
      <c r="K1462" s="2" t="s">
        <v>1268</v>
      </c>
      <c r="L1462" s="2" t="str">
        <f t="shared" si="132"/>
        <v>Profitable</v>
      </c>
      <c r="M1462" s="2" t="str">
        <f t="shared" si="133"/>
        <v>High Volatility</v>
      </c>
      <c r="N1462" s="2" t="str">
        <f t="shared" si="134"/>
        <v>Low Quality</v>
      </c>
      <c r="O1462" s="4" t="str">
        <f t="shared" si="135"/>
        <v>Operational Growth</v>
      </c>
      <c r="P1462" s="4" t="str">
        <f t="shared" si="136"/>
        <v>Low Quality</v>
      </c>
      <c r="Q1462" s="4" t="str">
        <f t="shared" si="137"/>
        <v>Weak Growth</v>
      </c>
    </row>
    <row r="1463" spans="1:17" x14ac:dyDescent="0.35">
      <c r="A1463" s="2" t="s">
        <v>1474</v>
      </c>
      <c r="B1463" s="2">
        <v>5</v>
      </c>
      <c r="C1463" s="2">
        <v>1367023322</v>
      </c>
      <c r="D1463" s="2">
        <v>1</v>
      </c>
      <c r="E1463" s="2">
        <v>736117659.60000002</v>
      </c>
      <c r="F1463" s="2">
        <v>345886004</v>
      </c>
      <c r="G1463" s="2">
        <v>2</v>
      </c>
      <c r="H1463" s="2">
        <v>5</v>
      </c>
      <c r="I1463" s="2">
        <v>1</v>
      </c>
      <c r="J1463" s="2">
        <v>2.7</v>
      </c>
      <c r="K1463" s="2" t="s">
        <v>1268</v>
      </c>
      <c r="L1463" s="2" t="str">
        <f t="shared" si="132"/>
        <v>Profitable</v>
      </c>
      <c r="M1463" s="2" t="str">
        <f t="shared" si="133"/>
        <v>High Volatility</v>
      </c>
      <c r="N1463" s="2" t="str">
        <f t="shared" si="134"/>
        <v>Low Quality</v>
      </c>
      <c r="O1463" s="4" t="str">
        <f t="shared" si="135"/>
        <v>Operational Growth</v>
      </c>
      <c r="P1463" s="4" t="str">
        <f t="shared" si="136"/>
        <v>Low Quality</v>
      </c>
      <c r="Q1463" s="4" t="str">
        <f t="shared" si="137"/>
        <v>Weak Growth</v>
      </c>
    </row>
    <row r="1464" spans="1:17" x14ac:dyDescent="0.35">
      <c r="A1464" s="2" t="s">
        <v>1475</v>
      </c>
      <c r="B1464" s="2">
        <v>5</v>
      </c>
      <c r="C1464" s="2">
        <v>506279261.60000002</v>
      </c>
      <c r="D1464" s="2">
        <v>0.8</v>
      </c>
      <c r="E1464" s="2">
        <v>334762817.10000002</v>
      </c>
      <c r="F1464" s="2">
        <v>332550224.80000001</v>
      </c>
      <c r="G1464" s="2">
        <v>2</v>
      </c>
      <c r="H1464" s="2">
        <v>5</v>
      </c>
      <c r="I1464" s="2">
        <v>1</v>
      </c>
      <c r="J1464" s="2">
        <v>2.7</v>
      </c>
      <c r="K1464" s="2" t="s">
        <v>1268</v>
      </c>
      <c r="L1464" s="2" t="str">
        <f t="shared" si="132"/>
        <v>Profitable</v>
      </c>
      <c r="M1464" s="2" t="str">
        <f t="shared" si="133"/>
        <v>High Volatility</v>
      </c>
      <c r="N1464" s="2" t="str">
        <f t="shared" si="134"/>
        <v>Low Quality</v>
      </c>
      <c r="O1464" s="4" t="str">
        <f t="shared" si="135"/>
        <v>Operational Growth</v>
      </c>
      <c r="P1464" s="4" t="str">
        <f t="shared" si="136"/>
        <v>Low Quality</v>
      </c>
      <c r="Q1464" s="4" t="str">
        <f t="shared" si="137"/>
        <v>Weak Growth</v>
      </c>
    </row>
    <row r="1465" spans="1:17" x14ac:dyDescent="0.35">
      <c r="A1465" s="2" t="s">
        <v>1476</v>
      </c>
      <c r="B1465" s="2">
        <v>5</v>
      </c>
      <c r="C1465" s="2">
        <v>2133194314</v>
      </c>
      <c r="D1465" s="2">
        <v>1</v>
      </c>
      <c r="E1465" s="2">
        <v>594696713.60000002</v>
      </c>
      <c r="F1465" s="2">
        <v>441736243</v>
      </c>
      <c r="G1465" s="2">
        <v>2</v>
      </c>
      <c r="H1465" s="2">
        <v>5</v>
      </c>
      <c r="I1465" s="2">
        <v>1</v>
      </c>
      <c r="J1465" s="2">
        <v>2.7</v>
      </c>
      <c r="K1465" s="2" t="s">
        <v>1268</v>
      </c>
      <c r="L1465" s="2" t="str">
        <f t="shared" si="132"/>
        <v>Profitable</v>
      </c>
      <c r="M1465" s="2" t="str">
        <f t="shared" si="133"/>
        <v>High Volatility</v>
      </c>
      <c r="N1465" s="2" t="str">
        <f t="shared" si="134"/>
        <v>Low Quality</v>
      </c>
      <c r="O1465" s="4" t="str">
        <f t="shared" si="135"/>
        <v>Operational Growth</v>
      </c>
      <c r="P1465" s="4" t="str">
        <f t="shared" si="136"/>
        <v>Low Quality</v>
      </c>
      <c r="Q1465" s="4" t="str">
        <f t="shared" si="137"/>
        <v>Weak Growth</v>
      </c>
    </row>
    <row r="1466" spans="1:17" x14ac:dyDescent="0.35">
      <c r="A1466" s="2" t="s">
        <v>1477</v>
      </c>
      <c r="B1466" s="2">
        <v>5</v>
      </c>
      <c r="C1466" s="2">
        <v>2725645371</v>
      </c>
      <c r="D1466" s="2">
        <v>1</v>
      </c>
      <c r="E1466" s="2">
        <v>501025056.89999998</v>
      </c>
      <c r="F1466" s="2">
        <v>381996988</v>
      </c>
      <c r="G1466" s="2">
        <v>2</v>
      </c>
      <c r="H1466" s="2">
        <v>5</v>
      </c>
      <c r="I1466" s="2">
        <v>1</v>
      </c>
      <c r="J1466" s="2">
        <v>2.7</v>
      </c>
      <c r="K1466" s="2" t="s">
        <v>1268</v>
      </c>
      <c r="L1466" s="2" t="str">
        <f t="shared" si="132"/>
        <v>Profitable</v>
      </c>
      <c r="M1466" s="2" t="str">
        <f t="shared" si="133"/>
        <v>High Volatility</v>
      </c>
      <c r="N1466" s="2" t="str">
        <f t="shared" si="134"/>
        <v>Low Quality</v>
      </c>
      <c r="O1466" s="4" t="str">
        <f t="shared" si="135"/>
        <v>Operational Growth</v>
      </c>
      <c r="P1466" s="4" t="str">
        <f t="shared" si="136"/>
        <v>Low Quality</v>
      </c>
      <c r="Q1466" s="4" t="str">
        <f t="shared" si="137"/>
        <v>Weak Growth</v>
      </c>
    </row>
    <row r="1467" spans="1:17" x14ac:dyDescent="0.35">
      <c r="A1467" s="2" t="s">
        <v>1478</v>
      </c>
      <c r="B1467" s="2">
        <v>5</v>
      </c>
      <c r="C1467" s="2">
        <v>514514634.10000002</v>
      </c>
      <c r="D1467" s="2">
        <v>1</v>
      </c>
      <c r="E1467" s="2">
        <v>408169343.89999998</v>
      </c>
      <c r="F1467" s="2">
        <v>251848636.19999999</v>
      </c>
      <c r="G1467" s="2">
        <v>2</v>
      </c>
      <c r="H1467" s="2">
        <v>5</v>
      </c>
      <c r="I1467" s="2">
        <v>1</v>
      </c>
      <c r="J1467" s="2">
        <v>2.7</v>
      </c>
      <c r="K1467" s="2" t="s">
        <v>1268</v>
      </c>
      <c r="L1467" s="2" t="str">
        <f t="shared" si="132"/>
        <v>Profitable</v>
      </c>
      <c r="M1467" s="2" t="str">
        <f t="shared" si="133"/>
        <v>High Volatility</v>
      </c>
      <c r="N1467" s="2" t="str">
        <f t="shared" si="134"/>
        <v>Low Quality</v>
      </c>
      <c r="O1467" s="4" t="str">
        <f t="shared" si="135"/>
        <v>Operational Growth</v>
      </c>
      <c r="P1467" s="4" t="str">
        <f t="shared" si="136"/>
        <v>Low Quality</v>
      </c>
      <c r="Q1467" s="4" t="str">
        <f t="shared" si="137"/>
        <v>Weak Growth</v>
      </c>
    </row>
    <row r="1468" spans="1:17" x14ac:dyDescent="0.35">
      <c r="A1468" s="2" t="s">
        <v>1479</v>
      </c>
      <c r="B1468" s="2">
        <v>5</v>
      </c>
      <c r="C1468" s="2">
        <v>229657017.90000001</v>
      </c>
      <c r="D1468" s="2">
        <v>0.8</v>
      </c>
      <c r="E1468" s="2">
        <v>825077750.60000002</v>
      </c>
      <c r="F1468" s="2">
        <v>256782446.19999999</v>
      </c>
      <c r="G1468" s="2">
        <v>2</v>
      </c>
      <c r="H1468" s="2">
        <v>5</v>
      </c>
      <c r="I1468" s="2">
        <v>1</v>
      </c>
      <c r="J1468" s="2">
        <v>2.7</v>
      </c>
      <c r="K1468" s="2" t="s">
        <v>1268</v>
      </c>
      <c r="L1468" s="2" t="str">
        <f t="shared" si="132"/>
        <v>Profitable</v>
      </c>
      <c r="M1468" s="2" t="str">
        <f t="shared" si="133"/>
        <v>Stable Earnings</v>
      </c>
      <c r="N1468" s="2" t="str">
        <f t="shared" si="134"/>
        <v>Low Quality</v>
      </c>
      <c r="O1468" s="4" t="str">
        <f t="shared" si="135"/>
        <v>Operational Growth</v>
      </c>
      <c r="P1468" s="4" t="str">
        <f t="shared" si="136"/>
        <v>Low Quality</v>
      </c>
      <c r="Q1468" s="4" t="str">
        <f t="shared" si="137"/>
        <v>Weak Growth</v>
      </c>
    </row>
    <row r="1469" spans="1:17" x14ac:dyDescent="0.35">
      <c r="A1469" s="2" t="s">
        <v>1480</v>
      </c>
      <c r="B1469" s="2">
        <v>5</v>
      </c>
      <c r="C1469" s="2">
        <v>513811077.80000001</v>
      </c>
      <c r="D1469" s="2">
        <v>0.8</v>
      </c>
      <c r="E1469" s="2">
        <v>659022186.10000002</v>
      </c>
      <c r="F1469" s="2">
        <v>314094789.5</v>
      </c>
      <c r="G1469" s="2">
        <v>2</v>
      </c>
      <c r="H1469" s="2">
        <v>5</v>
      </c>
      <c r="I1469" s="2">
        <v>1</v>
      </c>
      <c r="J1469" s="2">
        <v>2.7</v>
      </c>
      <c r="K1469" s="2" t="s">
        <v>1268</v>
      </c>
      <c r="L1469" s="2" t="str">
        <f t="shared" si="132"/>
        <v>Profitable</v>
      </c>
      <c r="M1469" s="2" t="str">
        <f t="shared" si="133"/>
        <v>High Volatility</v>
      </c>
      <c r="N1469" s="2" t="str">
        <f t="shared" si="134"/>
        <v>Low Quality</v>
      </c>
      <c r="O1469" s="4" t="str">
        <f t="shared" si="135"/>
        <v>Operational Growth</v>
      </c>
      <c r="P1469" s="4" t="str">
        <f t="shared" si="136"/>
        <v>Low Quality</v>
      </c>
      <c r="Q1469" s="4" t="str">
        <f t="shared" si="137"/>
        <v>Weak Growth</v>
      </c>
    </row>
    <row r="1470" spans="1:17" x14ac:dyDescent="0.35">
      <c r="A1470" s="2" t="s">
        <v>1481</v>
      </c>
      <c r="B1470" s="2">
        <v>5</v>
      </c>
      <c r="C1470" s="2">
        <v>870731789.79999995</v>
      </c>
      <c r="D1470" s="2">
        <v>1</v>
      </c>
      <c r="E1470" s="2">
        <v>446659832.89999998</v>
      </c>
      <c r="F1470" s="2">
        <v>537471845</v>
      </c>
      <c r="G1470" s="2">
        <v>2</v>
      </c>
      <c r="H1470" s="2">
        <v>5</v>
      </c>
      <c r="I1470" s="2">
        <v>1</v>
      </c>
      <c r="J1470" s="2">
        <v>2.7</v>
      </c>
      <c r="K1470" s="2" t="s">
        <v>1268</v>
      </c>
      <c r="L1470" s="2" t="str">
        <f t="shared" si="132"/>
        <v>Profitable</v>
      </c>
      <c r="M1470" s="2" t="str">
        <f t="shared" si="133"/>
        <v>High Volatility</v>
      </c>
      <c r="N1470" s="2" t="str">
        <f t="shared" si="134"/>
        <v>Low Quality</v>
      </c>
      <c r="O1470" s="4" t="str">
        <f t="shared" si="135"/>
        <v>Operational Growth</v>
      </c>
      <c r="P1470" s="4" t="str">
        <f t="shared" si="136"/>
        <v>Low Quality</v>
      </c>
      <c r="Q1470" s="4" t="str">
        <f t="shared" si="137"/>
        <v>Weak Growth</v>
      </c>
    </row>
    <row r="1471" spans="1:17" x14ac:dyDescent="0.35">
      <c r="A1471" s="2" t="s">
        <v>1482</v>
      </c>
      <c r="B1471" s="2">
        <v>5</v>
      </c>
      <c r="C1471" s="2">
        <v>597291658</v>
      </c>
      <c r="D1471" s="2">
        <v>1</v>
      </c>
      <c r="E1471" s="2">
        <v>350682875</v>
      </c>
      <c r="F1471" s="2">
        <v>492648860.5</v>
      </c>
      <c r="G1471" s="2">
        <v>2</v>
      </c>
      <c r="H1471" s="2">
        <v>5</v>
      </c>
      <c r="I1471" s="2">
        <v>1</v>
      </c>
      <c r="J1471" s="2">
        <v>2.7</v>
      </c>
      <c r="K1471" s="2" t="s">
        <v>1268</v>
      </c>
      <c r="L1471" s="2" t="str">
        <f t="shared" si="132"/>
        <v>Profitable</v>
      </c>
      <c r="M1471" s="2" t="str">
        <f t="shared" si="133"/>
        <v>High Volatility</v>
      </c>
      <c r="N1471" s="2" t="str">
        <f t="shared" si="134"/>
        <v>Low Quality</v>
      </c>
      <c r="O1471" s="4" t="str">
        <f t="shared" si="135"/>
        <v>Operational Growth</v>
      </c>
      <c r="P1471" s="4" t="str">
        <f t="shared" si="136"/>
        <v>Low Quality</v>
      </c>
      <c r="Q1471" s="4" t="str">
        <f t="shared" si="137"/>
        <v>Weak Growth</v>
      </c>
    </row>
    <row r="1472" spans="1:17" x14ac:dyDescent="0.35">
      <c r="A1472" s="2" t="s">
        <v>1483</v>
      </c>
      <c r="B1472" s="2">
        <v>5</v>
      </c>
      <c r="C1472" s="2">
        <v>94163619.859999999</v>
      </c>
      <c r="D1472" s="2">
        <v>0.8</v>
      </c>
      <c r="E1472" s="2">
        <v>464748234.10000002</v>
      </c>
      <c r="F1472" s="2">
        <v>458765112.19999999</v>
      </c>
      <c r="G1472" s="2">
        <v>2</v>
      </c>
      <c r="H1472" s="2">
        <v>5</v>
      </c>
      <c r="I1472" s="2">
        <v>1</v>
      </c>
      <c r="J1472" s="2">
        <v>2.7</v>
      </c>
      <c r="K1472" s="2" t="s">
        <v>1268</v>
      </c>
      <c r="L1472" s="2" t="str">
        <f t="shared" si="132"/>
        <v>Profitable</v>
      </c>
      <c r="M1472" s="2" t="str">
        <f t="shared" si="133"/>
        <v>Stable Earnings</v>
      </c>
      <c r="N1472" s="2" t="str">
        <f t="shared" si="134"/>
        <v>Low Quality</v>
      </c>
      <c r="O1472" s="4" t="str">
        <f t="shared" si="135"/>
        <v>Operational Growth</v>
      </c>
      <c r="P1472" s="4" t="str">
        <f t="shared" si="136"/>
        <v>Low Quality</v>
      </c>
      <c r="Q1472" s="4" t="str">
        <f t="shared" si="137"/>
        <v>Weak Growth</v>
      </c>
    </row>
    <row r="1473" spans="1:17" x14ac:dyDescent="0.35">
      <c r="A1473" s="2" t="s">
        <v>1484</v>
      </c>
      <c r="B1473" s="2">
        <v>5</v>
      </c>
      <c r="C1473" s="2">
        <v>552107309.39999998</v>
      </c>
      <c r="D1473" s="2">
        <v>1</v>
      </c>
      <c r="E1473" s="2">
        <v>539588536</v>
      </c>
      <c r="F1473" s="2">
        <v>584695183.70000005</v>
      </c>
      <c r="G1473" s="2">
        <v>2</v>
      </c>
      <c r="H1473" s="2">
        <v>5</v>
      </c>
      <c r="I1473" s="2">
        <v>1</v>
      </c>
      <c r="J1473" s="2">
        <v>2.7</v>
      </c>
      <c r="K1473" s="2" t="s">
        <v>1268</v>
      </c>
      <c r="L1473" s="2" t="str">
        <f t="shared" si="132"/>
        <v>Profitable</v>
      </c>
      <c r="M1473" s="2" t="str">
        <f t="shared" si="133"/>
        <v>High Volatility</v>
      </c>
      <c r="N1473" s="2" t="str">
        <f t="shared" si="134"/>
        <v>Low Quality</v>
      </c>
      <c r="O1473" s="4" t="str">
        <f t="shared" si="135"/>
        <v>Operational Growth</v>
      </c>
      <c r="P1473" s="4" t="str">
        <f t="shared" si="136"/>
        <v>Low Quality</v>
      </c>
      <c r="Q1473" s="4" t="str">
        <f t="shared" si="137"/>
        <v>Weak Growth</v>
      </c>
    </row>
    <row r="1474" spans="1:17" x14ac:dyDescent="0.35">
      <c r="A1474" s="2" t="s">
        <v>1485</v>
      </c>
      <c r="B1474" s="2">
        <v>5</v>
      </c>
      <c r="C1474" s="2">
        <v>3260329794</v>
      </c>
      <c r="D1474" s="2">
        <v>1</v>
      </c>
      <c r="E1474" s="2">
        <v>1368801918</v>
      </c>
      <c r="F1474" s="2">
        <v>581773451</v>
      </c>
      <c r="G1474" s="2">
        <v>2</v>
      </c>
      <c r="H1474" s="2">
        <v>5</v>
      </c>
      <c r="I1474" s="2">
        <v>1</v>
      </c>
      <c r="J1474" s="2">
        <v>2.7</v>
      </c>
      <c r="K1474" s="2" t="s">
        <v>1268</v>
      </c>
      <c r="L1474" s="2" t="str">
        <f t="shared" ref="L1474:L1537" si="138">IF(C1474&gt;0,"Profitable","Loss Making")</f>
        <v>Profitable</v>
      </c>
      <c r="M1474" s="2" t="str">
        <f t="shared" ref="M1474:M1537" si="139">IF(C1474&gt;500000000,"High Volatility","Stable Earnings")</f>
        <v>High Volatility</v>
      </c>
      <c r="N1474" s="2" t="str">
        <f t="shared" ref="N1474:N1537" si="140">IF(G1474&gt;=7,"High Quality",IF(G1474&gt;=4,"Moderate","Low Quality"))</f>
        <v>Low Quality</v>
      </c>
      <c r="O1474" s="4" t="str">
        <f t="shared" ref="O1474:O1537" si="141">IF(AND(F1474&gt;0,D1474&gt;0.6),"Operational Growth","Accounting Risk")</f>
        <v>Operational Growth</v>
      </c>
      <c r="P1474" s="4" t="str">
        <f t="shared" ref="P1474:P1537" si="142">IF(G1474&gt;=7,"High Quality", IF(G1474&gt;=4,"Moderate","Low Quality"))</f>
        <v>Low Quality</v>
      </c>
      <c r="Q1474" s="4" t="str">
        <f t="shared" ref="Q1474:Q1537" si="143">IF(I1474&gt;=4,"Strong Long-Term Growth",IF(I1474&gt;=2,"Moderate Growth","Weak Growth"))</f>
        <v>Weak Growth</v>
      </c>
    </row>
    <row r="1475" spans="1:17" x14ac:dyDescent="0.35">
      <c r="A1475" s="2" t="s">
        <v>1486</v>
      </c>
      <c r="B1475" s="2">
        <v>5</v>
      </c>
      <c r="C1475" s="2">
        <v>488244067.69999999</v>
      </c>
      <c r="D1475" s="2">
        <v>1</v>
      </c>
      <c r="E1475" s="2">
        <v>344184235.60000002</v>
      </c>
      <c r="F1475" s="2">
        <v>554428690.89999998</v>
      </c>
      <c r="G1475" s="2">
        <v>2</v>
      </c>
      <c r="H1475" s="2">
        <v>5</v>
      </c>
      <c r="I1475" s="2">
        <v>1</v>
      </c>
      <c r="J1475" s="2">
        <v>2.7</v>
      </c>
      <c r="K1475" s="2" t="s">
        <v>1268</v>
      </c>
      <c r="L1475" s="2" t="str">
        <f t="shared" si="138"/>
        <v>Profitable</v>
      </c>
      <c r="M1475" s="2" t="str">
        <f t="shared" si="139"/>
        <v>Stable Earnings</v>
      </c>
      <c r="N1475" s="2" t="str">
        <f t="shared" si="140"/>
        <v>Low Quality</v>
      </c>
      <c r="O1475" s="4" t="str">
        <f t="shared" si="141"/>
        <v>Operational Growth</v>
      </c>
      <c r="P1475" s="4" t="str">
        <f t="shared" si="142"/>
        <v>Low Quality</v>
      </c>
      <c r="Q1475" s="4" t="str">
        <f t="shared" si="143"/>
        <v>Weak Growth</v>
      </c>
    </row>
    <row r="1476" spans="1:17" x14ac:dyDescent="0.35">
      <c r="A1476" s="2" t="s">
        <v>1487</v>
      </c>
      <c r="B1476" s="2">
        <v>5</v>
      </c>
      <c r="C1476" s="2">
        <v>862287475.10000002</v>
      </c>
      <c r="D1476" s="2">
        <v>1</v>
      </c>
      <c r="E1476" s="2">
        <v>347553809</v>
      </c>
      <c r="F1476" s="2">
        <v>556763417.10000002</v>
      </c>
      <c r="G1476" s="2">
        <v>2</v>
      </c>
      <c r="H1476" s="2">
        <v>5</v>
      </c>
      <c r="I1476" s="2">
        <v>1</v>
      </c>
      <c r="J1476" s="2">
        <v>2.7</v>
      </c>
      <c r="K1476" s="2" t="s">
        <v>1268</v>
      </c>
      <c r="L1476" s="2" t="str">
        <f t="shared" si="138"/>
        <v>Profitable</v>
      </c>
      <c r="M1476" s="2" t="str">
        <f t="shared" si="139"/>
        <v>High Volatility</v>
      </c>
      <c r="N1476" s="2" t="str">
        <f t="shared" si="140"/>
        <v>Low Quality</v>
      </c>
      <c r="O1476" s="4" t="str">
        <f t="shared" si="141"/>
        <v>Operational Growth</v>
      </c>
      <c r="P1476" s="4" t="str">
        <f t="shared" si="142"/>
        <v>Low Quality</v>
      </c>
      <c r="Q1476" s="4" t="str">
        <f t="shared" si="143"/>
        <v>Weak Growth</v>
      </c>
    </row>
    <row r="1477" spans="1:17" x14ac:dyDescent="0.35">
      <c r="A1477" s="2" t="s">
        <v>1488</v>
      </c>
      <c r="B1477" s="2">
        <v>5</v>
      </c>
      <c r="C1477" s="2">
        <v>936002428.70000005</v>
      </c>
      <c r="D1477" s="2">
        <v>1</v>
      </c>
      <c r="E1477" s="2">
        <v>421392967.5</v>
      </c>
      <c r="F1477" s="2">
        <v>565035297.60000002</v>
      </c>
      <c r="G1477" s="2">
        <v>2</v>
      </c>
      <c r="H1477" s="2">
        <v>5</v>
      </c>
      <c r="I1477" s="2">
        <v>1</v>
      </c>
      <c r="J1477" s="2">
        <v>2.7</v>
      </c>
      <c r="K1477" s="2" t="s">
        <v>1268</v>
      </c>
      <c r="L1477" s="2" t="str">
        <f t="shared" si="138"/>
        <v>Profitable</v>
      </c>
      <c r="M1477" s="2" t="str">
        <f t="shared" si="139"/>
        <v>High Volatility</v>
      </c>
      <c r="N1477" s="2" t="str">
        <f t="shared" si="140"/>
        <v>Low Quality</v>
      </c>
      <c r="O1477" s="4" t="str">
        <f t="shared" si="141"/>
        <v>Operational Growth</v>
      </c>
      <c r="P1477" s="4" t="str">
        <f t="shared" si="142"/>
        <v>Low Quality</v>
      </c>
      <c r="Q1477" s="4" t="str">
        <f t="shared" si="143"/>
        <v>Weak Growth</v>
      </c>
    </row>
    <row r="1478" spans="1:17" x14ac:dyDescent="0.35">
      <c r="A1478" s="2" t="s">
        <v>1489</v>
      </c>
      <c r="B1478" s="2">
        <v>5</v>
      </c>
      <c r="C1478" s="2">
        <v>1545079657</v>
      </c>
      <c r="D1478" s="2">
        <v>1</v>
      </c>
      <c r="E1478" s="2">
        <v>335070066.19999999</v>
      </c>
      <c r="F1478" s="2">
        <v>561690096</v>
      </c>
      <c r="G1478" s="2">
        <v>2</v>
      </c>
      <c r="H1478" s="2">
        <v>5</v>
      </c>
      <c r="I1478" s="2">
        <v>1</v>
      </c>
      <c r="J1478" s="2">
        <v>2.7</v>
      </c>
      <c r="K1478" s="2" t="s">
        <v>1268</v>
      </c>
      <c r="L1478" s="2" t="str">
        <f t="shared" si="138"/>
        <v>Profitable</v>
      </c>
      <c r="M1478" s="2" t="str">
        <f t="shared" si="139"/>
        <v>High Volatility</v>
      </c>
      <c r="N1478" s="2" t="str">
        <f t="shared" si="140"/>
        <v>Low Quality</v>
      </c>
      <c r="O1478" s="4" t="str">
        <f t="shared" si="141"/>
        <v>Operational Growth</v>
      </c>
      <c r="P1478" s="4" t="str">
        <f t="shared" si="142"/>
        <v>Low Quality</v>
      </c>
      <c r="Q1478" s="4" t="str">
        <f t="shared" si="143"/>
        <v>Weak Growth</v>
      </c>
    </row>
    <row r="1479" spans="1:17" x14ac:dyDescent="0.35">
      <c r="A1479" s="2" t="s">
        <v>1490</v>
      </c>
      <c r="B1479" s="2">
        <v>5</v>
      </c>
      <c r="C1479" s="2">
        <v>980425654.79999995</v>
      </c>
      <c r="D1479" s="2">
        <v>1</v>
      </c>
      <c r="E1479" s="2">
        <v>353673017.30000001</v>
      </c>
      <c r="F1479" s="2">
        <v>588655305.5</v>
      </c>
      <c r="G1479" s="2">
        <v>2</v>
      </c>
      <c r="H1479" s="2">
        <v>5</v>
      </c>
      <c r="I1479" s="2">
        <v>1</v>
      </c>
      <c r="J1479" s="2">
        <v>2.7</v>
      </c>
      <c r="K1479" s="2" t="s">
        <v>1268</v>
      </c>
      <c r="L1479" s="2" t="str">
        <f t="shared" si="138"/>
        <v>Profitable</v>
      </c>
      <c r="M1479" s="2" t="str">
        <f t="shared" si="139"/>
        <v>High Volatility</v>
      </c>
      <c r="N1479" s="2" t="str">
        <f t="shared" si="140"/>
        <v>Low Quality</v>
      </c>
      <c r="O1479" s="4" t="str">
        <f t="shared" si="141"/>
        <v>Operational Growth</v>
      </c>
      <c r="P1479" s="4" t="str">
        <f t="shared" si="142"/>
        <v>Low Quality</v>
      </c>
      <c r="Q1479" s="4" t="str">
        <f t="shared" si="143"/>
        <v>Weak Growth</v>
      </c>
    </row>
    <row r="1480" spans="1:17" x14ac:dyDescent="0.35">
      <c r="A1480" s="2" t="s">
        <v>1491</v>
      </c>
      <c r="B1480" s="2">
        <v>5</v>
      </c>
      <c r="C1480" s="2">
        <v>1495115271</v>
      </c>
      <c r="D1480" s="2">
        <v>1</v>
      </c>
      <c r="E1480" s="2">
        <v>431349604.89999998</v>
      </c>
      <c r="F1480" s="2">
        <v>587324896</v>
      </c>
      <c r="G1480" s="2">
        <v>2</v>
      </c>
      <c r="H1480" s="2">
        <v>5</v>
      </c>
      <c r="I1480" s="2">
        <v>1</v>
      </c>
      <c r="J1480" s="2">
        <v>2.7</v>
      </c>
      <c r="K1480" s="2" t="s">
        <v>1268</v>
      </c>
      <c r="L1480" s="2" t="str">
        <f t="shared" si="138"/>
        <v>Profitable</v>
      </c>
      <c r="M1480" s="2" t="str">
        <f t="shared" si="139"/>
        <v>High Volatility</v>
      </c>
      <c r="N1480" s="2" t="str">
        <f t="shared" si="140"/>
        <v>Low Quality</v>
      </c>
      <c r="O1480" s="4" t="str">
        <f t="shared" si="141"/>
        <v>Operational Growth</v>
      </c>
      <c r="P1480" s="4" t="str">
        <f t="shared" si="142"/>
        <v>Low Quality</v>
      </c>
      <c r="Q1480" s="4" t="str">
        <f t="shared" si="143"/>
        <v>Weak Growth</v>
      </c>
    </row>
    <row r="1481" spans="1:17" x14ac:dyDescent="0.35">
      <c r="A1481" s="2" t="s">
        <v>1492</v>
      </c>
      <c r="B1481" s="2">
        <v>5</v>
      </c>
      <c r="C1481" s="2">
        <v>4285983028</v>
      </c>
      <c r="D1481" s="2">
        <v>1</v>
      </c>
      <c r="E1481" s="2">
        <v>1711518522</v>
      </c>
      <c r="F1481" s="2">
        <v>810725931</v>
      </c>
      <c r="G1481" s="2">
        <v>2</v>
      </c>
      <c r="H1481" s="2">
        <v>5</v>
      </c>
      <c r="I1481" s="2">
        <v>1</v>
      </c>
      <c r="J1481" s="2">
        <v>2.7</v>
      </c>
      <c r="K1481" s="2" t="s">
        <v>1268</v>
      </c>
      <c r="L1481" s="2" t="str">
        <f t="shared" si="138"/>
        <v>Profitable</v>
      </c>
      <c r="M1481" s="2" t="str">
        <f t="shared" si="139"/>
        <v>High Volatility</v>
      </c>
      <c r="N1481" s="2" t="str">
        <f t="shared" si="140"/>
        <v>Low Quality</v>
      </c>
      <c r="O1481" s="4" t="str">
        <f t="shared" si="141"/>
        <v>Operational Growth</v>
      </c>
      <c r="P1481" s="4" t="str">
        <f t="shared" si="142"/>
        <v>Low Quality</v>
      </c>
      <c r="Q1481" s="4" t="str">
        <f t="shared" si="143"/>
        <v>Weak Growth</v>
      </c>
    </row>
    <row r="1482" spans="1:17" x14ac:dyDescent="0.35">
      <c r="A1482" s="2" t="s">
        <v>1493</v>
      </c>
      <c r="B1482" s="2">
        <v>5</v>
      </c>
      <c r="C1482" s="2">
        <v>901562643.20000005</v>
      </c>
      <c r="D1482" s="2">
        <v>1</v>
      </c>
      <c r="E1482" s="2">
        <v>422590419.69999999</v>
      </c>
      <c r="F1482" s="2">
        <v>859184403.60000002</v>
      </c>
      <c r="G1482" s="2">
        <v>2</v>
      </c>
      <c r="H1482" s="2">
        <v>5</v>
      </c>
      <c r="I1482" s="2">
        <v>1</v>
      </c>
      <c r="J1482" s="2">
        <v>2.7</v>
      </c>
      <c r="K1482" s="2" t="s">
        <v>1268</v>
      </c>
      <c r="L1482" s="2" t="str">
        <f t="shared" si="138"/>
        <v>Profitable</v>
      </c>
      <c r="M1482" s="2" t="str">
        <f t="shared" si="139"/>
        <v>High Volatility</v>
      </c>
      <c r="N1482" s="2" t="str">
        <f t="shared" si="140"/>
        <v>Low Quality</v>
      </c>
      <c r="O1482" s="4" t="str">
        <f t="shared" si="141"/>
        <v>Operational Growth</v>
      </c>
      <c r="P1482" s="4" t="str">
        <f t="shared" si="142"/>
        <v>Low Quality</v>
      </c>
      <c r="Q1482" s="4" t="str">
        <f t="shared" si="143"/>
        <v>Weak Growth</v>
      </c>
    </row>
    <row r="1483" spans="1:17" x14ac:dyDescent="0.35">
      <c r="A1483" s="2" t="s">
        <v>1494</v>
      </c>
      <c r="B1483" s="2">
        <v>5</v>
      </c>
      <c r="C1483" s="2">
        <v>436704517.5</v>
      </c>
      <c r="D1483" s="2">
        <v>0.8</v>
      </c>
      <c r="E1483" s="2">
        <v>427867835.19999999</v>
      </c>
      <c r="F1483" s="2">
        <v>836497646.20000005</v>
      </c>
      <c r="G1483" s="2">
        <v>2</v>
      </c>
      <c r="H1483" s="2">
        <v>5</v>
      </c>
      <c r="I1483" s="2">
        <v>1</v>
      </c>
      <c r="J1483" s="2">
        <v>2.7</v>
      </c>
      <c r="K1483" s="2" t="s">
        <v>1268</v>
      </c>
      <c r="L1483" s="2" t="str">
        <f t="shared" si="138"/>
        <v>Profitable</v>
      </c>
      <c r="M1483" s="2" t="str">
        <f t="shared" si="139"/>
        <v>Stable Earnings</v>
      </c>
      <c r="N1483" s="2" t="str">
        <f t="shared" si="140"/>
        <v>Low Quality</v>
      </c>
      <c r="O1483" s="4" t="str">
        <f t="shared" si="141"/>
        <v>Operational Growth</v>
      </c>
      <c r="P1483" s="4" t="str">
        <f t="shared" si="142"/>
        <v>Low Quality</v>
      </c>
      <c r="Q1483" s="4" t="str">
        <f t="shared" si="143"/>
        <v>Weak Growth</v>
      </c>
    </row>
    <row r="1484" spans="1:17" x14ac:dyDescent="0.35">
      <c r="A1484" s="2" t="s">
        <v>1495</v>
      </c>
      <c r="B1484" s="2">
        <v>5</v>
      </c>
      <c r="C1484" s="2">
        <v>2265561781</v>
      </c>
      <c r="D1484" s="2">
        <v>1</v>
      </c>
      <c r="E1484" s="2">
        <v>576492934.60000002</v>
      </c>
      <c r="F1484" s="2">
        <v>1055981787</v>
      </c>
      <c r="G1484" s="2">
        <v>2</v>
      </c>
      <c r="H1484" s="2">
        <v>5</v>
      </c>
      <c r="I1484" s="2">
        <v>1</v>
      </c>
      <c r="J1484" s="2">
        <v>2.7</v>
      </c>
      <c r="K1484" s="2" t="s">
        <v>1268</v>
      </c>
      <c r="L1484" s="2" t="str">
        <f t="shared" si="138"/>
        <v>Profitable</v>
      </c>
      <c r="M1484" s="2" t="str">
        <f t="shared" si="139"/>
        <v>High Volatility</v>
      </c>
      <c r="N1484" s="2" t="str">
        <f t="shared" si="140"/>
        <v>Low Quality</v>
      </c>
      <c r="O1484" s="4" t="str">
        <f t="shared" si="141"/>
        <v>Operational Growth</v>
      </c>
      <c r="P1484" s="4" t="str">
        <f t="shared" si="142"/>
        <v>Low Quality</v>
      </c>
      <c r="Q1484" s="4" t="str">
        <f t="shared" si="143"/>
        <v>Weak Growth</v>
      </c>
    </row>
    <row r="1485" spans="1:17" x14ac:dyDescent="0.35">
      <c r="A1485" s="2" t="s">
        <v>1496</v>
      </c>
      <c r="B1485" s="2">
        <v>5</v>
      </c>
      <c r="C1485" s="2">
        <v>2966910534</v>
      </c>
      <c r="D1485" s="2">
        <v>1</v>
      </c>
      <c r="E1485" s="2">
        <v>798295514.60000002</v>
      </c>
      <c r="F1485" s="2">
        <v>877943650</v>
      </c>
      <c r="G1485" s="2">
        <v>2</v>
      </c>
      <c r="H1485" s="2">
        <v>5</v>
      </c>
      <c r="I1485" s="2">
        <v>1</v>
      </c>
      <c r="J1485" s="2">
        <v>2.7</v>
      </c>
      <c r="K1485" s="2" t="s">
        <v>1268</v>
      </c>
      <c r="L1485" s="2" t="str">
        <f t="shared" si="138"/>
        <v>Profitable</v>
      </c>
      <c r="M1485" s="2" t="str">
        <f t="shared" si="139"/>
        <v>High Volatility</v>
      </c>
      <c r="N1485" s="2" t="str">
        <f t="shared" si="140"/>
        <v>Low Quality</v>
      </c>
      <c r="O1485" s="4" t="str">
        <f t="shared" si="141"/>
        <v>Operational Growth</v>
      </c>
      <c r="P1485" s="4" t="str">
        <f t="shared" si="142"/>
        <v>Low Quality</v>
      </c>
      <c r="Q1485" s="4" t="str">
        <f t="shared" si="143"/>
        <v>Weak Growth</v>
      </c>
    </row>
    <row r="1486" spans="1:17" x14ac:dyDescent="0.35">
      <c r="A1486" s="2" t="s">
        <v>1497</v>
      </c>
      <c r="B1486" s="2">
        <v>5</v>
      </c>
      <c r="C1486" s="2">
        <v>2296167489</v>
      </c>
      <c r="D1486" s="2">
        <v>1</v>
      </c>
      <c r="E1486" s="2">
        <v>767007282</v>
      </c>
      <c r="F1486" s="2">
        <v>948405261</v>
      </c>
      <c r="G1486" s="2">
        <v>2</v>
      </c>
      <c r="H1486" s="2">
        <v>5</v>
      </c>
      <c r="I1486" s="2">
        <v>1</v>
      </c>
      <c r="J1486" s="2">
        <v>2.7</v>
      </c>
      <c r="K1486" s="2" t="s">
        <v>1268</v>
      </c>
      <c r="L1486" s="2" t="str">
        <f t="shared" si="138"/>
        <v>Profitable</v>
      </c>
      <c r="M1486" s="2" t="str">
        <f t="shared" si="139"/>
        <v>High Volatility</v>
      </c>
      <c r="N1486" s="2" t="str">
        <f t="shared" si="140"/>
        <v>Low Quality</v>
      </c>
      <c r="O1486" s="4" t="str">
        <f t="shared" si="141"/>
        <v>Operational Growth</v>
      </c>
      <c r="P1486" s="4" t="str">
        <f t="shared" si="142"/>
        <v>Low Quality</v>
      </c>
      <c r="Q1486" s="4" t="str">
        <f t="shared" si="143"/>
        <v>Weak Growth</v>
      </c>
    </row>
    <row r="1487" spans="1:17" x14ac:dyDescent="0.35">
      <c r="A1487" s="2" t="s">
        <v>1498</v>
      </c>
      <c r="B1487" s="2">
        <v>5</v>
      </c>
      <c r="C1487" s="2">
        <v>1218892852</v>
      </c>
      <c r="D1487" s="2">
        <v>0.8</v>
      </c>
      <c r="E1487" s="2">
        <v>1039084574</v>
      </c>
      <c r="F1487" s="2">
        <v>946265644.60000002</v>
      </c>
      <c r="G1487" s="2">
        <v>2</v>
      </c>
      <c r="H1487" s="2">
        <v>5</v>
      </c>
      <c r="I1487" s="2">
        <v>1</v>
      </c>
      <c r="J1487" s="2">
        <v>2.7</v>
      </c>
      <c r="K1487" s="2" t="s">
        <v>1268</v>
      </c>
      <c r="L1487" s="2" t="str">
        <f t="shared" si="138"/>
        <v>Profitable</v>
      </c>
      <c r="M1487" s="2" t="str">
        <f t="shared" si="139"/>
        <v>High Volatility</v>
      </c>
      <c r="N1487" s="2" t="str">
        <f t="shared" si="140"/>
        <v>Low Quality</v>
      </c>
      <c r="O1487" s="4" t="str">
        <f t="shared" si="141"/>
        <v>Operational Growth</v>
      </c>
      <c r="P1487" s="4" t="str">
        <f t="shared" si="142"/>
        <v>Low Quality</v>
      </c>
      <c r="Q1487" s="4" t="str">
        <f t="shared" si="143"/>
        <v>Weak Growth</v>
      </c>
    </row>
    <row r="1488" spans="1:17" x14ac:dyDescent="0.35">
      <c r="A1488" s="2" t="s">
        <v>1499</v>
      </c>
      <c r="B1488" s="2">
        <v>5</v>
      </c>
      <c r="C1488" s="2">
        <v>1953909347</v>
      </c>
      <c r="D1488" s="2">
        <v>1</v>
      </c>
      <c r="E1488" s="2">
        <v>365445654.19999999</v>
      </c>
      <c r="F1488" s="2">
        <v>889213374</v>
      </c>
      <c r="G1488" s="2">
        <v>2</v>
      </c>
      <c r="H1488" s="2">
        <v>5</v>
      </c>
      <c r="I1488" s="2">
        <v>1</v>
      </c>
      <c r="J1488" s="2">
        <v>2.7</v>
      </c>
      <c r="K1488" s="2" t="s">
        <v>1268</v>
      </c>
      <c r="L1488" s="2" t="str">
        <f t="shared" si="138"/>
        <v>Profitable</v>
      </c>
      <c r="M1488" s="2" t="str">
        <f t="shared" si="139"/>
        <v>High Volatility</v>
      </c>
      <c r="N1488" s="2" t="str">
        <f t="shared" si="140"/>
        <v>Low Quality</v>
      </c>
      <c r="O1488" s="4" t="str">
        <f t="shared" si="141"/>
        <v>Operational Growth</v>
      </c>
      <c r="P1488" s="4" t="str">
        <f t="shared" si="142"/>
        <v>Low Quality</v>
      </c>
      <c r="Q1488" s="4" t="str">
        <f t="shared" si="143"/>
        <v>Weak Growth</v>
      </c>
    </row>
    <row r="1489" spans="1:17" x14ac:dyDescent="0.35">
      <c r="A1489" s="2" t="s">
        <v>1500</v>
      </c>
      <c r="B1489" s="2">
        <v>5</v>
      </c>
      <c r="C1489" s="2">
        <v>8286258820</v>
      </c>
      <c r="D1489" s="2">
        <v>1</v>
      </c>
      <c r="E1489" s="2">
        <v>973755581.89999998</v>
      </c>
      <c r="F1489" s="2">
        <v>1036170131</v>
      </c>
      <c r="G1489" s="2">
        <v>2</v>
      </c>
      <c r="H1489" s="2">
        <v>5</v>
      </c>
      <c r="I1489" s="2">
        <v>1</v>
      </c>
      <c r="J1489" s="2">
        <v>2.7</v>
      </c>
      <c r="K1489" s="2" t="s">
        <v>1268</v>
      </c>
      <c r="L1489" s="2" t="str">
        <f t="shared" si="138"/>
        <v>Profitable</v>
      </c>
      <c r="M1489" s="2" t="str">
        <f t="shared" si="139"/>
        <v>High Volatility</v>
      </c>
      <c r="N1489" s="2" t="str">
        <f t="shared" si="140"/>
        <v>Low Quality</v>
      </c>
      <c r="O1489" s="4" t="str">
        <f t="shared" si="141"/>
        <v>Operational Growth</v>
      </c>
      <c r="P1489" s="4" t="str">
        <f t="shared" si="142"/>
        <v>Low Quality</v>
      </c>
      <c r="Q1489" s="4" t="str">
        <f t="shared" si="143"/>
        <v>Weak Growth</v>
      </c>
    </row>
    <row r="1490" spans="1:17" x14ac:dyDescent="0.35">
      <c r="A1490" s="2" t="s">
        <v>1501</v>
      </c>
      <c r="B1490" s="2">
        <v>5</v>
      </c>
      <c r="C1490" s="2">
        <v>1232569565</v>
      </c>
      <c r="D1490" s="2">
        <v>1</v>
      </c>
      <c r="E1490" s="2">
        <v>362225588.80000001</v>
      </c>
      <c r="F1490" s="2">
        <v>923295307</v>
      </c>
      <c r="G1490" s="2">
        <v>2</v>
      </c>
      <c r="H1490" s="2">
        <v>5</v>
      </c>
      <c r="I1490" s="2">
        <v>1</v>
      </c>
      <c r="J1490" s="2">
        <v>2.7</v>
      </c>
      <c r="K1490" s="2" t="s">
        <v>1268</v>
      </c>
      <c r="L1490" s="2" t="str">
        <f t="shared" si="138"/>
        <v>Profitable</v>
      </c>
      <c r="M1490" s="2" t="str">
        <f t="shared" si="139"/>
        <v>High Volatility</v>
      </c>
      <c r="N1490" s="2" t="str">
        <f t="shared" si="140"/>
        <v>Low Quality</v>
      </c>
      <c r="O1490" s="4" t="str">
        <f t="shared" si="141"/>
        <v>Operational Growth</v>
      </c>
      <c r="P1490" s="4" t="str">
        <f t="shared" si="142"/>
        <v>Low Quality</v>
      </c>
      <c r="Q1490" s="4" t="str">
        <f t="shared" si="143"/>
        <v>Weak Growth</v>
      </c>
    </row>
    <row r="1491" spans="1:17" x14ac:dyDescent="0.35">
      <c r="A1491" s="2" t="s">
        <v>1502</v>
      </c>
      <c r="B1491" s="2">
        <v>5</v>
      </c>
      <c r="C1491" s="2">
        <v>2460694628</v>
      </c>
      <c r="D1491" s="2">
        <v>1</v>
      </c>
      <c r="E1491" s="2">
        <v>988360894.29999995</v>
      </c>
      <c r="F1491" s="2">
        <v>920465652</v>
      </c>
      <c r="G1491" s="2">
        <v>2</v>
      </c>
      <c r="H1491" s="2">
        <v>5</v>
      </c>
      <c r="I1491" s="2">
        <v>1</v>
      </c>
      <c r="J1491" s="2">
        <v>2.7</v>
      </c>
      <c r="K1491" s="2" t="s">
        <v>1268</v>
      </c>
      <c r="L1491" s="2" t="str">
        <f t="shared" si="138"/>
        <v>Profitable</v>
      </c>
      <c r="M1491" s="2" t="str">
        <f t="shared" si="139"/>
        <v>High Volatility</v>
      </c>
      <c r="N1491" s="2" t="str">
        <f t="shared" si="140"/>
        <v>Low Quality</v>
      </c>
      <c r="O1491" s="4" t="str">
        <f t="shared" si="141"/>
        <v>Operational Growth</v>
      </c>
      <c r="P1491" s="4" t="str">
        <f t="shared" si="142"/>
        <v>Low Quality</v>
      </c>
      <c r="Q1491" s="4" t="str">
        <f t="shared" si="143"/>
        <v>Weak Growth</v>
      </c>
    </row>
    <row r="1492" spans="1:17" x14ac:dyDescent="0.35">
      <c r="A1492" s="2" t="s">
        <v>1503</v>
      </c>
      <c r="B1492" s="2">
        <v>5</v>
      </c>
      <c r="C1492" s="2">
        <v>1950861667</v>
      </c>
      <c r="D1492" s="2">
        <v>1</v>
      </c>
      <c r="E1492" s="2">
        <v>336789840.5</v>
      </c>
      <c r="F1492" s="2">
        <v>908079381</v>
      </c>
      <c r="G1492" s="2">
        <v>2</v>
      </c>
      <c r="H1492" s="2">
        <v>5</v>
      </c>
      <c r="I1492" s="2">
        <v>1</v>
      </c>
      <c r="J1492" s="2">
        <v>2.7</v>
      </c>
      <c r="K1492" s="2" t="s">
        <v>1268</v>
      </c>
      <c r="L1492" s="2" t="str">
        <f t="shared" si="138"/>
        <v>Profitable</v>
      </c>
      <c r="M1492" s="2" t="str">
        <f t="shared" si="139"/>
        <v>High Volatility</v>
      </c>
      <c r="N1492" s="2" t="str">
        <f t="shared" si="140"/>
        <v>Low Quality</v>
      </c>
      <c r="O1492" s="4" t="str">
        <f t="shared" si="141"/>
        <v>Operational Growth</v>
      </c>
      <c r="P1492" s="4" t="str">
        <f t="shared" si="142"/>
        <v>Low Quality</v>
      </c>
      <c r="Q1492" s="4" t="str">
        <f t="shared" si="143"/>
        <v>Weak Growth</v>
      </c>
    </row>
    <row r="1493" spans="1:17" x14ac:dyDescent="0.35">
      <c r="A1493" s="2" t="s">
        <v>1504</v>
      </c>
      <c r="B1493" s="2">
        <v>5</v>
      </c>
      <c r="C1493" s="2">
        <v>1296260759</v>
      </c>
      <c r="D1493" s="2">
        <v>0.8</v>
      </c>
      <c r="E1493" s="2">
        <v>1221328302</v>
      </c>
      <c r="F1493" s="2">
        <v>732620775</v>
      </c>
      <c r="G1493" s="2">
        <v>2</v>
      </c>
      <c r="H1493" s="2">
        <v>5</v>
      </c>
      <c r="I1493" s="2">
        <v>1</v>
      </c>
      <c r="J1493" s="2">
        <v>2.7</v>
      </c>
      <c r="K1493" s="2" t="s">
        <v>1268</v>
      </c>
      <c r="L1493" s="2" t="str">
        <f t="shared" si="138"/>
        <v>Profitable</v>
      </c>
      <c r="M1493" s="2" t="str">
        <f t="shared" si="139"/>
        <v>High Volatility</v>
      </c>
      <c r="N1493" s="2" t="str">
        <f t="shared" si="140"/>
        <v>Low Quality</v>
      </c>
      <c r="O1493" s="4" t="str">
        <f t="shared" si="141"/>
        <v>Operational Growth</v>
      </c>
      <c r="P1493" s="4" t="str">
        <f t="shared" si="142"/>
        <v>Low Quality</v>
      </c>
      <c r="Q1493" s="4" t="str">
        <f t="shared" si="143"/>
        <v>Weak Growth</v>
      </c>
    </row>
    <row r="1494" spans="1:17" x14ac:dyDescent="0.35">
      <c r="A1494" s="2" t="s">
        <v>1505</v>
      </c>
      <c r="B1494" s="2">
        <v>5</v>
      </c>
      <c r="C1494" s="2">
        <v>689262847.39999998</v>
      </c>
      <c r="D1494" s="2">
        <v>0.8</v>
      </c>
      <c r="E1494" s="2">
        <v>691805427.20000005</v>
      </c>
      <c r="F1494" s="2">
        <v>725851790.29999995</v>
      </c>
      <c r="G1494" s="2">
        <v>2</v>
      </c>
      <c r="H1494" s="2">
        <v>5</v>
      </c>
      <c r="I1494" s="2">
        <v>1</v>
      </c>
      <c r="J1494" s="2">
        <v>2.7</v>
      </c>
      <c r="K1494" s="2" t="s">
        <v>1268</v>
      </c>
      <c r="L1494" s="2" t="str">
        <f t="shared" si="138"/>
        <v>Profitable</v>
      </c>
      <c r="M1494" s="2" t="str">
        <f t="shared" si="139"/>
        <v>High Volatility</v>
      </c>
      <c r="N1494" s="2" t="str">
        <f t="shared" si="140"/>
        <v>Low Quality</v>
      </c>
      <c r="O1494" s="4" t="str">
        <f t="shared" si="141"/>
        <v>Operational Growth</v>
      </c>
      <c r="P1494" s="4" t="str">
        <f t="shared" si="142"/>
        <v>Low Quality</v>
      </c>
      <c r="Q1494" s="4" t="str">
        <f t="shared" si="143"/>
        <v>Weak Growth</v>
      </c>
    </row>
    <row r="1495" spans="1:17" x14ac:dyDescent="0.35">
      <c r="A1495" s="2" t="s">
        <v>1506</v>
      </c>
      <c r="B1495" s="2">
        <v>5</v>
      </c>
      <c r="C1495" s="2">
        <v>1152046194</v>
      </c>
      <c r="D1495" s="2">
        <v>1</v>
      </c>
      <c r="E1495" s="2">
        <v>608842638</v>
      </c>
      <c r="F1495" s="2">
        <v>691358370.29999995</v>
      </c>
      <c r="G1495" s="2">
        <v>2</v>
      </c>
      <c r="H1495" s="2">
        <v>5</v>
      </c>
      <c r="I1495" s="2">
        <v>1</v>
      </c>
      <c r="J1495" s="2">
        <v>2.7</v>
      </c>
      <c r="K1495" s="2" t="s">
        <v>1268</v>
      </c>
      <c r="L1495" s="2" t="str">
        <f t="shared" si="138"/>
        <v>Profitable</v>
      </c>
      <c r="M1495" s="2" t="str">
        <f t="shared" si="139"/>
        <v>High Volatility</v>
      </c>
      <c r="N1495" s="2" t="str">
        <f t="shared" si="140"/>
        <v>Low Quality</v>
      </c>
      <c r="O1495" s="4" t="str">
        <f t="shared" si="141"/>
        <v>Operational Growth</v>
      </c>
      <c r="P1495" s="4" t="str">
        <f t="shared" si="142"/>
        <v>Low Quality</v>
      </c>
      <c r="Q1495" s="4" t="str">
        <f t="shared" si="143"/>
        <v>Weak Growth</v>
      </c>
    </row>
    <row r="1496" spans="1:17" x14ac:dyDescent="0.35">
      <c r="A1496" s="2" t="s">
        <v>1507</v>
      </c>
      <c r="B1496" s="2">
        <v>5</v>
      </c>
      <c r="C1496" s="2">
        <v>403119314.80000001</v>
      </c>
      <c r="D1496" s="2">
        <v>0.8</v>
      </c>
      <c r="E1496" s="2">
        <v>367447692.30000001</v>
      </c>
      <c r="F1496" s="2">
        <v>687158297.79999995</v>
      </c>
      <c r="G1496" s="2">
        <v>2</v>
      </c>
      <c r="H1496" s="2">
        <v>5</v>
      </c>
      <c r="I1496" s="2">
        <v>1</v>
      </c>
      <c r="J1496" s="2">
        <v>2.7</v>
      </c>
      <c r="K1496" s="2" t="s">
        <v>1268</v>
      </c>
      <c r="L1496" s="2" t="str">
        <f t="shared" si="138"/>
        <v>Profitable</v>
      </c>
      <c r="M1496" s="2" t="str">
        <f t="shared" si="139"/>
        <v>Stable Earnings</v>
      </c>
      <c r="N1496" s="2" t="str">
        <f t="shared" si="140"/>
        <v>Low Quality</v>
      </c>
      <c r="O1496" s="4" t="str">
        <f t="shared" si="141"/>
        <v>Operational Growth</v>
      </c>
      <c r="P1496" s="4" t="str">
        <f t="shared" si="142"/>
        <v>Low Quality</v>
      </c>
      <c r="Q1496" s="4" t="str">
        <f t="shared" si="143"/>
        <v>Weak Growth</v>
      </c>
    </row>
    <row r="1497" spans="1:17" x14ac:dyDescent="0.35">
      <c r="A1497" s="2" t="s">
        <v>1508</v>
      </c>
      <c r="B1497" s="2">
        <v>5</v>
      </c>
      <c r="C1497" s="2">
        <v>6272164291</v>
      </c>
      <c r="D1497" s="2">
        <v>1</v>
      </c>
      <c r="E1497" s="2">
        <v>663070906.89999998</v>
      </c>
      <c r="F1497" s="2">
        <v>686670365</v>
      </c>
      <c r="G1497" s="2">
        <v>2</v>
      </c>
      <c r="H1497" s="2">
        <v>5</v>
      </c>
      <c r="I1497" s="2">
        <v>1</v>
      </c>
      <c r="J1497" s="2">
        <v>2.7</v>
      </c>
      <c r="K1497" s="2" t="s">
        <v>1268</v>
      </c>
      <c r="L1497" s="2" t="str">
        <f t="shared" si="138"/>
        <v>Profitable</v>
      </c>
      <c r="M1497" s="2" t="str">
        <f t="shared" si="139"/>
        <v>High Volatility</v>
      </c>
      <c r="N1497" s="2" t="str">
        <f t="shared" si="140"/>
        <v>Low Quality</v>
      </c>
      <c r="O1497" s="4" t="str">
        <f t="shared" si="141"/>
        <v>Operational Growth</v>
      </c>
      <c r="P1497" s="4" t="str">
        <f t="shared" si="142"/>
        <v>Low Quality</v>
      </c>
      <c r="Q1497" s="4" t="str">
        <f t="shared" si="143"/>
        <v>Weak Growth</v>
      </c>
    </row>
    <row r="1498" spans="1:17" x14ac:dyDescent="0.35">
      <c r="A1498" s="2" t="s">
        <v>1509</v>
      </c>
      <c r="B1498" s="2">
        <v>5</v>
      </c>
      <c r="C1498" s="2">
        <v>1922664706</v>
      </c>
      <c r="D1498" s="2">
        <v>1</v>
      </c>
      <c r="E1498" s="2">
        <v>342375966.10000002</v>
      </c>
      <c r="F1498" s="2">
        <v>756030095</v>
      </c>
      <c r="G1498" s="2">
        <v>2</v>
      </c>
      <c r="H1498" s="2">
        <v>5</v>
      </c>
      <c r="I1498" s="2">
        <v>1</v>
      </c>
      <c r="J1498" s="2">
        <v>2.7</v>
      </c>
      <c r="K1498" s="2" t="s">
        <v>1268</v>
      </c>
      <c r="L1498" s="2" t="str">
        <f t="shared" si="138"/>
        <v>Profitable</v>
      </c>
      <c r="M1498" s="2" t="str">
        <f t="shared" si="139"/>
        <v>High Volatility</v>
      </c>
      <c r="N1498" s="2" t="str">
        <f t="shared" si="140"/>
        <v>Low Quality</v>
      </c>
      <c r="O1498" s="4" t="str">
        <f t="shared" si="141"/>
        <v>Operational Growth</v>
      </c>
      <c r="P1498" s="4" t="str">
        <f t="shared" si="142"/>
        <v>Low Quality</v>
      </c>
      <c r="Q1498" s="4" t="str">
        <f t="shared" si="143"/>
        <v>Weak Growth</v>
      </c>
    </row>
    <row r="1499" spans="1:17" x14ac:dyDescent="0.35">
      <c r="A1499" s="2" t="s">
        <v>1510</v>
      </c>
      <c r="B1499" s="2">
        <v>5</v>
      </c>
      <c r="C1499" s="2">
        <v>1927729951</v>
      </c>
      <c r="D1499" s="2">
        <v>1</v>
      </c>
      <c r="E1499" s="2">
        <v>371576986.5</v>
      </c>
      <c r="F1499" s="2">
        <v>710106960</v>
      </c>
      <c r="G1499" s="2">
        <v>2</v>
      </c>
      <c r="H1499" s="2">
        <v>5</v>
      </c>
      <c r="I1499" s="2">
        <v>1</v>
      </c>
      <c r="J1499" s="2">
        <v>2.7</v>
      </c>
      <c r="K1499" s="2" t="s">
        <v>1268</v>
      </c>
      <c r="L1499" s="2" t="str">
        <f t="shared" si="138"/>
        <v>Profitable</v>
      </c>
      <c r="M1499" s="2" t="str">
        <f t="shared" si="139"/>
        <v>High Volatility</v>
      </c>
      <c r="N1499" s="2" t="str">
        <f t="shared" si="140"/>
        <v>Low Quality</v>
      </c>
      <c r="O1499" s="4" t="str">
        <f t="shared" si="141"/>
        <v>Operational Growth</v>
      </c>
      <c r="P1499" s="4" t="str">
        <f t="shared" si="142"/>
        <v>Low Quality</v>
      </c>
      <c r="Q1499" s="4" t="str">
        <f t="shared" si="143"/>
        <v>Weak Growth</v>
      </c>
    </row>
    <row r="1500" spans="1:17" x14ac:dyDescent="0.35">
      <c r="A1500" s="2" t="s">
        <v>1511</v>
      </c>
      <c r="B1500" s="2">
        <v>5</v>
      </c>
      <c r="C1500" s="2">
        <v>1254188964</v>
      </c>
      <c r="D1500" s="2">
        <v>1</v>
      </c>
      <c r="E1500" s="2">
        <v>395991210</v>
      </c>
      <c r="F1500" s="2">
        <v>658451329.10000002</v>
      </c>
      <c r="G1500" s="2">
        <v>2</v>
      </c>
      <c r="H1500" s="2">
        <v>5</v>
      </c>
      <c r="I1500" s="2">
        <v>1</v>
      </c>
      <c r="J1500" s="2">
        <v>2.7</v>
      </c>
      <c r="K1500" s="2" t="s">
        <v>1268</v>
      </c>
      <c r="L1500" s="2" t="str">
        <f t="shared" si="138"/>
        <v>Profitable</v>
      </c>
      <c r="M1500" s="2" t="str">
        <f t="shared" si="139"/>
        <v>High Volatility</v>
      </c>
      <c r="N1500" s="2" t="str">
        <f t="shared" si="140"/>
        <v>Low Quality</v>
      </c>
      <c r="O1500" s="4" t="str">
        <f t="shared" si="141"/>
        <v>Operational Growth</v>
      </c>
      <c r="P1500" s="4" t="str">
        <f t="shared" si="142"/>
        <v>Low Quality</v>
      </c>
      <c r="Q1500" s="4" t="str">
        <f t="shared" si="143"/>
        <v>Weak Growth</v>
      </c>
    </row>
    <row r="1501" spans="1:17" x14ac:dyDescent="0.35">
      <c r="A1501" s="2" t="s">
        <v>1512</v>
      </c>
      <c r="B1501" s="2">
        <v>5</v>
      </c>
      <c r="C1501" s="2">
        <v>1253031206</v>
      </c>
      <c r="D1501" s="2">
        <v>1</v>
      </c>
      <c r="E1501" s="2">
        <v>387310575.69999999</v>
      </c>
      <c r="F1501" s="2">
        <v>633705054</v>
      </c>
      <c r="G1501" s="2">
        <v>2</v>
      </c>
      <c r="H1501" s="2">
        <v>5</v>
      </c>
      <c r="I1501" s="2">
        <v>1</v>
      </c>
      <c r="J1501" s="2">
        <v>2.7</v>
      </c>
      <c r="K1501" s="2" t="s">
        <v>1268</v>
      </c>
      <c r="L1501" s="2" t="str">
        <f t="shared" si="138"/>
        <v>Profitable</v>
      </c>
      <c r="M1501" s="2" t="str">
        <f t="shared" si="139"/>
        <v>High Volatility</v>
      </c>
      <c r="N1501" s="2" t="str">
        <f t="shared" si="140"/>
        <v>Low Quality</v>
      </c>
      <c r="O1501" s="4" t="str">
        <f t="shared" si="141"/>
        <v>Operational Growth</v>
      </c>
      <c r="P1501" s="4" t="str">
        <f t="shared" si="142"/>
        <v>Low Quality</v>
      </c>
      <c r="Q1501" s="4" t="str">
        <f t="shared" si="143"/>
        <v>Weak Growth</v>
      </c>
    </row>
    <row r="1502" spans="1:17" x14ac:dyDescent="0.35">
      <c r="A1502" s="2" t="s">
        <v>1513</v>
      </c>
      <c r="B1502" s="2">
        <v>5</v>
      </c>
      <c r="C1502" s="2">
        <v>523132891.69999999</v>
      </c>
      <c r="D1502" s="2">
        <v>0.8</v>
      </c>
      <c r="E1502" s="2">
        <v>418412691.5</v>
      </c>
      <c r="F1502" s="2">
        <v>1129443257</v>
      </c>
      <c r="G1502" s="2">
        <v>2</v>
      </c>
      <c r="H1502" s="2">
        <v>5</v>
      </c>
      <c r="I1502" s="2">
        <v>1</v>
      </c>
      <c r="J1502" s="2">
        <v>2.7</v>
      </c>
      <c r="K1502" s="2" t="s">
        <v>1268</v>
      </c>
      <c r="L1502" s="2" t="str">
        <f t="shared" si="138"/>
        <v>Profitable</v>
      </c>
      <c r="M1502" s="2" t="str">
        <f t="shared" si="139"/>
        <v>High Volatility</v>
      </c>
      <c r="N1502" s="2" t="str">
        <f t="shared" si="140"/>
        <v>Low Quality</v>
      </c>
      <c r="O1502" s="4" t="str">
        <f t="shared" si="141"/>
        <v>Operational Growth</v>
      </c>
      <c r="P1502" s="4" t="str">
        <f t="shared" si="142"/>
        <v>Low Quality</v>
      </c>
      <c r="Q1502" s="4" t="str">
        <f t="shared" si="143"/>
        <v>Weak Growth</v>
      </c>
    </row>
    <row r="1503" spans="1:17" x14ac:dyDescent="0.35">
      <c r="A1503" s="2" t="s">
        <v>1514</v>
      </c>
      <c r="B1503" s="2">
        <v>5</v>
      </c>
      <c r="C1503" s="2">
        <v>611706635.29999995</v>
      </c>
      <c r="D1503" s="2">
        <v>1</v>
      </c>
      <c r="E1503" s="2">
        <v>679691481.29999995</v>
      </c>
      <c r="F1503" s="2">
        <v>1173263323</v>
      </c>
      <c r="G1503" s="2">
        <v>2</v>
      </c>
      <c r="H1503" s="2">
        <v>5</v>
      </c>
      <c r="I1503" s="2">
        <v>1</v>
      </c>
      <c r="J1503" s="2">
        <v>2.7</v>
      </c>
      <c r="K1503" s="2" t="s">
        <v>1268</v>
      </c>
      <c r="L1503" s="2" t="str">
        <f t="shared" si="138"/>
        <v>Profitable</v>
      </c>
      <c r="M1503" s="2" t="str">
        <f t="shared" si="139"/>
        <v>High Volatility</v>
      </c>
      <c r="N1503" s="2" t="str">
        <f t="shared" si="140"/>
        <v>Low Quality</v>
      </c>
      <c r="O1503" s="4" t="str">
        <f t="shared" si="141"/>
        <v>Operational Growth</v>
      </c>
      <c r="P1503" s="4" t="str">
        <f t="shared" si="142"/>
        <v>Low Quality</v>
      </c>
      <c r="Q1503" s="4" t="str">
        <f t="shared" si="143"/>
        <v>Weak Growth</v>
      </c>
    </row>
    <row r="1504" spans="1:17" x14ac:dyDescent="0.35">
      <c r="A1504" s="2" t="s">
        <v>1515</v>
      </c>
      <c r="B1504" s="2">
        <v>5</v>
      </c>
      <c r="C1504" s="2">
        <v>567892566.29999995</v>
      </c>
      <c r="D1504" s="2">
        <v>1</v>
      </c>
      <c r="E1504" s="2">
        <v>496478018</v>
      </c>
      <c r="F1504" s="2">
        <v>1233701289</v>
      </c>
      <c r="G1504" s="2">
        <v>2</v>
      </c>
      <c r="H1504" s="2">
        <v>5</v>
      </c>
      <c r="I1504" s="2">
        <v>1</v>
      </c>
      <c r="J1504" s="2">
        <v>2.7</v>
      </c>
      <c r="K1504" s="2" t="s">
        <v>1268</v>
      </c>
      <c r="L1504" s="2" t="str">
        <f t="shared" si="138"/>
        <v>Profitable</v>
      </c>
      <c r="M1504" s="2" t="str">
        <f t="shared" si="139"/>
        <v>High Volatility</v>
      </c>
      <c r="N1504" s="2" t="str">
        <f t="shared" si="140"/>
        <v>Low Quality</v>
      </c>
      <c r="O1504" s="4" t="str">
        <f t="shared" si="141"/>
        <v>Operational Growth</v>
      </c>
      <c r="P1504" s="4" t="str">
        <f t="shared" si="142"/>
        <v>Low Quality</v>
      </c>
      <c r="Q1504" s="4" t="str">
        <f t="shared" si="143"/>
        <v>Weak Growth</v>
      </c>
    </row>
    <row r="1505" spans="1:17" x14ac:dyDescent="0.35">
      <c r="A1505" s="2" t="s">
        <v>1516</v>
      </c>
      <c r="B1505" s="2">
        <v>5</v>
      </c>
      <c r="C1505" s="2">
        <v>511831386.39999998</v>
      </c>
      <c r="D1505" s="2">
        <v>1</v>
      </c>
      <c r="E1505" s="2">
        <v>693006554.70000005</v>
      </c>
      <c r="F1505" s="2">
        <v>1221611881</v>
      </c>
      <c r="G1505" s="2">
        <v>2</v>
      </c>
      <c r="H1505" s="2">
        <v>5</v>
      </c>
      <c r="I1505" s="2">
        <v>1</v>
      </c>
      <c r="J1505" s="2">
        <v>2.7</v>
      </c>
      <c r="K1505" s="2" t="s">
        <v>1268</v>
      </c>
      <c r="L1505" s="2" t="str">
        <f t="shared" si="138"/>
        <v>Profitable</v>
      </c>
      <c r="M1505" s="2" t="str">
        <f t="shared" si="139"/>
        <v>High Volatility</v>
      </c>
      <c r="N1505" s="2" t="str">
        <f t="shared" si="140"/>
        <v>Low Quality</v>
      </c>
      <c r="O1505" s="4" t="str">
        <f t="shared" si="141"/>
        <v>Operational Growth</v>
      </c>
      <c r="P1505" s="4" t="str">
        <f t="shared" si="142"/>
        <v>Low Quality</v>
      </c>
      <c r="Q1505" s="4" t="str">
        <f t="shared" si="143"/>
        <v>Weak Growth</v>
      </c>
    </row>
    <row r="1506" spans="1:17" x14ac:dyDescent="0.35">
      <c r="A1506" s="2" t="s">
        <v>1517</v>
      </c>
      <c r="B1506" s="2">
        <v>5</v>
      </c>
      <c r="C1506" s="2">
        <v>2936585985</v>
      </c>
      <c r="D1506" s="2">
        <v>1</v>
      </c>
      <c r="E1506" s="2">
        <v>1671614126</v>
      </c>
      <c r="F1506" s="2">
        <v>1204727579</v>
      </c>
      <c r="G1506" s="2">
        <v>2</v>
      </c>
      <c r="H1506" s="2">
        <v>5</v>
      </c>
      <c r="I1506" s="2">
        <v>1</v>
      </c>
      <c r="J1506" s="2">
        <v>2.7</v>
      </c>
      <c r="K1506" s="2" t="s">
        <v>1268</v>
      </c>
      <c r="L1506" s="2" t="str">
        <f t="shared" si="138"/>
        <v>Profitable</v>
      </c>
      <c r="M1506" s="2" t="str">
        <f t="shared" si="139"/>
        <v>High Volatility</v>
      </c>
      <c r="N1506" s="2" t="str">
        <f t="shared" si="140"/>
        <v>Low Quality</v>
      </c>
      <c r="O1506" s="4" t="str">
        <f t="shared" si="141"/>
        <v>Operational Growth</v>
      </c>
      <c r="P1506" s="4" t="str">
        <f t="shared" si="142"/>
        <v>Low Quality</v>
      </c>
      <c r="Q1506" s="4" t="str">
        <f t="shared" si="143"/>
        <v>Weak Growth</v>
      </c>
    </row>
    <row r="1507" spans="1:17" x14ac:dyDescent="0.35">
      <c r="A1507" s="2" t="s">
        <v>1518</v>
      </c>
      <c r="B1507" s="2">
        <v>5</v>
      </c>
      <c r="C1507" s="2">
        <v>3870636511</v>
      </c>
      <c r="D1507" s="2">
        <v>1</v>
      </c>
      <c r="E1507" s="2">
        <v>825892652.29999995</v>
      </c>
      <c r="F1507" s="2">
        <v>1262927958</v>
      </c>
      <c r="G1507" s="2">
        <v>2</v>
      </c>
      <c r="H1507" s="2">
        <v>5</v>
      </c>
      <c r="I1507" s="2">
        <v>1</v>
      </c>
      <c r="J1507" s="2">
        <v>2.7</v>
      </c>
      <c r="K1507" s="2" t="s">
        <v>1268</v>
      </c>
      <c r="L1507" s="2" t="str">
        <f t="shared" si="138"/>
        <v>Profitable</v>
      </c>
      <c r="M1507" s="2" t="str">
        <f t="shared" si="139"/>
        <v>High Volatility</v>
      </c>
      <c r="N1507" s="2" t="str">
        <f t="shared" si="140"/>
        <v>Low Quality</v>
      </c>
      <c r="O1507" s="4" t="str">
        <f t="shared" si="141"/>
        <v>Operational Growth</v>
      </c>
      <c r="P1507" s="4" t="str">
        <f t="shared" si="142"/>
        <v>Low Quality</v>
      </c>
      <c r="Q1507" s="4" t="str">
        <f t="shared" si="143"/>
        <v>Weak Growth</v>
      </c>
    </row>
    <row r="1508" spans="1:17" x14ac:dyDescent="0.35">
      <c r="A1508" s="2" t="s">
        <v>1519</v>
      </c>
      <c r="B1508" s="2">
        <v>5</v>
      </c>
      <c r="C1508" s="2">
        <v>1626665355</v>
      </c>
      <c r="D1508" s="2">
        <v>1</v>
      </c>
      <c r="E1508" s="2">
        <v>669503957.20000005</v>
      </c>
      <c r="F1508" s="2">
        <v>1271581886</v>
      </c>
      <c r="G1508" s="2">
        <v>2</v>
      </c>
      <c r="H1508" s="2">
        <v>5</v>
      </c>
      <c r="I1508" s="2">
        <v>1</v>
      </c>
      <c r="J1508" s="2">
        <v>2.7</v>
      </c>
      <c r="K1508" s="2" t="s">
        <v>1268</v>
      </c>
      <c r="L1508" s="2" t="str">
        <f t="shared" si="138"/>
        <v>Profitable</v>
      </c>
      <c r="M1508" s="2" t="str">
        <f t="shared" si="139"/>
        <v>High Volatility</v>
      </c>
      <c r="N1508" s="2" t="str">
        <f t="shared" si="140"/>
        <v>Low Quality</v>
      </c>
      <c r="O1508" s="4" t="str">
        <f t="shared" si="141"/>
        <v>Operational Growth</v>
      </c>
      <c r="P1508" s="4" t="str">
        <f t="shared" si="142"/>
        <v>Low Quality</v>
      </c>
      <c r="Q1508" s="4" t="str">
        <f t="shared" si="143"/>
        <v>Weak Growth</v>
      </c>
    </row>
    <row r="1509" spans="1:17" x14ac:dyDescent="0.35">
      <c r="A1509" s="2" t="s">
        <v>1520</v>
      </c>
      <c r="B1509" s="2">
        <v>5</v>
      </c>
      <c r="C1509" s="2">
        <v>7966732042</v>
      </c>
      <c r="D1509" s="2">
        <v>1</v>
      </c>
      <c r="E1509" s="2">
        <v>954995706.10000002</v>
      </c>
      <c r="F1509" s="2">
        <v>1416659004</v>
      </c>
      <c r="G1509" s="2">
        <v>2</v>
      </c>
      <c r="H1509" s="2">
        <v>5</v>
      </c>
      <c r="I1509" s="2">
        <v>1</v>
      </c>
      <c r="J1509" s="2">
        <v>2.7</v>
      </c>
      <c r="K1509" s="2" t="s">
        <v>1268</v>
      </c>
      <c r="L1509" s="2" t="str">
        <f t="shared" si="138"/>
        <v>Profitable</v>
      </c>
      <c r="M1509" s="2" t="str">
        <f t="shared" si="139"/>
        <v>High Volatility</v>
      </c>
      <c r="N1509" s="2" t="str">
        <f t="shared" si="140"/>
        <v>Low Quality</v>
      </c>
      <c r="O1509" s="4" t="str">
        <f t="shared" si="141"/>
        <v>Operational Growth</v>
      </c>
      <c r="P1509" s="4" t="str">
        <f t="shared" si="142"/>
        <v>Low Quality</v>
      </c>
      <c r="Q1509" s="4" t="str">
        <f t="shared" si="143"/>
        <v>Weak Growth</v>
      </c>
    </row>
    <row r="1510" spans="1:17" x14ac:dyDescent="0.35">
      <c r="A1510" s="2" t="s">
        <v>1521</v>
      </c>
      <c r="B1510" s="2">
        <v>5</v>
      </c>
      <c r="C1510" s="2">
        <v>4777499150</v>
      </c>
      <c r="D1510" s="2">
        <v>1</v>
      </c>
      <c r="E1510" s="2">
        <v>1491870268</v>
      </c>
      <c r="F1510" s="2">
        <v>1317201253</v>
      </c>
      <c r="G1510" s="2">
        <v>2</v>
      </c>
      <c r="H1510" s="2">
        <v>5</v>
      </c>
      <c r="I1510" s="2">
        <v>1</v>
      </c>
      <c r="J1510" s="2">
        <v>2.7</v>
      </c>
      <c r="K1510" s="2" t="s">
        <v>1268</v>
      </c>
      <c r="L1510" s="2" t="str">
        <f t="shared" si="138"/>
        <v>Profitable</v>
      </c>
      <c r="M1510" s="2" t="str">
        <f t="shared" si="139"/>
        <v>High Volatility</v>
      </c>
      <c r="N1510" s="2" t="str">
        <f t="shared" si="140"/>
        <v>Low Quality</v>
      </c>
      <c r="O1510" s="4" t="str">
        <f t="shared" si="141"/>
        <v>Operational Growth</v>
      </c>
      <c r="P1510" s="4" t="str">
        <f t="shared" si="142"/>
        <v>Low Quality</v>
      </c>
      <c r="Q1510" s="4" t="str">
        <f t="shared" si="143"/>
        <v>Weak Growth</v>
      </c>
    </row>
    <row r="1511" spans="1:17" x14ac:dyDescent="0.35">
      <c r="A1511" s="2" t="s">
        <v>1522</v>
      </c>
      <c r="B1511" s="2">
        <v>5</v>
      </c>
      <c r="C1511" s="2">
        <v>299975408.10000002</v>
      </c>
      <c r="D1511" s="2">
        <v>0.8</v>
      </c>
      <c r="E1511" s="2">
        <v>3747713932</v>
      </c>
      <c r="F1511" s="2">
        <v>1860128549</v>
      </c>
      <c r="G1511" s="2">
        <v>2</v>
      </c>
      <c r="H1511" s="2">
        <v>5</v>
      </c>
      <c r="I1511" s="2">
        <v>1</v>
      </c>
      <c r="J1511" s="2">
        <v>2.7</v>
      </c>
      <c r="K1511" s="2" t="s">
        <v>1268</v>
      </c>
      <c r="L1511" s="2" t="str">
        <f t="shared" si="138"/>
        <v>Profitable</v>
      </c>
      <c r="M1511" s="2" t="str">
        <f t="shared" si="139"/>
        <v>Stable Earnings</v>
      </c>
      <c r="N1511" s="2" t="str">
        <f t="shared" si="140"/>
        <v>Low Quality</v>
      </c>
      <c r="O1511" s="4" t="str">
        <f t="shared" si="141"/>
        <v>Operational Growth</v>
      </c>
      <c r="P1511" s="4" t="str">
        <f t="shared" si="142"/>
        <v>Low Quality</v>
      </c>
      <c r="Q1511" s="4" t="str">
        <f t="shared" si="143"/>
        <v>Weak Growth</v>
      </c>
    </row>
    <row r="1512" spans="1:17" x14ac:dyDescent="0.35">
      <c r="A1512" s="2" t="s">
        <v>1523</v>
      </c>
      <c r="B1512" s="2">
        <v>5</v>
      </c>
      <c r="C1512" s="2">
        <v>3442568007</v>
      </c>
      <c r="D1512" s="2">
        <v>1</v>
      </c>
      <c r="E1512" s="2">
        <v>938394506.79999995</v>
      </c>
      <c r="F1512" s="2">
        <v>1898525668</v>
      </c>
      <c r="G1512" s="2">
        <v>2</v>
      </c>
      <c r="H1512" s="2">
        <v>5</v>
      </c>
      <c r="I1512" s="2">
        <v>1</v>
      </c>
      <c r="J1512" s="2">
        <v>2.7</v>
      </c>
      <c r="K1512" s="2" t="s">
        <v>1268</v>
      </c>
      <c r="L1512" s="2" t="str">
        <f t="shared" si="138"/>
        <v>Profitable</v>
      </c>
      <c r="M1512" s="2" t="str">
        <f t="shared" si="139"/>
        <v>High Volatility</v>
      </c>
      <c r="N1512" s="2" t="str">
        <f t="shared" si="140"/>
        <v>Low Quality</v>
      </c>
      <c r="O1512" s="4" t="str">
        <f t="shared" si="141"/>
        <v>Operational Growth</v>
      </c>
      <c r="P1512" s="4" t="str">
        <f t="shared" si="142"/>
        <v>Low Quality</v>
      </c>
      <c r="Q1512" s="4" t="str">
        <f t="shared" si="143"/>
        <v>Weak Growth</v>
      </c>
    </row>
    <row r="1513" spans="1:17" x14ac:dyDescent="0.35">
      <c r="A1513" s="2" t="s">
        <v>1524</v>
      </c>
      <c r="B1513" s="2">
        <v>5</v>
      </c>
      <c r="C1513" s="2">
        <v>1096856000</v>
      </c>
      <c r="D1513" s="2">
        <v>1</v>
      </c>
      <c r="E1513" s="2">
        <v>890818388.5</v>
      </c>
      <c r="F1513" s="2">
        <v>1930305133</v>
      </c>
      <c r="G1513" s="2">
        <v>2</v>
      </c>
      <c r="H1513" s="2">
        <v>5</v>
      </c>
      <c r="I1513" s="2">
        <v>1</v>
      </c>
      <c r="J1513" s="2">
        <v>2.7</v>
      </c>
      <c r="K1513" s="2" t="s">
        <v>1268</v>
      </c>
      <c r="L1513" s="2" t="str">
        <f t="shared" si="138"/>
        <v>Profitable</v>
      </c>
      <c r="M1513" s="2" t="str">
        <f t="shared" si="139"/>
        <v>High Volatility</v>
      </c>
      <c r="N1513" s="2" t="str">
        <f t="shared" si="140"/>
        <v>Low Quality</v>
      </c>
      <c r="O1513" s="4" t="str">
        <f t="shared" si="141"/>
        <v>Operational Growth</v>
      </c>
      <c r="P1513" s="4" t="str">
        <f t="shared" si="142"/>
        <v>Low Quality</v>
      </c>
      <c r="Q1513" s="4" t="str">
        <f t="shared" si="143"/>
        <v>Weak Growth</v>
      </c>
    </row>
    <row r="1514" spans="1:17" x14ac:dyDescent="0.35">
      <c r="A1514" s="2" t="s">
        <v>1525</v>
      </c>
      <c r="B1514" s="2">
        <v>5</v>
      </c>
      <c r="C1514" s="2">
        <v>6147930093</v>
      </c>
      <c r="D1514" s="2">
        <v>1</v>
      </c>
      <c r="E1514" s="2">
        <v>1591735767</v>
      </c>
      <c r="F1514" s="2">
        <v>2154997015</v>
      </c>
      <c r="G1514" s="2">
        <v>2</v>
      </c>
      <c r="H1514" s="2">
        <v>5</v>
      </c>
      <c r="I1514" s="2">
        <v>1</v>
      </c>
      <c r="J1514" s="2">
        <v>2.7</v>
      </c>
      <c r="K1514" s="2" t="s">
        <v>1268</v>
      </c>
      <c r="L1514" s="2" t="str">
        <f t="shared" si="138"/>
        <v>Profitable</v>
      </c>
      <c r="M1514" s="2" t="str">
        <f t="shared" si="139"/>
        <v>High Volatility</v>
      </c>
      <c r="N1514" s="2" t="str">
        <f t="shared" si="140"/>
        <v>Low Quality</v>
      </c>
      <c r="O1514" s="4" t="str">
        <f t="shared" si="141"/>
        <v>Operational Growth</v>
      </c>
      <c r="P1514" s="4" t="str">
        <f t="shared" si="142"/>
        <v>Low Quality</v>
      </c>
      <c r="Q1514" s="4" t="str">
        <f t="shared" si="143"/>
        <v>Weak Growth</v>
      </c>
    </row>
    <row r="1515" spans="1:17" x14ac:dyDescent="0.35">
      <c r="A1515" s="2" t="s">
        <v>1526</v>
      </c>
      <c r="B1515" s="2">
        <v>5</v>
      </c>
      <c r="C1515" s="2">
        <v>1226953522</v>
      </c>
      <c r="D1515" s="2">
        <v>1</v>
      </c>
      <c r="E1515" s="2">
        <v>817713641.79999995</v>
      </c>
      <c r="F1515" s="2">
        <v>2114327550</v>
      </c>
      <c r="G1515" s="2">
        <v>2</v>
      </c>
      <c r="H1515" s="2">
        <v>5</v>
      </c>
      <c r="I1515" s="2">
        <v>1</v>
      </c>
      <c r="J1515" s="2">
        <v>2.7</v>
      </c>
      <c r="K1515" s="2" t="s">
        <v>1268</v>
      </c>
      <c r="L1515" s="2" t="str">
        <f t="shared" si="138"/>
        <v>Profitable</v>
      </c>
      <c r="M1515" s="2" t="str">
        <f t="shared" si="139"/>
        <v>High Volatility</v>
      </c>
      <c r="N1515" s="2" t="str">
        <f t="shared" si="140"/>
        <v>Low Quality</v>
      </c>
      <c r="O1515" s="4" t="str">
        <f t="shared" si="141"/>
        <v>Operational Growth</v>
      </c>
      <c r="P1515" s="4" t="str">
        <f t="shared" si="142"/>
        <v>Low Quality</v>
      </c>
      <c r="Q1515" s="4" t="str">
        <f t="shared" si="143"/>
        <v>Weak Growth</v>
      </c>
    </row>
    <row r="1516" spans="1:17" x14ac:dyDescent="0.35">
      <c r="A1516" s="2" t="s">
        <v>1527</v>
      </c>
      <c r="B1516" s="2">
        <v>5</v>
      </c>
      <c r="C1516" s="2">
        <v>2585641118</v>
      </c>
      <c r="D1516" s="2">
        <v>1</v>
      </c>
      <c r="E1516" s="2">
        <v>1263136193</v>
      </c>
      <c r="F1516" s="2">
        <v>2234750657</v>
      </c>
      <c r="G1516" s="2">
        <v>2</v>
      </c>
      <c r="H1516" s="2">
        <v>5</v>
      </c>
      <c r="I1516" s="2">
        <v>1</v>
      </c>
      <c r="J1516" s="2">
        <v>2.7</v>
      </c>
      <c r="K1516" s="2" t="s">
        <v>1268</v>
      </c>
      <c r="L1516" s="2" t="str">
        <f t="shared" si="138"/>
        <v>Profitable</v>
      </c>
      <c r="M1516" s="2" t="str">
        <f t="shared" si="139"/>
        <v>High Volatility</v>
      </c>
      <c r="N1516" s="2" t="str">
        <f t="shared" si="140"/>
        <v>Low Quality</v>
      </c>
      <c r="O1516" s="4" t="str">
        <f t="shared" si="141"/>
        <v>Operational Growth</v>
      </c>
      <c r="P1516" s="4" t="str">
        <f t="shared" si="142"/>
        <v>Low Quality</v>
      </c>
      <c r="Q1516" s="4" t="str">
        <f t="shared" si="143"/>
        <v>Weak Growth</v>
      </c>
    </row>
    <row r="1517" spans="1:17" x14ac:dyDescent="0.35">
      <c r="A1517" s="2" t="s">
        <v>1528</v>
      </c>
      <c r="B1517" s="2">
        <v>5</v>
      </c>
      <c r="C1517" s="2">
        <v>2156735403</v>
      </c>
      <c r="D1517" s="2">
        <v>1</v>
      </c>
      <c r="E1517" s="2">
        <v>1480929083</v>
      </c>
      <c r="F1517" s="2">
        <v>1803140131</v>
      </c>
      <c r="G1517" s="2">
        <v>2</v>
      </c>
      <c r="H1517" s="2">
        <v>5</v>
      </c>
      <c r="I1517" s="2">
        <v>1</v>
      </c>
      <c r="J1517" s="2">
        <v>2.7</v>
      </c>
      <c r="K1517" s="2" t="s">
        <v>1268</v>
      </c>
      <c r="L1517" s="2" t="str">
        <f t="shared" si="138"/>
        <v>Profitable</v>
      </c>
      <c r="M1517" s="2" t="str">
        <f t="shared" si="139"/>
        <v>High Volatility</v>
      </c>
      <c r="N1517" s="2" t="str">
        <f t="shared" si="140"/>
        <v>Low Quality</v>
      </c>
      <c r="O1517" s="4" t="str">
        <f t="shared" si="141"/>
        <v>Operational Growth</v>
      </c>
      <c r="P1517" s="4" t="str">
        <f t="shared" si="142"/>
        <v>Low Quality</v>
      </c>
      <c r="Q1517" s="4" t="str">
        <f t="shared" si="143"/>
        <v>Weak Growth</v>
      </c>
    </row>
    <row r="1518" spans="1:17" x14ac:dyDescent="0.35">
      <c r="A1518" s="2" t="s">
        <v>1529</v>
      </c>
      <c r="B1518" s="2">
        <v>5</v>
      </c>
      <c r="C1518" s="2">
        <v>4404904338</v>
      </c>
      <c r="D1518" s="2">
        <v>1</v>
      </c>
      <c r="E1518" s="2">
        <v>2162775845</v>
      </c>
      <c r="F1518" s="2">
        <v>1669017542</v>
      </c>
      <c r="G1518" s="2">
        <v>2</v>
      </c>
      <c r="H1518" s="2">
        <v>5</v>
      </c>
      <c r="I1518" s="2">
        <v>1</v>
      </c>
      <c r="J1518" s="2">
        <v>2.7</v>
      </c>
      <c r="K1518" s="2" t="s">
        <v>1268</v>
      </c>
      <c r="L1518" s="2" t="str">
        <f t="shared" si="138"/>
        <v>Profitable</v>
      </c>
      <c r="M1518" s="2" t="str">
        <f t="shared" si="139"/>
        <v>High Volatility</v>
      </c>
      <c r="N1518" s="2" t="str">
        <f t="shared" si="140"/>
        <v>Low Quality</v>
      </c>
      <c r="O1518" s="4" t="str">
        <f t="shared" si="141"/>
        <v>Operational Growth</v>
      </c>
      <c r="P1518" s="4" t="str">
        <f t="shared" si="142"/>
        <v>Low Quality</v>
      </c>
      <c r="Q1518" s="4" t="str">
        <f t="shared" si="143"/>
        <v>Weak Growth</v>
      </c>
    </row>
    <row r="1519" spans="1:17" x14ac:dyDescent="0.35">
      <c r="A1519" s="2" t="s">
        <v>1530</v>
      </c>
      <c r="B1519" s="2">
        <v>5</v>
      </c>
      <c r="C1519" s="2">
        <v>6869163249</v>
      </c>
      <c r="D1519" s="2">
        <v>1</v>
      </c>
      <c r="E1519" s="2">
        <v>1727138026</v>
      </c>
      <c r="F1519" s="2">
        <v>1687017159</v>
      </c>
      <c r="G1519" s="2">
        <v>2</v>
      </c>
      <c r="H1519" s="2">
        <v>5</v>
      </c>
      <c r="I1519" s="2">
        <v>1</v>
      </c>
      <c r="J1519" s="2">
        <v>2.7</v>
      </c>
      <c r="K1519" s="2" t="s">
        <v>1268</v>
      </c>
      <c r="L1519" s="2" t="str">
        <f t="shared" si="138"/>
        <v>Profitable</v>
      </c>
      <c r="M1519" s="2" t="str">
        <f t="shared" si="139"/>
        <v>High Volatility</v>
      </c>
      <c r="N1519" s="2" t="str">
        <f t="shared" si="140"/>
        <v>Low Quality</v>
      </c>
      <c r="O1519" s="4" t="str">
        <f t="shared" si="141"/>
        <v>Operational Growth</v>
      </c>
      <c r="P1519" s="4" t="str">
        <f t="shared" si="142"/>
        <v>Low Quality</v>
      </c>
      <c r="Q1519" s="4" t="str">
        <f t="shared" si="143"/>
        <v>Weak Growth</v>
      </c>
    </row>
    <row r="1520" spans="1:17" x14ac:dyDescent="0.35">
      <c r="A1520" s="2" t="s">
        <v>1531</v>
      </c>
      <c r="B1520" s="2">
        <v>5</v>
      </c>
      <c r="C1520" s="2">
        <v>1937384354</v>
      </c>
      <c r="D1520" s="2">
        <v>1</v>
      </c>
      <c r="E1520" s="2">
        <v>703267629.5</v>
      </c>
      <c r="F1520" s="2">
        <v>1576743301</v>
      </c>
      <c r="G1520" s="2">
        <v>2</v>
      </c>
      <c r="H1520" s="2">
        <v>5</v>
      </c>
      <c r="I1520" s="2">
        <v>1</v>
      </c>
      <c r="J1520" s="2">
        <v>2.7</v>
      </c>
      <c r="K1520" s="2" t="s">
        <v>1268</v>
      </c>
      <c r="L1520" s="2" t="str">
        <f t="shared" si="138"/>
        <v>Profitable</v>
      </c>
      <c r="M1520" s="2" t="str">
        <f t="shared" si="139"/>
        <v>High Volatility</v>
      </c>
      <c r="N1520" s="2" t="str">
        <f t="shared" si="140"/>
        <v>Low Quality</v>
      </c>
      <c r="O1520" s="4" t="str">
        <f t="shared" si="141"/>
        <v>Operational Growth</v>
      </c>
      <c r="P1520" s="4" t="str">
        <f t="shared" si="142"/>
        <v>Low Quality</v>
      </c>
      <c r="Q1520" s="4" t="str">
        <f t="shared" si="143"/>
        <v>Weak Growth</v>
      </c>
    </row>
    <row r="1521" spans="1:17" x14ac:dyDescent="0.35">
      <c r="A1521" s="2" t="s">
        <v>1532</v>
      </c>
      <c r="B1521" s="2">
        <v>5</v>
      </c>
      <c r="C1521" s="2">
        <v>2532307922</v>
      </c>
      <c r="D1521" s="2">
        <v>1</v>
      </c>
      <c r="E1521" s="2">
        <v>998161636.60000002</v>
      </c>
      <c r="F1521" s="2">
        <v>1553837555</v>
      </c>
      <c r="G1521" s="2">
        <v>2</v>
      </c>
      <c r="H1521" s="2">
        <v>5</v>
      </c>
      <c r="I1521" s="2">
        <v>1</v>
      </c>
      <c r="J1521" s="2">
        <v>2.7</v>
      </c>
      <c r="K1521" s="2" t="s">
        <v>1268</v>
      </c>
      <c r="L1521" s="2" t="str">
        <f t="shared" si="138"/>
        <v>Profitable</v>
      </c>
      <c r="M1521" s="2" t="str">
        <f t="shared" si="139"/>
        <v>High Volatility</v>
      </c>
      <c r="N1521" s="2" t="str">
        <f t="shared" si="140"/>
        <v>Low Quality</v>
      </c>
      <c r="O1521" s="4" t="str">
        <f t="shared" si="141"/>
        <v>Operational Growth</v>
      </c>
      <c r="P1521" s="4" t="str">
        <f t="shared" si="142"/>
        <v>Low Quality</v>
      </c>
      <c r="Q1521" s="4" t="str">
        <f t="shared" si="143"/>
        <v>Weak Growth</v>
      </c>
    </row>
    <row r="1522" spans="1:17" x14ac:dyDescent="0.35">
      <c r="A1522" s="2" t="s">
        <v>1533</v>
      </c>
      <c r="B1522" s="2">
        <v>5</v>
      </c>
      <c r="C1522" s="2">
        <v>12080864581</v>
      </c>
      <c r="D1522" s="2">
        <v>1</v>
      </c>
      <c r="E1522" s="2">
        <v>8392615956</v>
      </c>
      <c r="F1522" s="2">
        <v>16593960715</v>
      </c>
      <c r="G1522" s="2">
        <v>2</v>
      </c>
      <c r="H1522" s="2">
        <v>5</v>
      </c>
      <c r="I1522" s="2">
        <v>1</v>
      </c>
      <c r="J1522" s="2">
        <v>2.7</v>
      </c>
      <c r="K1522" s="2" t="s">
        <v>1268</v>
      </c>
      <c r="L1522" s="2" t="str">
        <f t="shared" si="138"/>
        <v>Profitable</v>
      </c>
      <c r="M1522" s="2" t="str">
        <f t="shared" si="139"/>
        <v>High Volatility</v>
      </c>
      <c r="N1522" s="2" t="str">
        <f t="shared" si="140"/>
        <v>Low Quality</v>
      </c>
      <c r="O1522" s="4" t="str">
        <f t="shared" si="141"/>
        <v>Operational Growth</v>
      </c>
      <c r="P1522" s="4" t="str">
        <f t="shared" si="142"/>
        <v>Low Quality</v>
      </c>
      <c r="Q1522" s="4" t="str">
        <f t="shared" si="143"/>
        <v>Weak Growth</v>
      </c>
    </row>
    <row r="1523" spans="1:17" x14ac:dyDescent="0.35">
      <c r="A1523" s="2" t="s">
        <v>1534</v>
      </c>
      <c r="B1523" s="2">
        <v>5</v>
      </c>
      <c r="C1523" s="2">
        <v>29941463719</v>
      </c>
      <c r="D1523" s="2">
        <v>1</v>
      </c>
      <c r="E1523" s="2">
        <v>9659727648</v>
      </c>
      <c r="F1523" s="2">
        <v>20587614727</v>
      </c>
      <c r="G1523" s="2">
        <v>2</v>
      </c>
      <c r="H1523" s="2">
        <v>5</v>
      </c>
      <c r="I1523" s="2">
        <v>1</v>
      </c>
      <c r="J1523" s="2">
        <v>2.7</v>
      </c>
      <c r="K1523" s="2" t="s">
        <v>1268</v>
      </c>
      <c r="L1523" s="2" t="str">
        <f t="shared" si="138"/>
        <v>Profitable</v>
      </c>
      <c r="M1523" s="2" t="str">
        <f t="shared" si="139"/>
        <v>High Volatility</v>
      </c>
      <c r="N1523" s="2" t="str">
        <f t="shared" si="140"/>
        <v>Low Quality</v>
      </c>
      <c r="O1523" s="4" t="str">
        <f t="shared" si="141"/>
        <v>Operational Growth</v>
      </c>
      <c r="P1523" s="4" t="str">
        <f t="shared" si="142"/>
        <v>Low Quality</v>
      </c>
      <c r="Q1523" s="4" t="str">
        <f t="shared" si="143"/>
        <v>Weak Growth</v>
      </c>
    </row>
    <row r="1524" spans="1:17" x14ac:dyDescent="0.35">
      <c r="A1524" s="2" t="s">
        <v>1535</v>
      </c>
      <c r="B1524" s="2">
        <v>5</v>
      </c>
      <c r="C1524" s="2">
        <v>57815999584</v>
      </c>
      <c r="D1524" s="2">
        <v>1</v>
      </c>
      <c r="E1524" s="2">
        <v>15429263473</v>
      </c>
      <c r="F1524" s="2">
        <v>33408799758</v>
      </c>
      <c r="G1524" s="2">
        <v>2</v>
      </c>
      <c r="H1524" s="2">
        <v>5</v>
      </c>
      <c r="I1524" s="2">
        <v>1</v>
      </c>
      <c r="J1524" s="2">
        <v>2.7</v>
      </c>
      <c r="K1524" s="2" t="s">
        <v>1268</v>
      </c>
      <c r="L1524" s="2" t="str">
        <f t="shared" si="138"/>
        <v>Profitable</v>
      </c>
      <c r="M1524" s="2" t="str">
        <f t="shared" si="139"/>
        <v>High Volatility</v>
      </c>
      <c r="N1524" s="2" t="str">
        <f t="shared" si="140"/>
        <v>Low Quality</v>
      </c>
      <c r="O1524" s="4" t="str">
        <f t="shared" si="141"/>
        <v>Operational Growth</v>
      </c>
      <c r="P1524" s="4" t="str">
        <f t="shared" si="142"/>
        <v>Low Quality</v>
      </c>
      <c r="Q1524" s="4" t="str">
        <f t="shared" si="143"/>
        <v>Weak Growth</v>
      </c>
    </row>
    <row r="1525" spans="1:17" x14ac:dyDescent="0.35">
      <c r="A1525" s="2" t="s">
        <v>1536</v>
      </c>
      <c r="B1525" s="2">
        <v>5</v>
      </c>
      <c r="C1525" s="2">
        <v>10182403521</v>
      </c>
      <c r="D1525" s="2">
        <v>1</v>
      </c>
      <c r="E1525" s="2">
        <v>11316914269</v>
      </c>
      <c r="F1525" s="2">
        <v>27112217560</v>
      </c>
      <c r="G1525" s="2">
        <v>2</v>
      </c>
      <c r="H1525" s="2">
        <v>5</v>
      </c>
      <c r="I1525" s="2">
        <v>1</v>
      </c>
      <c r="J1525" s="2">
        <v>2.7</v>
      </c>
      <c r="K1525" s="2" t="s">
        <v>1268</v>
      </c>
      <c r="L1525" s="2" t="str">
        <f t="shared" si="138"/>
        <v>Profitable</v>
      </c>
      <c r="M1525" s="2" t="str">
        <f t="shared" si="139"/>
        <v>High Volatility</v>
      </c>
      <c r="N1525" s="2" t="str">
        <f t="shared" si="140"/>
        <v>Low Quality</v>
      </c>
      <c r="O1525" s="4" t="str">
        <f t="shared" si="141"/>
        <v>Operational Growth</v>
      </c>
      <c r="P1525" s="4" t="str">
        <f t="shared" si="142"/>
        <v>Low Quality</v>
      </c>
      <c r="Q1525" s="4" t="str">
        <f t="shared" si="143"/>
        <v>Weak Growth</v>
      </c>
    </row>
    <row r="1526" spans="1:17" x14ac:dyDescent="0.35">
      <c r="A1526" s="2" t="s">
        <v>1537</v>
      </c>
      <c r="B1526" s="2">
        <v>5</v>
      </c>
      <c r="C1526" s="2">
        <v>21490421189</v>
      </c>
      <c r="D1526" s="2">
        <v>0.8</v>
      </c>
      <c r="E1526" s="2">
        <v>28558037084</v>
      </c>
      <c r="F1526" s="2">
        <v>23427602849</v>
      </c>
      <c r="G1526" s="2">
        <v>2</v>
      </c>
      <c r="H1526" s="2">
        <v>5</v>
      </c>
      <c r="I1526" s="2">
        <v>1</v>
      </c>
      <c r="J1526" s="2">
        <v>2.7</v>
      </c>
      <c r="K1526" s="2" t="s">
        <v>1268</v>
      </c>
      <c r="L1526" s="2" t="str">
        <f t="shared" si="138"/>
        <v>Profitable</v>
      </c>
      <c r="M1526" s="2" t="str">
        <f t="shared" si="139"/>
        <v>High Volatility</v>
      </c>
      <c r="N1526" s="2" t="str">
        <f t="shared" si="140"/>
        <v>Low Quality</v>
      </c>
      <c r="O1526" s="4" t="str">
        <f t="shared" si="141"/>
        <v>Operational Growth</v>
      </c>
      <c r="P1526" s="4" t="str">
        <f t="shared" si="142"/>
        <v>Low Quality</v>
      </c>
      <c r="Q1526" s="4" t="str">
        <f t="shared" si="143"/>
        <v>Weak Growth</v>
      </c>
    </row>
    <row r="1527" spans="1:17" x14ac:dyDescent="0.35">
      <c r="A1527" s="2" t="s">
        <v>1538</v>
      </c>
      <c r="B1527" s="2">
        <v>5</v>
      </c>
      <c r="C1527" s="2">
        <v>6558781081</v>
      </c>
      <c r="D1527" s="2">
        <v>0.8</v>
      </c>
      <c r="E1527" s="2">
        <v>6941318054</v>
      </c>
      <c r="F1527" s="2">
        <v>15143430486</v>
      </c>
      <c r="G1527" s="2">
        <v>2</v>
      </c>
      <c r="H1527" s="2">
        <v>5</v>
      </c>
      <c r="I1527" s="2">
        <v>1</v>
      </c>
      <c r="J1527" s="2">
        <v>2.7</v>
      </c>
      <c r="K1527" s="2" t="s">
        <v>1268</v>
      </c>
      <c r="L1527" s="2" t="str">
        <f t="shared" si="138"/>
        <v>Profitable</v>
      </c>
      <c r="M1527" s="2" t="str">
        <f t="shared" si="139"/>
        <v>High Volatility</v>
      </c>
      <c r="N1527" s="2" t="str">
        <f t="shared" si="140"/>
        <v>Low Quality</v>
      </c>
      <c r="O1527" s="4" t="str">
        <f t="shared" si="141"/>
        <v>Operational Growth</v>
      </c>
      <c r="P1527" s="4" t="str">
        <f t="shared" si="142"/>
        <v>Low Quality</v>
      </c>
      <c r="Q1527" s="4" t="str">
        <f t="shared" si="143"/>
        <v>Weak Growth</v>
      </c>
    </row>
    <row r="1528" spans="1:17" x14ac:dyDescent="0.35">
      <c r="A1528" s="2" t="s">
        <v>1539</v>
      </c>
      <c r="B1528" s="2">
        <v>5</v>
      </c>
      <c r="C1528" s="2">
        <v>4531311097</v>
      </c>
      <c r="D1528" s="2">
        <v>0.8</v>
      </c>
      <c r="E1528" s="2">
        <v>5551600875</v>
      </c>
      <c r="F1528" s="2">
        <v>6679128408</v>
      </c>
      <c r="G1528" s="2">
        <v>2</v>
      </c>
      <c r="H1528" s="2">
        <v>5</v>
      </c>
      <c r="I1528" s="2">
        <v>1</v>
      </c>
      <c r="J1528" s="2">
        <v>2.7</v>
      </c>
      <c r="K1528" s="2" t="s">
        <v>1268</v>
      </c>
      <c r="L1528" s="2" t="str">
        <f t="shared" si="138"/>
        <v>Profitable</v>
      </c>
      <c r="M1528" s="2" t="str">
        <f t="shared" si="139"/>
        <v>High Volatility</v>
      </c>
      <c r="N1528" s="2" t="str">
        <f t="shared" si="140"/>
        <v>Low Quality</v>
      </c>
      <c r="O1528" s="4" t="str">
        <f t="shared" si="141"/>
        <v>Operational Growth</v>
      </c>
      <c r="P1528" s="4" t="str">
        <f t="shared" si="142"/>
        <v>Low Quality</v>
      </c>
      <c r="Q1528" s="4" t="str">
        <f t="shared" si="143"/>
        <v>Weak Growth</v>
      </c>
    </row>
    <row r="1529" spans="1:17" x14ac:dyDescent="0.35">
      <c r="A1529" s="2" t="s">
        <v>1540</v>
      </c>
      <c r="B1529" s="2">
        <v>5</v>
      </c>
      <c r="C1529" s="2">
        <v>17733363435</v>
      </c>
      <c r="D1529" s="2">
        <v>1</v>
      </c>
      <c r="E1529" s="2">
        <v>3079472601</v>
      </c>
      <c r="F1529" s="2">
        <v>8153602607</v>
      </c>
      <c r="G1529" s="2">
        <v>2</v>
      </c>
      <c r="H1529" s="2">
        <v>5</v>
      </c>
      <c r="I1529" s="2">
        <v>1</v>
      </c>
      <c r="J1529" s="2">
        <v>2.7</v>
      </c>
      <c r="K1529" s="2" t="s">
        <v>1268</v>
      </c>
      <c r="L1529" s="2" t="str">
        <f t="shared" si="138"/>
        <v>Profitable</v>
      </c>
      <c r="M1529" s="2" t="str">
        <f t="shared" si="139"/>
        <v>High Volatility</v>
      </c>
      <c r="N1529" s="2" t="str">
        <f t="shared" si="140"/>
        <v>Low Quality</v>
      </c>
      <c r="O1529" s="4" t="str">
        <f t="shared" si="141"/>
        <v>Operational Growth</v>
      </c>
      <c r="P1529" s="4" t="str">
        <f t="shared" si="142"/>
        <v>Low Quality</v>
      </c>
      <c r="Q1529" s="4" t="str">
        <f t="shared" si="143"/>
        <v>Weak Growth</v>
      </c>
    </row>
    <row r="1530" spans="1:17" x14ac:dyDescent="0.35">
      <c r="A1530" s="2" t="s">
        <v>1541</v>
      </c>
      <c r="B1530" s="2">
        <v>5</v>
      </c>
      <c r="C1530" s="2">
        <v>12214548214</v>
      </c>
      <c r="D1530" s="2">
        <v>1</v>
      </c>
      <c r="E1530" s="2">
        <v>4668451071</v>
      </c>
      <c r="F1530" s="2">
        <v>11014414507</v>
      </c>
      <c r="G1530" s="2">
        <v>2</v>
      </c>
      <c r="H1530" s="2">
        <v>5</v>
      </c>
      <c r="I1530" s="2">
        <v>1</v>
      </c>
      <c r="J1530" s="2">
        <v>2.7</v>
      </c>
      <c r="K1530" s="2" t="s">
        <v>1268</v>
      </c>
      <c r="L1530" s="2" t="str">
        <f t="shared" si="138"/>
        <v>Profitable</v>
      </c>
      <c r="M1530" s="2" t="str">
        <f t="shared" si="139"/>
        <v>High Volatility</v>
      </c>
      <c r="N1530" s="2" t="str">
        <f t="shared" si="140"/>
        <v>Low Quality</v>
      </c>
      <c r="O1530" s="4" t="str">
        <f t="shared" si="141"/>
        <v>Operational Growth</v>
      </c>
      <c r="P1530" s="4" t="str">
        <f t="shared" si="142"/>
        <v>Low Quality</v>
      </c>
      <c r="Q1530" s="4" t="str">
        <f t="shared" si="143"/>
        <v>Weak Growth</v>
      </c>
    </row>
    <row r="1531" spans="1:17" x14ac:dyDescent="0.35">
      <c r="A1531" s="2" t="s">
        <v>1542</v>
      </c>
      <c r="B1531" s="2">
        <v>5</v>
      </c>
      <c r="C1531" s="2">
        <v>3993100799</v>
      </c>
      <c r="D1531" s="2">
        <v>1</v>
      </c>
      <c r="E1531" s="2">
        <v>2247290686</v>
      </c>
      <c r="F1531" s="2">
        <v>4563724427</v>
      </c>
      <c r="G1531" s="2">
        <v>2</v>
      </c>
      <c r="H1531" s="2">
        <v>5</v>
      </c>
      <c r="I1531" s="2">
        <v>1</v>
      </c>
      <c r="J1531" s="2">
        <v>2.7</v>
      </c>
      <c r="K1531" s="2" t="s">
        <v>1268</v>
      </c>
      <c r="L1531" s="2" t="str">
        <f t="shared" si="138"/>
        <v>Profitable</v>
      </c>
      <c r="M1531" s="2" t="str">
        <f t="shared" si="139"/>
        <v>High Volatility</v>
      </c>
      <c r="N1531" s="2" t="str">
        <f t="shared" si="140"/>
        <v>Low Quality</v>
      </c>
      <c r="O1531" s="4" t="str">
        <f t="shared" si="141"/>
        <v>Operational Growth</v>
      </c>
      <c r="P1531" s="4" t="str">
        <f t="shared" si="142"/>
        <v>Low Quality</v>
      </c>
      <c r="Q1531" s="4" t="str">
        <f t="shared" si="143"/>
        <v>Weak Growth</v>
      </c>
    </row>
    <row r="1532" spans="1:17" x14ac:dyDescent="0.35">
      <c r="A1532" s="2" t="s">
        <v>1543</v>
      </c>
      <c r="B1532" s="2">
        <v>5</v>
      </c>
      <c r="C1532" s="2">
        <v>13656073828</v>
      </c>
      <c r="D1532" s="2">
        <v>1</v>
      </c>
      <c r="E1532" s="2">
        <v>2627090249</v>
      </c>
      <c r="F1532" s="2">
        <v>5999046796</v>
      </c>
      <c r="G1532" s="2">
        <v>2</v>
      </c>
      <c r="H1532" s="2">
        <v>5</v>
      </c>
      <c r="I1532" s="2">
        <v>1</v>
      </c>
      <c r="J1532" s="2">
        <v>2.7</v>
      </c>
      <c r="K1532" s="2" t="s">
        <v>1268</v>
      </c>
      <c r="L1532" s="2" t="str">
        <f t="shared" si="138"/>
        <v>Profitable</v>
      </c>
      <c r="M1532" s="2" t="str">
        <f t="shared" si="139"/>
        <v>High Volatility</v>
      </c>
      <c r="N1532" s="2" t="str">
        <f t="shared" si="140"/>
        <v>Low Quality</v>
      </c>
      <c r="O1532" s="4" t="str">
        <f t="shared" si="141"/>
        <v>Operational Growth</v>
      </c>
      <c r="P1532" s="4" t="str">
        <f t="shared" si="142"/>
        <v>Low Quality</v>
      </c>
      <c r="Q1532" s="4" t="str">
        <f t="shared" si="143"/>
        <v>Weak Growth</v>
      </c>
    </row>
    <row r="1533" spans="1:17" x14ac:dyDescent="0.35">
      <c r="A1533" s="2" t="s">
        <v>1544</v>
      </c>
      <c r="B1533" s="2">
        <v>5</v>
      </c>
      <c r="C1533" s="2">
        <v>3646965998</v>
      </c>
      <c r="D1533" s="2">
        <v>0.8</v>
      </c>
      <c r="E1533" s="2">
        <v>5763245951</v>
      </c>
      <c r="F1533" s="2">
        <v>3919436249</v>
      </c>
      <c r="G1533" s="2">
        <v>2</v>
      </c>
      <c r="H1533" s="2">
        <v>5</v>
      </c>
      <c r="I1533" s="2">
        <v>1</v>
      </c>
      <c r="J1533" s="2">
        <v>2.7</v>
      </c>
      <c r="K1533" s="2" t="s">
        <v>1268</v>
      </c>
      <c r="L1533" s="2" t="str">
        <f t="shared" si="138"/>
        <v>Profitable</v>
      </c>
      <c r="M1533" s="2" t="str">
        <f t="shared" si="139"/>
        <v>High Volatility</v>
      </c>
      <c r="N1533" s="2" t="str">
        <f t="shared" si="140"/>
        <v>Low Quality</v>
      </c>
      <c r="O1533" s="4" t="str">
        <f t="shared" si="141"/>
        <v>Operational Growth</v>
      </c>
      <c r="P1533" s="4" t="str">
        <f t="shared" si="142"/>
        <v>Low Quality</v>
      </c>
      <c r="Q1533" s="4" t="str">
        <f t="shared" si="143"/>
        <v>Weak Growth</v>
      </c>
    </row>
    <row r="1534" spans="1:17" x14ac:dyDescent="0.35">
      <c r="A1534" s="2" t="s">
        <v>1545</v>
      </c>
      <c r="B1534" s="2">
        <v>5</v>
      </c>
      <c r="C1534" s="2">
        <v>3208338038</v>
      </c>
      <c r="D1534" s="2">
        <v>0.8</v>
      </c>
      <c r="E1534" s="2">
        <v>3435618315</v>
      </c>
      <c r="F1534" s="2">
        <v>4284472774</v>
      </c>
      <c r="G1534" s="2">
        <v>2</v>
      </c>
      <c r="H1534" s="2">
        <v>5</v>
      </c>
      <c r="I1534" s="2">
        <v>1</v>
      </c>
      <c r="J1534" s="2">
        <v>2.7</v>
      </c>
      <c r="K1534" s="2" t="s">
        <v>1268</v>
      </c>
      <c r="L1534" s="2" t="str">
        <f t="shared" si="138"/>
        <v>Profitable</v>
      </c>
      <c r="M1534" s="2" t="str">
        <f t="shared" si="139"/>
        <v>High Volatility</v>
      </c>
      <c r="N1534" s="2" t="str">
        <f t="shared" si="140"/>
        <v>Low Quality</v>
      </c>
      <c r="O1534" s="4" t="str">
        <f t="shared" si="141"/>
        <v>Operational Growth</v>
      </c>
      <c r="P1534" s="4" t="str">
        <f t="shared" si="142"/>
        <v>Low Quality</v>
      </c>
      <c r="Q1534" s="4" t="str">
        <f t="shared" si="143"/>
        <v>Weak Growth</v>
      </c>
    </row>
    <row r="1535" spans="1:17" x14ac:dyDescent="0.35">
      <c r="A1535" s="2" t="s">
        <v>1546</v>
      </c>
      <c r="B1535" s="2">
        <v>5</v>
      </c>
      <c r="C1535" s="2">
        <v>3859564052</v>
      </c>
      <c r="D1535" s="2">
        <v>1</v>
      </c>
      <c r="E1535" s="2">
        <v>1472999295</v>
      </c>
      <c r="F1535" s="2">
        <v>3433804470</v>
      </c>
      <c r="G1535" s="2">
        <v>2</v>
      </c>
      <c r="H1535" s="2">
        <v>5</v>
      </c>
      <c r="I1535" s="2">
        <v>1</v>
      </c>
      <c r="J1535" s="2">
        <v>2.7</v>
      </c>
      <c r="K1535" s="2" t="s">
        <v>1268</v>
      </c>
      <c r="L1535" s="2" t="str">
        <f t="shared" si="138"/>
        <v>Profitable</v>
      </c>
      <c r="M1535" s="2" t="str">
        <f t="shared" si="139"/>
        <v>High Volatility</v>
      </c>
      <c r="N1535" s="2" t="str">
        <f t="shared" si="140"/>
        <v>Low Quality</v>
      </c>
      <c r="O1535" s="4" t="str">
        <f t="shared" si="141"/>
        <v>Operational Growth</v>
      </c>
      <c r="P1535" s="4" t="str">
        <f t="shared" si="142"/>
        <v>Low Quality</v>
      </c>
      <c r="Q1535" s="4" t="str">
        <f t="shared" si="143"/>
        <v>Weak Growth</v>
      </c>
    </row>
    <row r="1536" spans="1:17" x14ac:dyDescent="0.35">
      <c r="A1536" s="2" t="s">
        <v>1547</v>
      </c>
      <c r="B1536" s="2">
        <v>5</v>
      </c>
      <c r="C1536" s="2">
        <v>4312069615</v>
      </c>
      <c r="D1536" s="2">
        <v>1</v>
      </c>
      <c r="E1536" s="2">
        <v>1563212037</v>
      </c>
      <c r="F1536" s="2">
        <v>3348272522</v>
      </c>
      <c r="G1536" s="2">
        <v>2</v>
      </c>
      <c r="H1536" s="2">
        <v>5</v>
      </c>
      <c r="I1536" s="2">
        <v>1</v>
      </c>
      <c r="J1536" s="2">
        <v>2.7</v>
      </c>
      <c r="K1536" s="2" t="s">
        <v>1268</v>
      </c>
      <c r="L1536" s="2" t="str">
        <f t="shared" si="138"/>
        <v>Profitable</v>
      </c>
      <c r="M1536" s="2" t="str">
        <f t="shared" si="139"/>
        <v>High Volatility</v>
      </c>
      <c r="N1536" s="2" t="str">
        <f t="shared" si="140"/>
        <v>Low Quality</v>
      </c>
      <c r="O1536" s="4" t="str">
        <f t="shared" si="141"/>
        <v>Operational Growth</v>
      </c>
      <c r="P1536" s="4" t="str">
        <f t="shared" si="142"/>
        <v>Low Quality</v>
      </c>
      <c r="Q1536" s="4" t="str">
        <f t="shared" si="143"/>
        <v>Weak Growth</v>
      </c>
    </row>
    <row r="1537" spans="1:17" x14ac:dyDescent="0.35">
      <c r="A1537" s="2" t="s">
        <v>1548</v>
      </c>
      <c r="B1537" s="2">
        <v>5</v>
      </c>
      <c r="C1537" s="2">
        <v>4227969276</v>
      </c>
      <c r="D1537" s="2">
        <v>1</v>
      </c>
      <c r="E1537" s="2">
        <v>3170499313</v>
      </c>
      <c r="F1537" s="2">
        <v>3331219150</v>
      </c>
      <c r="G1537" s="2">
        <v>2</v>
      </c>
      <c r="H1537" s="2">
        <v>5</v>
      </c>
      <c r="I1537" s="2">
        <v>1</v>
      </c>
      <c r="J1537" s="2">
        <v>2.7</v>
      </c>
      <c r="K1537" s="2" t="s">
        <v>1268</v>
      </c>
      <c r="L1537" s="2" t="str">
        <f t="shared" si="138"/>
        <v>Profitable</v>
      </c>
      <c r="M1537" s="2" t="str">
        <f t="shared" si="139"/>
        <v>High Volatility</v>
      </c>
      <c r="N1537" s="2" t="str">
        <f t="shared" si="140"/>
        <v>Low Quality</v>
      </c>
      <c r="O1537" s="4" t="str">
        <f t="shared" si="141"/>
        <v>Operational Growth</v>
      </c>
      <c r="P1537" s="4" t="str">
        <f t="shared" si="142"/>
        <v>Low Quality</v>
      </c>
      <c r="Q1537" s="4" t="str">
        <f t="shared" si="143"/>
        <v>Weak Growth</v>
      </c>
    </row>
    <row r="1538" spans="1:17" x14ac:dyDescent="0.35">
      <c r="A1538" s="2" t="s">
        <v>1549</v>
      </c>
      <c r="B1538" s="2">
        <v>5</v>
      </c>
      <c r="C1538" s="2">
        <v>7676509316</v>
      </c>
      <c r="D1538" s="2">
        <v>1</v>
      </c>
      <c r="E1538" s="2">
        <v>3383656207</v>
      </c>
      <c r="F1538" s="2">
        <v>2830212050</v>
      </c>
      <c r="G1538" s="2">
        <v>2</v>
      </c>
      <c r="H1538" s="2">
        <v>5</v>
      </c>
      <c r="I1538" s="2">
        <v>1</v>
      </c>
      <c r="J1538" s="2">
        <v>2.7</v>
      </c>
      <c r="K1538" s="2" t="s">
        <v>1268</v>
      </c>
      <c r="L1538" s="2" t="str">
        <f t="shared" ref="L1538:L1601" si="144">IF(C1538&gt;0,"Profitable","Loss Making")</f>
        <v>Profitable</v>
      </c>
      <c r="M1538" s="2" t="str">
        <f t="shared" ref="M1538:M1601" si="145">IF(C1538&gt;500000000,"High Volatility","Stable Earnings")</f>
        <v>High Volatility</v>
      </c>
      <c r="N1538" s="2" t="str">
        <f t="shared" ref="N1538:N1601" si="146">IF(G1538&gt;=7,"High Quality",IF(G1538&gt;=4,"Moderate","Low Quality"))</f>
        <v>Low Quality</v>
      </c>
      <c r="O1538" s="4" t="str">
        <f t="shared" ref="O1538:O1601" si="147">IF(AND(F1538&gt;0,D1538&gt;0.6),"Operational Growth","Accounting Risk")</f>
        <v>Operational Growth</v>
      </c>
      <c r="P1538" s="4" t="str">
        <f t="shared" ref="P1538:P1601" si="148">IF(G1538&gt;=7,"High Quality", IF(G1538&gt;=4,"Moderate","Low Quality"))</f>
        <v>Low Quality</v>
      </c>
      <c r="Q1538" s="4" t="str">
        <f t="shared" ref="Q1538:Q1601" si="149">IF(I1538&gt;=4,"Strong Long-Term Growth",IF(I1538&gt;=2,"Moderate Growth","Weak Growth"))</f>
        <v>Weak Growth</v>
      </c>
    </row>
    <row r="1539" spans="1:17" x14ac:dyDescent="0.35">
      <c r="A1539" s="2" t="s">
        <v>1550</v>
      </c>
      <c r="B1539" s="2">
        <v>5</v>
      </c>
      <c r="C1539" s="2">
        <v>2600177778</v>
      </c>
      <c r="D1539" s="2">
        <v>1</v>
      </c>
      <c r="E1539" s="2">
        <v>901977795.60000002</v>
      </c>
      <c r="F1539" s="2">
        <v>2255716491</v>
      </c>
      <c r="G1539" s="2">
        <v>2</v>
      </c>
      <c r="H1539" s="2">
        <v>5</v>
      </c>
      <c r="I1539" s="2">
        <v>1</v>
      </c>
      <c r="J1539" s="2">
        <v>2.7</v>
      </c>
      <c r="K1539" s="2" t="s">
        <v>1268</v>
      </c>
      <c r="L1539" s="2" t="str">
        <f t="shared" si="144"/>
        <v>Profitable</v>
      </c>
      <c r="M1539" s="2" t="str">
        <f t="shared" si="145"/>
        <v>High Volatility</v>
      </c>
      <c r="N1539" s="2" t="str">
        <f t="shared" si="146"/>
        <v>Low Quality</v>
      </c>
      <c r="O1539" s="4" t="str">
        <f t="shared" si="147"/>
        <v>Operational Growth</v>
      </c>
      <c r="P1539" s="4" t="str">
        <f t="shared" si="148"/>
        <v>Low Quality</v>
      </c>
      <c r="Q1539" s="4" t="str">
        <f t="shared" si="149"/>
        <v>Weak Growth</v>
      </c>
    </row>
    <row r="1540" spans="1:17" x14ac:dyDescent="0.35">
      <c r="A1540" s="2" t="s">
        <v>1551</v>
      </c>
      <c r="B1540" s="2">
        <v>5</v>
      </c>
      <c r="C1540" s="2">
        <v>1498333162</v>
      </c>
      <c r="D1540" s="2">
        <v>1</v>
      </c>
      <c r="E1540" s="2">
        <v>1279239128</v>
      </c>
      <c r="F1540" s="2">
        <v>2427105802</v>
      </c>
      <c r="G1540" s="2">
        <v>2</v>
      </c>
      <c r="H1540" s="2">
        <v>5</v>
      </c>
      <c r="I1540" s="2">
        <v>1</v>
      </c>
      <c r="J1540" s="2">
        <v>2.7</v>
      </c>
      <c r="K1540" s="2" t="s">
        <v>1268</v>
      </c>
      <c r="L1540" s="2" t="str">
        <f t="shared" si="144"/>
        <v>Profitable</v>
      </c>
      <c r="M1540" s="2" t="str">
        <f t="shared" si="145"/>
        <v>High Volatility</v>
      </c>
      <c r="N1540" s="2" t="str">
        <f t="shared" si="146"/>
        <v>Low Quality</v>
      </c>
      <c r="O1540" s="4" t="str">
        <f t="shared" si="147"/>
        <v>Operational Growth</v>
      </c>
      <c r="P1540" s="4" t="str">
        <f t="shared" si="148"/>
        <v>Low Quality</v>
      </c>
      <c r="Q1540" s="4" t="str">
        <f t="shared" si="149"/>
        <v>Weak Growth</v>
      </c>
    </row>
    <row r="1541" spans="1:17" x14ac:dyDescent="0.35">
      <c r="A1541" s="2" t="s">
        <v>1552</v>
      </c>
      <c r="B1541" s="2">
        <v>5</v>
      </c>
      <c r="C1541" s="2">
        <v>6564402956</v>
      </c>
      <c r="D1541" s="2">
        <v>1</v>
      </c>
      <c r="E1541" s="2">
        <v>1293882140</v>
      </c>
      <c r="F1541" s="2">
        <v>2425594171</v>
      </c>
      <c r="G1541" s="2">
        <v>2</v>
      </c>
      <c r="H1541" s="2">
        <v>5</v>
      </c>
      <c r="I1541" s="2">
        <v>1</v>
      </c>
      <c r="J1541" s="2">
        <v>2.7</v>
      </c>
      <c r="K1541" s="2" t="s">
        <v>1268</v>
      </c>
      <c r="L1541" s="2" t="str">
        <f t="shared" si="144"/>
        <v>Profitable</v>
      </c>
      <c r="M1541" s="2" t="str">
        <f t="shared" si="145"/>
        <v>High Volatility</v>
      </c>
      <c r="N1541" s="2" t="str">
        <f t="shared" si="146"/>
        <v>Low Quality</v>
      </c>
      <c r="O1541" s="4" t="str">
        <f t="shared" si="147"/>
        <v>Operational Growth</v>
      </c>
      <c r="P1541" s="4" t="str">
        <f t="shared" si="148"/>
        <v>Low Quality</v>
      </c>
      <c r="Q1541" s="4" t="str">
        <f t="shared" si="149"/>
        <v>Weak Growth</v>
      </c>
    </row>
    <row r="1542" spans="1:17" x14ac:dyDescent="0.35">
      <c r="A1542" s="2" t="s">
        <v>1553</v>
      </c>
      <c r="B1542" s="2">
        <v>5</v>
      </c>
      <c r="C1542" s="2">
        <v>1560678050</v>
      </c>
      <c r="D1542" s="2">
        <v>1</v>
      </c>
      <c r="E1542" s="2">
        <v>1152912577</v>
      </c>
      <c r="F1542" s="2">
        <v>2375727133</v>
      </c>
      <c r="G1542" s="2">
        <v>2</v>
      </c>
      <c r="H1542" s="2">
        <v>5</v>
      </c>
      <c r="I1542" s="2">
        <v>1</v>
      </c>
      <c r="J1542" s="2">
        <v>2.7</v>
      </c>
      <c r="K1542" s="2" t="s">
        <v>1268</v>
      </c>
      <c r="L1542" s="2" t="str">
        <f t="shared" si="144"/>
        <v>Profitable</v>
      </c>
      <c r="M1542" s="2" t="str">
        <f t="shared" si="145"/>
        <v>High Volatility</v>
      </c>
      <c r="N1542" s="2" t="str">
        <f t="shared" si="146"/>
        <v>Low Quality</v>
      </c>
      <c r="O1542" s="4" t="str">
        <f t="shared" si="147"/>
        <v>Operational Growth</v>
      </c>
      <c r="P1542" s="4" t="str">
        <f t="shared" si="148"/>
        <v>Low Quality</v>
      </c>
      <c r="Q1542" s="4" t="str">
        <f t="shared" si="149"/>
        <v>Weak Growth</v>
      </c>
    </row>
    <row r="1543" spans="1:17" x14ac:dyDescent="0.35">
      <c r="A1543" s="2" t="s">
        <v>1554</v>
      </c>
      <c r="B1543" s="2">
        <v>5</v>
      </c>
      <c r="C1543" s="2">
        <v>7396231512</v>
      </c>
      <c r="D1543" s="2">
        <v>1</v>
      </c>
      <c r="E1543" s="2">
        <v>4934296136</v>
      </c>
      <c r="F1543" s="2">
        <v>2332508894</v>
      </c>
      <c r="G1543" s="2">
        <v>2</v>
      </c>
      <c r="H1543" s="2">
        <v>5</v>
      </c>
      <c r="I1543" s="2">
        <v>1</v>
      </c>
      <c r="J1543" s="2">
        <v>2.7</v>
      </c>
      <c r="K1543" s="2" t="s">
        <v>1268</v>
      </c>
      <c r="L1543" s="2" t="str">
        <f t="shared" si="144"/>
        <v>Profitable</v>
      </c>
      <c r="M1543" s="2" t="str">
        <f t="shared" si="145"/>
        <v>High Volatility</v>
      </c>
      <c r="N1543" s="2" t="str">
        <f t="shared" si="146"/>
        <v>Low Quality</v>
      </c>
      <c r="O1543" s="4" t="str">
        <f t="shared" si="147"/>
        <v>Operational Growth</v>
      </c>
      <c r="P1543" s="4" t="str">
        <f t="shared" si="148"/>
        <v>Low Quality</v>
      </c>
      <c r="Q1543" s="4" t="str">
        <f t="shared" si="149"/>
        <v>Weak Growth</v>
      </c>
    </row>
    <row r="1544" spans="1:17" x14ac:dyDescent="0.35">
      <c r="A1544" s="2" t="s">
        <v>1555</v>
      </c>
      <c r="B1544" s="2">
        <v>5</v>
      </c>
      <c r="C1544" s="2">
        <v>26141731.16</v>
      </c>
      <c r="D1544" s="2">
        <v>0.8</v>
      </c>
      <c r="E1544" s="2">
        <v>57536948.030000001</v>
      </c>
      <c r="F1544" s="2">
        <v>-33743923.700000003</v>
      </c>
      <c r="G1544" s="2">
        <v>2</v>
      </c>
      <c r="H1544" s="2">
        <v>3</v>
      </c>
      <c r="I1544" s="2">
        <v>4</v>
      </c>
      <c r="J1544" s="2">
        <v>2.7</v>
      </c>
      <c r="K1544" s="2" t="s">
        <v>1268</v>
      </c>
      <c r="L1544" s="2" t="str">
        <f t="shared" si="144"/>
        <v>Profitable</v>
      </c>
      <c r="M1544" s="2" t="str">
        <f t="shared" si="145"/>
        <v>Stable Earnings</v>
      </c>
      <c r="N1544" s="2" t="str">
        <f t="shared" si="146"/>
        <v>Low Quality</v>
      </c>
      <c r="O1544" s="4" t="str">
        <f t="shared" si="147"/>
        <v>Accounting Risk</v>
      </c>
      <c r="P1544" s="4" t="str">
        <f t="shared" si="148"/>
        <v>Low Quality</v>
      </c>
      <c r="Q1544" s="4" t="str">
        <f t="shared" si="149"/>
        <v>Strong Long-Term Growth</v>
      </c>
    </row>
    <row r="1545" spans="1:17" x14ac:dyDescent="0.35">
      <c r="A1545" s="2" t="s">
        <v>1556</v>
      </c>
      <c r="B1545" s="2">
        <v>5</v>
      </c>
      <c r="C1545" s="2">
        <v>24281398.300000001</v>
      </c>
      <c r="D1545" s="2">
        <v>0.8</v>
      </c>
      <c r="E1545" s="2">
        <v>102228769.90000001</v>
      </c>
      <c r="F1545" s="2">
        <v>-19180248.199999999</v>
      </c>
      <c r="G1545" s="2">
        <v>2</v>
      </c>
      <c r="H1545" s="2">
        <v>3</v>
      </c>
      <c r="I1545" s="2">
        <v>4</v>
      </c>
      <c r="J1545" s="2">
        <v>2.7</v>
      </c>
      <c r="K1545" s="2" t="s">
        <v>1268</v>
      </c>
      <c r="L1545" s="2" t="str">
        <f t="shared" si="144"/>
        <v>Profitable</v>
      </c>
      <c r="M1545" s="2" t="str">
        <f t="shared" si="145"/>
        <v>Stable Earnings</v>
      </c>
      <c r="N1545" s="2" t="str">
        <f t="shared" si="146"/>
        <v>Low Quality</v>
      </c>
      <c r="O1545" s="4" t="str">
        <f t="shared" si="147"/>
        <v>Accounting Risk</v>
      </c>
      <c r="P1545" s="4" t="str">
        <f t="shared" si="148"/>
        <v>Low Quality</v>
      </c>
      <c r="Q1545" s="4" t="str">
        <f t="shared" si="149"/>
        <v>Strong Long-Term Growth</v>
      </c>
    </row>
    <row r="1546" spans="1:17" x14ac:dyDescent="0.35">
      <c r="A1546" s="2" t="s">
        <v>1557</v>
      </c>
      <c r="B1546" s="2">
        <v>5</v>
      </c>
      <c r="C1546" s="2">
        <v>124545382.5</v>
      </c>
      <c r="D1546" s="2">
        <v>1</v>
      </c>
      <c r="E1546" s="2">
        <v>87188710.060000002</v>
      </c>
      <c r="F1546" s="2">
        <v>-24328265.100000001</v>
      </c>
      <c r="G1546" s="2">
        <v>2</v>
      </c>
      <c r="H1546" s="2">
        <v>3</v>
      </c>
      <c r="I1546" s="2">
        <v>4</v>
      </c>
      <c r="J1546" s="2">
        <v>2.7</v>
      </c>
      <c r="K1546" s="2" t="s">
        <v>1268</v>
      </c>
      <c r="L1546" s="2" t="str">
        <f t="shared" si="144"/>
        <v>Profitable</v>
      </c>
      <c r="M1546" s="2" t="str">
        <f t="shared" si="145"/>
        <v>Stable Earnings</v>
      </c>
      <c r="N1546" s="2" t="str">
        <f t="shared" si="146"/>
        <v>Low Quality</v>
      </c>
      <c r="O1546" s="4" t="str">
        <f t="shared" si="147"/>
        <v>Accounting Risk</v>
      </c>
      <c r="P1546" s="4" t="str">
        <f t="shared" si="148"/>
        <v>Low Quality</v>
      </c>
      <c r="Q1546" s="4" t="str">
        <f t="shared" si="149"/>
        <v>Strong Long-Term Growth</v>
      </c>
    </row>
    <row r="1547" spans="1:17" x14ac:dyDescent="0.35">
      <c r="A1547" s="2" t="s">
        <v>1558</v>
      </c>
      <c r="B1547" s="2">
        <v>5</v>
      </c>
      <c r="C1547" s="2">
        <v>10254623.880000001</v>
      </c>
      <c r="D1547" s="2">
        <v>0.8</v>
      </c>
      <c r="E1547" s="2">
        <v>57186886.829999998</v>
      </c>
      <c r="F1547" s="2">
        <v>-23918785.600000001</v>
      </c>
      <c r="G1547" s="2">
        <v>2</v>
      </c>
      <c r="H1547" s="2">
        <v>3</v>
      </c>
      <c r="I1547" s="2">
        <v>4</v>
      </c>
      <c r="J1547" s="2">
        <v>2.7</v>
      </c>
      <c r="K1547" s="2" t="s">
        <v>1268</v>
      </c>
      <c r="L1547" s="2" t="str">
        <f t="shared" si="144"/>
        <v>Profitable</v>
      </c>
      <c r="M1547" s="2" t="str">
        <f t="shared" si="145"/>
        <v>Stable Earnings</v>
      </c>
      <c r="N1547" s="2" t="str">
        <f t="shared" si="146"/>
        <v>Low Quality</v>
      </c>
      <c r="O1547" s="4" t="str">
        <f t="shared" si="147"/>
        <v>Accounting Risk</v>
      </c>
      <c r="P1547" s="4" t="str">
        <f t="shared" si="148"/>
        <v>Low Quality</v>
      </c>
      <c r="Q1547" s="4" t="str">
        <f t="shared" si="149"/>
        <v>Strong Long-Term Growth</v>
      </c>
    </row>
    <row r="1548" spans="1:17" x14ac:dyDescent="0.35">
      <c r="A1548" s="2" t="s">
        <v>1559</v>
      </c>
      <c r="B1548" s="2">
        <v>5</v>
      </c>
      <c r="C1548" s="2">
        <v>151247596.69999999</v>
      </c>
      <c r="D1548" s="2">
        <v>1</v>
      </c>
      <c r="E1548" s="2">
        <v>53586492.810000002</v>
      </c>
      <c r="F1548" s="2">
        <v>-8953450.4000000004</v>
      </c>
      <c r="G1548" s="2">
        <v>2</v>
      </c>
      <c r="H1548" s="2">
        <v>3</v>
      </c>
      <c r="I1548" s="2">
        <v>4</v>
      </c>
      <c r="J1548" s="2">
        <v>2.7</v>
      </c>
      <c r="K1548" s="2" t="s">
        <v>1268</v>
      </c>
      <c r="L1548" s="2" t="str">
        <f t="shared" si="144"/>
        <v>Profitable</v>
      </c>
      <c r="M1548" s="2" t="str">
        <f t="shared" si="145"/>
        <v>Stable Earnings</v>
      </c>
      <c r="N1548" s="2" t="str">
        <f t="shared" si="146"/>
        <v>Low Quality</v>
      </c>
      <c r="O1548" s="4" t="str">
        <f t="shared" si="147"/>
        <v>Accounting Risk</v>
      </c>
      <c r="P1548" s="4" t="str">
        <f t="shared" si="148"/>
        <v>Low Quality</v>
      </c>
      <c r="Q1548" s="4" t="str">
        <f t="shared" si="149"/>
        <v>Strong Long-Term Growth</v>
      </c>
    </row>
    <row r="1549" spans="1:17" x14ac:dyDescent="0.35">
      <c r="A1549" s="2" t="s">
        <v>1560</v>
      </c>
      <c r="B1549" s="2">
        <v>5</v>
      </c>
      <c r="C1549" s="2">
        <v>128189128.7</v>
      </c>
      <c r="D1549" s="2">
        <v>1</v>
      </c>
      <c r="E1549" s="2">
        <v>90643219.790000007</v>
      </c>
      <c r="F1549" s="2">
        <v>-14535671.6</v>
      </c>
      <c r="G1549" s="2">
        <v>2</v>
      </c>
      <c r="H1549" s="2">
        <v>3</v>
      </c>
      <c r="I1549" s="2">
        <v>4</v>
      </c>
      <c r="J1549" s="2">
        <v>2.7</v>
      </c>
      <c r="K1549" s="2" t="s">
        <v>1268</v>
      </c>
      <c r="L1549" s="2" t="str">
        <f t="shared" si="144"/>
        <v>Profitable</v>
      </c>
      <c r="M1549" s="2" t="str">
        <f t="shared" si="145"/>
        <v>Stable Earnings</v>
      </c>
      <c r="N1549" s="2" t="str">
        <f t="shared" si="146"/>
        <v>Low Quality</v>
      </c>
      <c r="O1549" s="4" t="str">
        <f t="shared" si="147"/>
        <v>Accounting Risk</v>
      </c>
      <c r="P1549" s="4" t="str">
        <f t="shared" si="148"/>
        <v>Low Quality</v>
      </c>
      <c r="Q1549" s="4" t="str">
        <f t="shared" si="149"/>
        <v>Strong Long-Term Growth</v>
      </c>
    </row>
    <row r="1550" spans="1:17" x14ac:dyDescent="0.35">
      <c r="A1550" s="2" t="s">
        <v>1561</v>
      </c>
      <c r="B1550" s="2">
        <v>5</v>
      </c>
      <c r="C1550" s="2">
        <v>24620654.34</v>
      </c>
      <c r="D1550" s="2">
        <v>0.6</v>
      </c>
      <c r="E1550" s="2">
        <v>31786216.120000001</v>
      </c>
      <c r="F1550" s="2">
        <v>4096329.4</v>
      </c>
      <c r="G1550" s="2">
        <v>3</v>
      </c>
      <c r="H1550" s="2">
        <v>2</v>
      </c>
      <c r="I1550" s="2">
        <v>3</v>
      </c>
      <c r="J1550" s="2">
        <v>2.7</v>
      </c>
      <c r="K1550" s="2" t="s">
        <v>1268</v>
      </c>
      <c r="L1550" s="2" t="str">
        <f t="shared" si="144"/>
        <v>Profitable</v>
      </c>
      <c r="M1550" s="2" t="str">
        <f t="shared" si="145"/>
        <v>Stable Earnings</v>
      </c>
      <c r="N1550" s="2" t="str">
        <f t="shared" si="146"/>
        <v>Low Quality</v>
      </c>
      <c r="O1550" s="4" t="str">
        <f t="shared" si="147"/>
        <v>Accounting Risk</v>
      </c>
      <c r="P1550" s="4" t="str">
        <f t="shared" si="148"/>
        <v>Low Quality</v>
      </c>
      <c r="Q1550" s="4" t="str">
        <f t="shared" si="149"/>
        <v>Moderate Growth</v>
      </c>
    </row>
    <row r="1551" spans="1:17" x14ac:dyDescent="0.35">
      <c r="A1551" s="2" t="s">
        <v>1562</v>
      </c>
      <c r="B1551" s="2">
        <v>5</v>
      </c>
      <c r="C1551" s="2">
        <v>12867079.619999999</v>
      </c>
      <c r="D1551" s="2">
        <v>0.6</v>
      </c>
      <c r="E1551" s="2">
        <v>44027325.380000003</v>
      </c>
      <c r="F1551" s="2">
        <v>6732029.2000000002</v>
      </c>
      <c r="G1551" s="2">
        <v>3</v>
      </c>
      <c r="H1551" s="2">
        <v>2</v>
      </c>
      <c r="I1551" s="2">
        <v>3</v>
      </c>
      <c r="J1551" s="2">
        <v>2.7</v>
      </c>
      <c r="K1551" s="2" t="s">
        <v>1268</v>
      </c>
      <c r="L1551" s="2" t="str">
        <f t="shared" si="144"/>
        <v>Profitable</v>
      </c>
      <c r="M1551" s="2" t="str">
        <f t="shared" si="145"/>
        <v>Stable Earnings</v>
      </c>
      <c r="N1551" s="2" t="str">
        <f t="shared" si="146"/>
        <v>Low Quality</v>
      </c>
      <c r="O1551" s="4" t="str">
        <f t="shared" si="147"/>
        <v>Accounting Risk</v>
      </c>
      <c r="P1551" s="4" t="str">
        <f t="shared" si="148"/>
        <v>Low Quality</v>
      </c>
      <c r="Q1551" s="4" t="str">
        <f t="shared" si="149"/>
        <v>Moderate Growth</v>
      </c>
    </row>
    <row r="1552" spans="1:17" x14ac:dyDescent="0.35">
      <c r="A1552" s="2" t="s">
        <v>1563</v>
      </c>
      <c r="B1552" s="2">
        <v>5</v>
      </c>
      <c r="C1552" s="2">
        <v>-6748055.8200000003</v>
      </c>
      <c r="D1552" s="2">
        <v>0.6</v>
      </c>
      <c r="E1552" s="2">
        <v>31159358.960000001</v>
      </c>
      <c r="F1552" s="2">
        <v>2219440.7999999998</v>
      </c>
      <c r="G1552" s="2">
        <v>3</v>
      </c>
      <c r="H1552" s="2">
        <v>2</v>
      </c>
      <c r="I1552" s="2">
        <v>3</v>
      </c>
      <c r="J1552" s="2">
        <v>2.7</v>
      </c>
      <c r="K1552" s="2" t="s">
        <v>1268</v>
      </c>
      <c r="L1552" s="2" t="str">
        <f t="shared" si="144"/>
        <v>Loss Making</v>
      </c>
      <c r="M1552" s="2" t="str">
        <f t="shared" si="145"/>
        <v>Stable Earnings</v>
      </c>
      <c r="N1552" s="2" t="str">
        <f t="shared" si="146"/>
        <v>Low Quality</v>
      </c>
      <c r="O1552" s="4" t="str">
        <f t="shared" si="147"/>
        <v>Accounting Risk</v>
      </c>
      <c r="P1552" s="4" t="str">
        <f t="shared" si="148"/>
        <v>Low Quality</v>
      </c>
      <c r="Q1552" s="4" t="str">
        <f t="shared" si="149"/>
        <v>Moderate Growth</v>
      </c>
    </row>
    <row r="1553" spans="1:17" x14ac:dyDescent="0.35">
      <c r="A1553" s="2" t="s">
        <v>1564</v>
      </c>
      <c r="B1553" s="2">
        <v>5</v>
      </c>
      <c r="C1553" s="2">
        <v>20714670.539999999</v>
      </c>
      <c r="D1553" s="2">
        <v>0.8</v>
      </c>
      <c r="E1553" s="2">
        <v>42414689.409999996</v>
      </c>
      <c r="F1553" s="2">
        <v>-3114488.4</v>
      </c>
      <c r="G1553" s="2">
        <v>3</v>
      </c>
      <c r="H1553" s="2">
        <v>2</v>
      </c>
      <c r="I1553" s="2">
        <v>3</v>
      </c>
      <c r="J1553" s="2">
        <v>2.7</v>
      </c>
      <c r="K1553" s="2" t="s">
        <v>1268</v>
      </c>
      <c r="L1553" s="2" t="str">
        <f t="shared" si="144"/>
        <v>Profitable</v>
      </c>
      <c r="M1553" s="2" t="str">
        <f t="shared" si="145"/>
        <v>Stable Earnings</v>
      </c>
      <c r="N1553" s="2" t="str">
        <f t="shared" si="146"/>
        <v>Low Quality</v>
      </c>
      <c r="O1553" s="4" t="str">
        <f t="shared" si="147"/>
        <v>Accounting Risk</v>
      </c>
      <c r="P1553" s="4" t="str">
        <f t="shared" si="148"/>
        <v>Low Quality</v>
      </c>
      <c r="Q1553" s="4" t="str">
        <f t="shared" si="149"/>
        <v>Moderate Growth</v>
      </c>
    </row>
    <row r="1554" spans="1:17" x14ac:dyDescent="0.35">
      <c r="A1554" s="2" t="s">
        <v>1565</v>
      </c>
      <c r="B1554" s="2">
        <v>5</v>
      </c>
      <c r="C1554" s="2">
        <v>69109064.560000002</v>
      </c>
      <c r="D1554" s="2">
        <v>1</v>
      </c>
      <c r="E1554" s="2">
        <v>46620025.460000001</v>
      </c>
      <c r="F1554" s="2">
        <v>-6209894.0999999996</v>
      </c>
      <c r="G1554" s="2">
        <v>2</v>
      </c>
      <c r="H1554" s="2">
        <v>3</v>
      </c>
      <c r="I1554" s="2">
        <v>4</v>
      </c>
      <c r="J1554" s="2">
        <v>2.7</v>
      </c>
      <c r="K1554" s="2" t="s">
        <v>1268</v>
      </c>
      <c r="L1554" s="2" t="str">
        <f t="shared" si="144"/>
        <v>Profitable</v>
      </c>
      <c r="M1554" s="2" t="str">
        <f t="shared" si="145"/>
        <v>Stable Earnings</v>
      </c>
      <c r="N1554" s="2" t="str">
        <f t="shared" si="146"/>
        <v>Low Quality</v>
      </c>
      <c r="O1554" s="4" t="str">
        <f t="shared" si="147"/>
        <v>Accounting Risk</v>
      </c>
      <c r="P1554" s="4" t="str">
        <f t="shared" si="148"/>
        <v>Low Quality</v>
      </c>
      <c r="Q1554" s="4" t="str">
        <f t="shared" si="149"/>
        <v>Strong Long-Term Growth</v>
      </c>
    </row>
    <row r="1555" spans="1:17" x14ac:dyDescent="0.35">
      <c r="A1555" s="2" t="s">
        <v>1566</v>
      </c>
      <c r="B1555" s="2">
        <v>5</v>
      </c>
      <c r="C1555" s="2">
        <v>3435318.4</v>
      </c>
      <c r="D1555" s="2">
        <v>0.6</v>
      </c>
      <c r="E1555" s="2">
        <v>28671428.559999999</v>
      </c>
      <c r="F1555" s="2">
        <v>222185.8</v>
      </c>
      <c r="G1555" s="2">
        <v>3</v>
      </c>
      <c r="H1555" s="2">
        <v>2</v>
      </c>
      <c r="I1555" s="2">
        <v>3</v>
      </c>
      <c r="J1555" s="2">
        <v>2.7</v>
      </c>
      <c r="K1555" s="2" t="s">
        <v>1268</v>
      </c>
      <c r="L1555" s="2" t="str">
        <f t="shared" si="144"/>
        <v>Profitable</v>
      </c>
      <c r="M1555" s="2" t="str">
        <f t="shared" si="145"/>
        <v>Stable Earnings</v>
      </c>
      <c r="N1555" s="2" t="str">
        <f t="shared" si="146"/>
        <v>Low Quality</v>
      </c>
      <c r="O1555" s="4" t="str">
        <f t="shared" si="147"/>
        <v>Accounting Risk</v>
      </c>
      <c r="P1555" s="4" t="str">
        <f t="shared" si="148"/>
        <v>Low Quality</v>
      </c>
      <c r="Q1555" s="4" t="str">
        <f t="shared" si="149"/>
        <v>Moderate Growth</v>
      </c>
    </row>
    <row r="1556" spans="1:17" x14ac:dyDescent="0.35">
      <c r="A1556" s="2" t="s">
        <v>1567</v>
      </c>
      <c r="B1556" s="2">
        <v>5</v>
      </c>
      <c r="C1556" s="2">
        <v>-7370400.3799999999</v>
      </c>
      <c r="D1556" s="2">
        <v>0.6</v>
      </c>
      <c r="E1556" s="2">
        <v>24951699.91</v>
      </c>
      <c r="F1556" s="2">
        <v>-487155</v>
      </c>
      <c r="G1556" s="2">
        <v>3</v>
      </c>
      <c r="H1556" s="2">
        <v>2</v>
      </c>
      <c r="I1556" s="2">
        <v>3</v>
      </c>
      <c r="J1556" s="2">
        <v>2.7</v>
      </c>
      <c r="K1556" s="2" t="s">
        <v>1268</v>
      </c>
      <c r="L1556" s="2" t="str">
        <f t="shared" si="144"/>
        <v>Loss Making</v>
      </c>
      <c r="M1556" s="2" t="str">
        <f t="shared" si="145"/>
        <v>Stable Earnings</v>
      </c>
      <c r="N1556" s="2" t="str">
        <f t="shared" si="146"/>
        <v>Low Quality</v>
      </c>
      <c r="O1556" s="4" t="str">
        <f t="shared" si="147"/>
        <v>Accounting Risk</v>
      </c>
      <c r="P1556" s="4" t="str">
        <f t="shared" si="148"/>
        <v>Low Quality</v>
      </c>
      <c r="Q1556" s="4" t="str">
        <f t="shared" si="149"/>
        <v>Moderate Growth</v>
      </c>
    </row>
    <row r="1557" spans="1:17" x14ac:dyDescent="0.35">
      <c r="A1557" s="2" t="s">
        <v>1568</v>
      </c>
      <c r="B1557" s="2">
        <v>5</v>
      </c>
      <c r="C1557" s="2">
        <v>12599050.24</v>
      </c>
      <c r="D1557" s="2">
        <v>0.8</v>
      </c>
      <c r="E1557" s="2">
        <v>67780123.109999999</v>
      </c>
      <c r="F1557" s="2">
        <v>-48225533.799999997</v>
      </c>
      <c r="G1557" s="2">
        <v>2</v>
      </c>
      <c r="H1557" s="2">
        <v>3</v>
      </c>
      <c r="I1557" s="2">
        <v>4</v>
      </c>
      <c r="J1557" s="2">
        <v>2.7</v>
      </c>
      <c r="K1557" s="2" t="s">
        <v>1268</v>
      </c>
      <c r="L1557" s="2" t="str">
        <f t="shared" si="144"/>
        <v>Profitable</v>
      </c>
      <c r="M1557" s="2" t="str">
        <f t="shared" si="145"/>
        <v>Stable Earnings</v>
      </c>
      <c r="N1557" s="2" t="str">
        <f t="shared" si="146"/>
        <v>Low Quality</v>
      </c>
      <c r="O1557" s="4" t="str">
        <f t="shared" si="147"/>
        <v>Accounting Risk</v>
      </c>
      <c r="P1557" s="4" t="str">
        <f t="shared" si="148"/>
        <v>Low Quality</v>
      </c>
      <c r="Q1557" s="4" t="str">
        <f t="shared" si="149"/>
        <v>Strong Long-Term Growth</v>
      </c>
    </row>
    <row r="1558" spans="1:17" x14ac:dyDescent="0.35">
      <c r="A1558" s="2" t="s">
        <v>1569</v>
      </c>
      <c r="B1558" s="2">
        <v>5</v>
      </c>
      <c r="C1558" s="2">
        <v>226957604</v>
      </c>
      <c r="D1558" s="2">
        <v>1</v>
      </c>
      <c r="E1558" s="2">
        <v>108944629.90000001</v>
      </c>
      <c r="F1558" s="2">
        <v>-49995359.700000003</v>
      </c>
      <c r="G1558" s="2">
        <v>2</v>
      </c>
      <c r="H1558" s="2">
        <v>3</v>
      </c>
      <c r="I1558" s="2">
        <v>4</v>
      </c>
      <c r="J1558" s="2">
        <v>2.7</v>
      </c>
      <c r="K1558" s="2" t="s">
        <v>1268</v>
      </c>
      <c r="L1558" s="2" t="str">
        <f t="shared" si="144"/>
        <v>Profitable</v>
      </c>
      <c r="M1558" s="2" t="str">
        <f t="shared" si="145"/>
        <v>Stable Earnings</v>
      </c>
      <c r="N1558" s="2" t="str">
        <f t="shared" si="146"/>
        <v>Low Quality</v>
      </c>
      <c r="O1558" s="4" t="str">
        <f t="shared" si="147"/>
        <v>Accounting Risk</v>
      </c>
      <c r="P1558" s="4" t="str">
        <f t="shared" si="148"/>
        <v>Low Quality</v>
      </c>
      <c r="Q1558" s="4" t="str">
        <f t="shared" si="149"/>
        <v>Strong Long-Term Growth</v>
      </c>
    </row>
    <row r="1559" spans="1:17" x14ac:dyDescent="0.35">
      <c r="A1559" s="2" t="s">
        <v>1570</v>
      </c>
      <c r="B1559" s="2">
        <v>5</v>
      </c>
      <c r="C1559" s="2">
        <v>46380350.840000004</v>
      </c>
      <c r="D1559" s="2">
        <v>0.8</v>
      </c>
      <c r="E1559" s="2">
        <v>55803078.539999999</v>
      </c>
      <c r="F1559" s="2">
        <v>-50670306.5</v>
      </c>
      <c r="G1559" s="2">
        <v>2</v>
      </c>
      <c r="H1559" s="2">
        <v>3</v>
      </c>
      <c r="I1559" s="2">
        <v>4</v>
      </c>
      <c r="J1559" s="2">
        <v>2.7</v>
      </c>
      <c r="K1559" s="2" t="s">
        <v>1268</v>
      </c>
      <c r="L1559" s="2" t="str">
        <f t="shared" si="144"/>
        <v>Profitable</v>
      </c>
      <c r="M1559" s="2" t="str">
        <f t="shared" si="145"/>
        <v>Stable Earnings</v>
      </c>
      <c r="N1559" s="2" t="str">
        <f t="shared" si="146"/>
        <v>Low Quality</v>
      </c>
      <c r="O1559" s="4" t="str">
        <f t="shared" si="147"/>
        <v>Accounting Risk</v>
      </c>
      <c r="P1559" s="4" t="str">
        <f t="shared" si="148"/>
        <v>Low Quality</v>
      </c>
      <c r="Q1559" s="4" t="str">
        <f t="shared" si="149"/>
        <v>Strong Long-Term Growth</v>
      </c>
    </row>
    <row r="1560" spans="1:17" x14ac:dyDescent="0.35">
      <c r="A1560" s="2" t="s">
        <v>1571</v>
      </c>
      <c r="B1560" s="2">
        <v>5</v>
      </c>
      <c r="C1560" s="2">
        <v>36681426.460000001</v>
      </c>
      <c r="D1560" s="2">
        <v>0.8</v>
      </c>
      <c r="E1560" s="2">
        <v>69506160.090000004</v>
      </c>
      <c r="F1560" s="2">
        <v>-56783981.899999999</v>
      </c>
      <c r="G1560" s="2">
        <v>2</v>
      </c>
      <c r="H1560" s="2">
        <v>3</v>
      </c>
      <c r="I1560" s="2">
        <v>4</v>
      </c>
      <c r="J1560" s="2">
        <v>2.7</v>
      </c>
      <c r="K1560" s="2" t="s">
        <v>1268</v>
      </c>
      <c r="L1560" s="2" t="str">
        <f t="shared" si="144"/>
        <v>Profitable</v>
      </c>
      <c r="M1560" s="2" t="str">
        <f t="shared" si="145"/>
        <v>Stable Earnings</v>
      </c>
      <c r="N1560" s="2" t="str">
        <f t="shared" si="146"/>
        <v>Low Quality</v>
      </c>
      <c r="O1560" s="4" t="str">
        <f t="shared" si="147"/>
        <v>Accounting Risk</v>
      </c>
      <c r="P1560" s="4" t="str">
        <f t="shared" si="148"/>
        <v>Low Quality</v>
      </c>
      <c r="Q1560" s="4" t="str">
        <f t="shared" si="149"/>
        <v>Strong Long-Term Growth</v>
      </c>
    </row>
    <row r="1561" spans="1:17" x14ac:dyDescent="0.35">
      <c r="A1561" s="2" t="s">
        <v>1572</v>
      </c>
      <c r="B1561" s="2">
        <v>5</v>
      </c>
      <c r="C1561" s="2">
        <v>63515355.32</v>
      </c>
      <c r="D1561" s="2">
        <v>0.8</v>
      </c>
      <c r="E1561" s="2">
        <v>103618090.3</v>
      </c>
      <c r="F1561" s="2">
        <v>-57092101.5</v>
      </c>
      <c r="G1561" s="2">
        <v>2</v>
      </c>
      <c r="H1561" s="2">
        <v>3</v>
      </c>
      <c r="I1561" s="2">
        <v>4</v>
      </c>
      <c r="J1561" s="2">
        <v>2.7</v>
      </c>
      <c r="K1561" s="2" t="s">
        <v>1268</v>
      </c>
      <c r="L1561" s="2" t="str">
        <f t="shared" si="144"/>
        <v>Profitable</v>
      </c>
      <c r="M1561" s="2" t="str">
        <f t="shared" si="145"/>
        <v>Stable Earnings</v>
      </c>
      <c r="N1561" s="2" t="str">
        <f t="shared" si="146"/>
        <v>Low Quality</v>
      </c>
      <c r="O1561" s="4" t="str">
        <f t="shared" si="147"/>
        <v>Accounting Risk</v>
      </c>
      <c r="P1561" s="4" t="str">
        <f t="shared" si="148"/>
        <v>Low Quality</v>
      </c>
      <c r="Q1561" s="4" t="str">
        <f t="shared" si="149"/>
        <v>Strong Long-Term Growth</v>
      </c>
    </row>
    <row r="1562" spans="1:17" x14ac:dyDescent="0.35">
      <c r="A1562" s="2" t="s">
        <v>1573</v>
      </c>
      <c r="B1562" s="2">
        <v>5</v>
      </c>
      <c r="C1562" s="2">
        <v>69268325.560000002</v>
      </c>
      <c r="D1562" s="2">
        <v>0.8</v>
      </c>
      <c r="E1562" s="2">
        <v>70755600.620000005</v>
      </c>
      <c r="F1562" s="2">
        <v>-60236365.799999997</v>
      </c>
      <c r="G1562" s="2">
        <v>2</v>
      </c>
      <c r="H1562" s="2">
        <v>3</v>
      </c>
      <c r="I1562" s="2">
        <v>4</v>
      </c>
      <c r="J1562" s="2">
        <v>2.7</v>
      </c>
      <c r="K1562" s="2" t="s">
        <v>1268</v>
      </c>
      <c r="L1562" s="2" t="str">
        <f t="shared" si="144"/>
        <v>Profitable</v>
      </c>
      <c r="M1562" s="2" t="str">
        <f t="shared" si="145"/>
        <v>Stable Earnings</v>
      </c>
      <c r="N1562" s="2" t="str">
        <f t="shared" si="146"/>
        <v>Low Quality</v>
      </c>
      <c r="O1562" s="4" t="str">
        <f t="shared" si="147"/>
        <v>Accounting Risk</v>
      </c>
      <c r="P1562" s="4" t="str">
        <f t="shared" si="148"/>
        <v>Low Quality</v>
      </c>
      <c r="Q1562" s="4" t="str">
        <f t="shared" si="149"/>
        <v>Strong Long-Term Growth</v>
      </c>
    </row>
    <row r="1563" spans="1:17" x14ac:dyDescent="0.35">
      <c r="A1563" s="2" t="s">
        <v>1574</v>
      </c>
      <c r="B1563" s="2">
        <v>5</v>
      </c>
      <c r="C1563" s="2">
        <v>104636466.59999999</v>
      </c>
      <c r="D1563" s="2">
        <v>1</v>
      </c>
      <c r="E1563" s="2">
        <v>65204806.920000002</v>
      </c>
      <c r="F1563" s="2">
        <v>-71075124.400000006</v>
      </c>
      <c r="G1563" s="2">
        <v>2</v>
      </c>
      <c r="H1563" s="2">
        <v>3</v>
      </c>
      <c r="I1563" s="2">
        <v>4</v>
      </c>
      <c r="J1563" s="2">
        <v>2.7</v>
      </c>
      <c r="K1563" s="2" t="s">
        <v>1268</v>
      </c>
      <c r="L1563" s="2" t="str">
        <f t="shared" si="144"/>
        <v>Profitable</v>
      </c>
      <c r="M1563" s="2" t="str">
        <f t="shared" si="145"/>
        <v>Stable Earnings</v>
      </c>
      <c r="N1563" s="2" t="str">
        <f t="shared" si="146"/>
        <v>Low Quality</v>
      </c>
      <c r="O1563" s="4" t="str">
        <f t="shared" si="147"/>
        <v>Accounting Risk</v>
      </c>
      <c r="P1563" s="4" t="str">
        <f t="shared" si="148"/>
        <v>Low Quality</v>
      </c>
      <c r="Q1563" s="4" t="str">
        <f t="shared" si="149"/>
        <v>Strong Long-Term Growth</v>
      </c>
    </row>
    <row r="1564" spans="1:17" x14ac:dyDescent="0.35">
      <c r="A1564" s="2" t="s">
        <v>1575</v>
      </c>
      <c r="B1564" s="2">
        <v>5</v>
      </c>
      <c r="C1564" s="2">
        <v>89962669.480000004</v>
      </c>
      <c r="D1564" s="2">
        <v>1</v>
      </c>
      <c r="E1564" s="2">
        <v>51815793.170000002</v>
      </c>
      <c r="F1564" s="2">
        <v>-67871179.700000003</v>
      </c>
      <c r="G1564" s="2">
        <v>2</v>
      </c>
      <c r="H1564" s="2">
        <v>3</v>
      </c>
      <c r="I1564" s="2">
        <v>4</v>
      </c>
      <c r="J1564" s="2">
        <v>2.7</v>
      </c>
      <c r="K1564" s="2" t="s">
        <v>1268</v>
      </c>
      <c r="L1564" s="2" t="str">
        <f t="shared" si="144"/>
        <v>Profitable</v>
      </c>
      <c r="M1564" s="2" t="str">
        <f t="shared" si="145"/>
        <v>Stable Earnings</v>
      </c>
      <c r="N1564" s="2" t="str">
        <f t="shared" si="146"/>
        <v>Low Quality</v>
      </c>
      <c r="O1564" s="4" t="str">
        <f t="shared" si="147"/>
        <v>Accounting Risk</v>
      </c>
      <c r="P1564" s="4" t="str">
        <f t="shared" si="148"/>
        <v>Low Quality</v>
      </c>
      <c r="Q1564" s="4" t="str">
        <f t="shared" si="149"/>
        <v>Strong Long-Term Growth</v>
      </c>
    </row>
    <row r="1565" spans="1:17" x14ac:dyDescent="0.35">
      <c r="A1565" s="2" t="s">
        <v>1576</v>
      </c>
      <c r="B1565" s="2">
        <v>5</v>
      </c>
      <c r="C1565" s="2">
        <v>192676630.80000001</v>
      </c>
      <c r="D1565" s="2">
        <v>1</v>
      </c>
      <c r="E1565" s="2">
        <v>65244798.869999997</v>
      </c>
      <c r="F1565" s="2">
        <v>-62982528.5</v>
      </c>
      <c r="G1565" s="2">
        <v>2</v>
      </c>
      <c r="H1565" s="2">
        <v>3</v>
      </c>
      <c r="I1565" s="2">
        <v>4</v>
      </c>
      <c r="J1565" s="2">
        <v>2.7</v>
      </c>
      <c r="K1565" s="2" t="s">
        <v>1268</v>
      </c>
      <c r="L1565" s="2" t="str">
        <f t="shared" si="144"/>
        <v>Profitable</v>
      </c>
      <c r="M1565" s="2" t="str">
        <f t="shared" si="145"/>
        <v>Stable Earnings</v>
      </c>
      <c r="N1565" s="2" t="str">
        <f t="shared" si="146"/>
        <v>Low Quality</v>
      </c>
      <c r="O1565" s="4" t="str">
        <f t="shared" si="147"/>
        <v>Accounting Risk</v>
      </c>
      <c r="P1565" s="4" t="str">
        <f t="shared" si="148"/>
        <v>Low Quality</v>
      </c>
      <c r="Q1565" s="4" t="str">
        <f t="shared" si="149"/>
        <v>Strong Long-Term Growth</v>
      </c>
    </row>
    <row r="1566" spans="1:17" x14ac:dyDescent="0.35">
      <c r="A1566" s="2" t="s">
        <v>1577</v>
      </c>
      <c r="B1566" s="2">
        <v>5</v>
      </c>
      <c r="C1566" s="2">
        <v>3327058421</v>
      </c>
      <c r="D1566" s="2">
        <v>1</v>
      </c>
      <c r="E1566" s="2">
        <v>130324435.5</v>
      </c>
      <c r="F1566" s="2">
        <v>-86966061</v>
      </c>
      <c r="G1566" s="2">
        <v>1</v>
      </c>
      <c r="H1566" s="2">
        <v>4</v>
      </c>
      <c r="I1566" s="2">
        <v>5</v>
      </c>
      <c r="J1566" s="2">
        <v>2.7</v>
      </c>
      <c r="K1566" s="2" t="s">
        <v>1268</v>
      </c>
      <c r="L1566" s="2" t="str">
        <f t="shared" si="144"/>
        <v>Profitable</v>
      </c>
      <c r="M1566" s="2" t="str">
        <f t="shared" si="145"/>
        <v>High Volatility</v>
      </c>
      <c r="N1566" s="2" t="str">
        <f t="shared" si="146"/>
        <v>Low Quality</v>
      </c>
      <c r="O1566" s="4" t="str">
        <f t="shared" si="147"/>
        <v>Accounting Risk</v>
      </c>
      <c r="P1566" s="4" t="str">
        <f t="shared" si="148"/>
        <v>Low Quality</v>
      </c>
      <c r="Q1566" s="4" t="str">
        <f t="shared" si="149"/>
        <v>Strong Long-Term Growth</v>
      </c>
    </row>
    <row r="1567" spans="1:17" x14ac:dyDescent="0.35">
      <c r="A1567" s="2" t="s">
        <v>1578</v>
      </c>
      <c r="B1567" s="2">
        <v>5</v>
      </c>
      <c r="C1567" s="2">
        <v>352913560.30000001</v>
      </c>
      <c r="D1567" s="2">
        <v>1</v>
      </c>
      <c r="E1567" s="2">
        <v>140191317.90000001</v>
      </c>
      <c r="F1567" s="2">
        <v>-82869921.200000003</v>
      </c>
      <c r="G1567" s="2">
        <v>1</v>
      </c>
      <c r="H1567" s="2">
        <v>4</v>
      </c>
      <c r="I1567" s="2">
        <v>5</v>
      </c>
      <c r="J1567" s="2">
        <v>2.7</v>
      </c>
      <c r="K1567" s="2" t="s">
        <v>1268</v>
      </c>
      <c r="L1567" s="2" t="str">
        <f t="shared" si="144"/>
        <v>Profitable</v>
      </c>
      <c r="M1567" s="2" t="str">
        <f t="shared" si="145"/>
        <v>Stable Earnings</v>
      </c>
      <c r="N1567" s="2" t="str">
        <f t="shared" si="146"/>
        <v>Low Quality</v>
      </c>
      <c r="O1567" s="4" t="str">
        <f t="shared" si="147"/>
        <v>Accounting Risk</v>
      </c>
      <c r="P1567" s="4" t="str">
        <f t="shared" si="148"/>
        <v>Low Quality</v>
      </c>
      <c r="Q1567" s="4" t="str">
        <f t="shared" si="149"/>
        <v>Strong Long-Term Growth</v>
      </c>
    </row>
    <row r="1568" spans="1:17" x14ac:dyDescent="0.35">
      <c r="A1568" s="2" t="s">
        <v>1579</v>
      </c>
      <c r="B1568" s="2">
        <v>5</v>
      </c>
      <c r="C1568" s="2">
        <v>768649796.39999998</v>
      </c>
      <c r="D1568" s="2">
        <v>1</v>
      </c>
      <c r="E1568" s="2">
        <v>169536555.30000001</v>
      </c>
      <c r="F1568" s="2">
        <v>-92614089</v>
      </c>
      <c r="G1568" s="2">
        <v>1</v>
      </c>
      <c r="H1568" s="2">
        <v>4</v>
      </c>
      <c r="I1568" s="2">
        <v>5</v>
      </c>
      <c r="J1568" s="2">
        <v>2.7</v>
      </c>
      <c r="K1568" s="2" t="s">
        <v>1268</v>
      </c>
      <c r="L1568" s="2" t="str">
        <f t="shared" si="144"/>
        <v>Profitable</v>
      </c>
      <c r="M1568" s="2" t="str">
        <f t="shared" si="145"/>
        <v>High Volatility</v>
      </c>
      <c r="N1568" s="2" t="str">
        <f t="shared" si="146"/>
        <v>Low Quality</v>
      </c>
      <c r="O1568" s="4" t="str">
        <f t="shared" si="147"/>
        <v>Accounting Risk</v>
      </c>
      <c r="P1568" s="4" t="str">
        <f t="shared" si="148"/>
        <v>Low Quality</v>
      </c>
      <c r="Q1568" s="4" t="str">
        <f t="shared" si="149"/>
        <v>Strong Long-Term Growth</v>
      </c>
    </row>
    <row r="1569" spans="1:17" x14ac:dyDescent="0.35">
      <c r="A1569" s="2" t="s">
        <v>1580</v>
      </c>
      <c r="B1569" s="2">
        <v>5</v>
      </c>
      <c r="C1569" s="2">
        <v>669613260.79999995</v>
      </c>
      <c r="D1569" s="2">
        <v>1</v>
      </c>
      <c r="E1569" s="2">
        <v>201590094.80000001</v>
      </c>
      <c r="F1569" s="2">
        <v>-98834668.799999997</v>
      </c>
      <c r="G1569" s="2">
        <v>1</v>
      </c>
      <c r="H1569" s="2">
        <v>4</v>
      </c>
      <c r="I1569" s="2">
        <v>5</v>
      </c>
      <c r="J1569" s="2">
        <v>2.7</v>
      </c>
      <c r="K1569" s="2" t="s">
        <v>1268</v>
      </c>
      <c r="L1569" s="2" t="str">
        <f t="shared" si="144"/>
        <v>Profitable</v>
      </c>
      <c r="M1569" s="2" t="str">
        <f t="shared" si="145"/>
        <v>High Volatility</v>
      </c>
      <c r="N1569" s="2" t="str">
        <f t="shared" si="146"/>
        <v>Low Quality</v>
      </c>
      <c r="O1569" s="4" t="str">
        <f t="shared" si="147"/>
        <v>Accounting Risk</v>
      </c>
      <c r="P1569" s="4" t="str">
        <f t="shared" si="148"/>
        <v>Low Quality</v>
      </c>
      <c r="Q1569" s="4" t="str">
        <f t="shared" si="149"/>
        <v>Strong Long-Term Growth</v>
      </c>
    </row>
    <row r="1570" spans="1:17" x14ac:dyDescent="0.35">
      <c r="A1570" s="2" t="s">
        <v>1581</v>
      </c>
      <c r="B1570" s="2">
        <v>5</v>
      </c>
      <c r="C1570" s="2">
        <v>483726140.30000001</v>
      </c>
      <c r="D1570" s="2">
        <v>1</v>
      </c>
      <c r="E1570" s="2">
        <v>251338180.90000001</v>
      </c>
      <c r="F1570" s="2">
        <v>-102029532.5</v>
      </c>
      <c r="G1570" s="2">
        <v>1</v>
      </c>
      <c r="H1570" s="2">
        <v>4</v>
      </c>
      <c r="I1570" s="2">
        <v>5</v>
      </c>
      <c r="J1570" s="2">
        <v>2.7</v>
      </c>
      <c r="K1570" s="2" t="s">
        <v>1268</v>
      </c>
      <c r="L1570" s="2" t="str">
        <f t="shared" si="144"/>
        <v>Profitable</v>
      </c>
      <c r="M1570" s="2" t="str">
        <f t="shared" si="145"/>
        <v>Stable Earnings</v>
      </c>
      <c r="N1570" s="2" t="str">
        <f t="shared" si="146"/>
        <v>Low Quality</v>
      </c>
      <c r="O1570" s="4" t="str">
        <f t="shared" si="147"/>
        <v>Accounting Risk</v>
      </c>
      <c r="P1570" s="4" t="str">
        <f t="shared" si="148"/>
        <v>Low Quality</v>
      </c>
      <c r="Q1570" s="4" t="str">
        <f t="shared" si="149"/>
        <v>Strong Long-Term Growth</v>
      </c>
    </row>
    <row r="1571" spans="1:17" x14ac:dyDescent="0.35">
      <c r="A1571" s="2" t="s">
        <v>1582</v>
      </c>
      <c r="B1571" s="2">
        <v>5</v>
      </c>
      <c r="C1571" s="2">
        <v>245697640</v>
      </c>
      <c r="D1571" s="2">
        <v>1</v>
      </c>
      <c r="E1571" s="2">
        <v>113029487.09999999</v>
      </c>
      <c r="F1571" s="2">
        <v>-113143134</v>
      </c>
      <c r="G1571" s="2">
        <v>1</v>
      </c>
      <c r="H1571" s="2">
        <v>4</v>
      </c>
      <c r="I1571" s="2">
        <v>5</v>
      </c>
      <c r="J1571" s="2">
        <v>2.7</v>
      </c>
      <c r="K1571" s="2" t="s">
        <v>1268</v>
      </c>
      <c r="L1571" s="2" t="str">
        <f t="shared" si="144"/>
        <v>Profitable</v>
      </c>
      <c r="M1571" s="2" t="str">
        <f t="shared" si="145"/>
        <v>Stable Earnings</v>
      </c>
      <c r="N1571" s="2" t="str">
        <f t="shared" si="146"/>
        <v>Low Quality</v>
      </c>
      <c r="O1571" s="4" t="str">
        <f t="shared" si="147"/>
        <v>Accounting Risk</v>
      </c>
      <c r="P1571" s="4" t="str">
        <f t="shared" si="148"/>
        <v>Low Quality</v>
      </c>
      <c r="Q1571" s="4" t="str">
        <f t="shared" si="149"/>
        <v>Strong Long-Term Growth</v>
      </c>
    </row>
    <row r="1572" spans="1:17" x14ac:dyDescent="0.35">
      <c r="A1572" s="2" t="s">
        <v>1583</v>
      </c>
      <c r="B1572" s="2">
        <v>5</v>
      </c>
      <c r="C1572" s="2">
        <v>965802125.20000005</v>
      </c>
      <c r="D1572" s="2">
        <v>1</v>
      </c>
      <c r="E1572" s="2">
        <v>248128193.30000001</v>
      </c>
      <c r="F1572" s="2">
        <v>-158261102.30000001</v>
      </c>
      <c r="G1572" s="2">
        <v>1</v>
      </c>
      <c r="H1572" s="2">
        <v>4</v>
      </c>
      <c r="I1572" s="2">
        <v>5</v>
      </c>
      <c r="J1572" s="2">
        <v>2.7</v>
      </c>
      <c r="K1572" s="2" t="s">
        <v>1268</v>
      </c>
      <c r="L1572" s="2" t="str">
        <f t="shared" si="144"/>
        <v>Profitable</v>
      </c>
      <c r="M1572" s="2" t="str">
        <f t="shared" si="145"/>
        <v>High Volatility</v>
      </c>
      <c r="N1572" s="2" t="str">
        <f t="shared" si="146"/>
        <v>Low Quality</v>
      </c>
      <c r="O1572" s="4" t="str">
        <f t="shared" si="147"/>
        <v>Accounting Risk</v>
      </c>
      <c r="P1572" s="4" t="str">
        <f t="shared" si="148"/>
        <v>Low Quality</v>
      </c>
      <c r="Q1572" s="4" t="str">
        <f t="shared" si="149"/>
        <v>Strong Long-Term Growth</v>
      </c>
    </row>
    <row r="1573" spans="1:17" x14ac:dyDescent="0.35">
      <c r="A1573" s="2" t="s">
        <v>1584</v>
      </c>
      <c r="B1573" s="2">
        <v>5</v>
      </c>
      <c r="C1573" s="2">
        <v>213059245.40000001</v>
      </c>
      <c r="D1573" s="2">
        <v>1</v>
      </c>
      <c r="E1573" s="2">
        <v>129346403.59999999</v>
      </c>
      <c r="F1573" s="2">
        <v>-156379595.90000001</v>
      </c>
      <c r="G1573" s="2">
        <v>1</v>
      </c>
      <c r="H1573" s="2">
        <v>4</v>
      </c>
      <c r="I1573" s="2">
        <v>5</v>
      </c>
      <c r="J1573" s="2">
        <v>2.7</v>
      </c>
      <c r="K1573" s="2" t="s">
        <v>1268</v>
      </c>
      <c r="L1573" s="2" t="str">
        <f t="shared" si="144"/>
        <v>Profitable</v>
      </c>
      <c r="M1573" s="2" t="str">
        <f t="shared" si="145"/>
        <v>Stable Earnings</v>
      </c>
      <c r="N1573" s="2" t="str">
        <f t="shared" si="146"/>
        <v>Low Quality</v>
      </c>
      <c r="O1573" s="4" t="str">
        <f t="shared" si="147"/>
        <v>Accounting Risk</v>
      </c>
      <c r="P1573" s="4" t="str">
        <f t="shared" si="148"/>
        <v>Low Quality</v>
      </c>
      <c r="Q1573" s="4" t="str">
        <f t="shared" si="149"/>
        <v>Strong Long-Term Growth</v>
      </c>
    </row>
    <row r="1574" spans="1:17" x14ac:dyDescent="0.35">
      <c r="A1574" s="2" t="s">
        <v>1585</v>
      </c>
      <c r="B1574" s="2">
        <v>5</v>
      </c>
      <c r="C1574" s="2">
        <v>191729744.30000001</v>
      </c>
      <c r="D1574" s="2">
        <v>1</v>
      </c>
      <c r="E1574" s="2">
        <v>179587393.09999999</v>
      </c>
      <c r="F1574" s="2">
        <v>-181867242.90000001</v>
      </c>
      <c r="G1574" s="2">
        <v>1</v>
      </c>
      <c r="H1574" s="2">
        <v>4</v>
      </c>
      <c r="I1574" s="2">
        <v>5</v>
      </c>
      <c r="J1574" s="2">
        <v>2.7</v>
      </c>
      <c r="K1574" s="2" t="s">
        <v>1268</v>
      </c>
      <c r="L1574" s="2" t="str">
        <f t="shared" si="144"/>
        <v>Profitable</v>
      </c>
      <c r="M1574" s="2" t="str">
        <f t="shared" si="145"/>
        <v>Stable Earnings</v>
      </c>
      <c r="N1574" s="2" t="str">
        <f t="shared" si="146"/>
        <v>Low Quality</v>
      </c>
      <c r="O1574" s="4" t="str">
        <f t="shared" si="147"/>
        <v>Accounting Risk</v>
      </c>
      <c r="P1574" s="4" t="str">
        <f t="shared" si="148"/>
        <v>Low Quality</v>
      </c>
      <c r="Q1574" s="4" t="str">
        <f t="shared" si="149"/>
        <v>Strong Long-Term Growth</v>
      </c>
    </row>
    <row r="1575" spans="1:17" x14ac:dyDescent="0.35">
      <c r="A1575" s="2" t="s">
        <v>1586</v>
      </c>
      <c r="B1575" s="2">
        <v>5</v>
      </c>
      <c r="C1575" s="2">
        <v>436078219.80000001</v>
      </c>
      <c r="D1575" s="2">
        <v>1</v>
      </c>
      <c r="E1575" s="2">
        <v>217962878.59999999</v>
      </c>
      <c r="F1575" s="2">
        <v>-169456974.5</v>
      </c>
      <c r="G1575" s="2">
        <v>1</v>
      </c>
      <c r="H1575" s="2">
        <v>4</v>
      </c>
      <c r="I1575" s="2">
        <v>5</v>
      </c>
      <c r="J1575" s="2">
        <v>2.7</v>
      </c>
      <c r="K1575" s="2" t="s">
        <v>1268</v>
      </c>
      <c r="L1575" s="2" t="str">
        <f t="shared" si="144"/>
        <v>Profitable</v>
      </c>
      <c r="M1575" s="2" t="str">
        <f t="shared" si="145"/>
        <v>Stable Earnings</v>
      </c>
      <c r="N1575" s="2" t="str">
        <f t="shared" si="146"/>
        <v>Low Quality</v>
      </c>
      <c r="O1575" s="4" t="str">
        <f t="shared" si="147"/>
        <v>Accounting Risk</v>
      </c>
      <c r="P1575" s="4" t="str">
        <f t="shared" si="148"/>
        <v>Low Quality</v>
      </c>
      <c r="Q1575" s="4" t="str">
        <f t="shared" si="149"/>
        <v>Strong Long-Term Growth</v>
      </c>
    </row>
    <row r="1576" spans="1:17" x14ac:dyDescent="0.35">
      <c r="A1576" s="2" t="s">
        <v>1587</v>
      </c>
      <c r="B1576" s="2">
        <v>5</v>
      </c>
      <c r="C1576" s="2">
        <v>325535805.60000002</v>
      </c>
      <c r="D1576" s="2">
        <v>1</v>
      </c>
      <c r="E1576" s="2">
        <v>112205997.7</v>
      </c>
      <c r="F1576" s="2">
        <v>-182716778.59999999</v>
      </c>
      <c r="G1576" s="2">
        <v>1</v>
      </c>
      <c r="H1576" s="2">
        <v>4</v>
      </c>
      <c r="I1576" s="2">
        <v>5</v>
      </c>
      <c r="J1576" s="2">
        <v>2.7</v>
      </c>
      <c r="K1576" s="2" t="s">
        <v>1268</v>
      </c>
      <c r="L1576" s="2" t="str">
        <f t="shared" si="144"/>
        <v>Profitable</v>
      </c>
      <c r="M1576" s="2" t="str">
        <f t="shared" si="145"/>
        <v>Stable Earnings</v>
      </c>
      <c r="N1576" s="2" t="str">
        <f t="shared" si="146"/>
        <v>Low Quality</v>
      </c>
      <c r="O1576" s="4" t="str">
        <f t="shared" si="147"/>
        <v>Accounting Risk</v>
      </c>
      <c r="P1576" s="4" t="str">
        <f t="shared" si="148"/>
        <v>Low Quality</v>
      </c>
      <c r="Q1576" s="4" t="str">
        <f t="shared" si="149"/>
        <v>Strong Long-Term Growth</v>
      </c>
    </row>
    <row r="1577" spans="1:17" x14ac:dyDescent="0.35">
      <c r="A1577" s="2" t="s">
        <v>1588</v>
      </c>
      <c r="B1577" s="2">
        <v>5</v>
      </c>
      <c r="C1577" s="2">
        <v>117533369.40000001</v>
      </c>
      <c r="D1577" s="2">
        <v>1</v>
      </c>
      <c r="E1577" s="2">
        <v>116367606.09999999</v>
      </c>
      <c r="F1577" s="2">
        <v>-202249135.30000001</v>
      </c>
      <c r="G1577" s="2">
        <v>1</v>
      </c>
      <c r="H1577" s="2">
        <v>4</v>
      </c>
      <c r="I1577" s="2">
        <v>5</v>
      </c>
      <c r="J1577" s="2">
        <v>2.7</v>
      </c>
      <c r="K1577" s="2" t="s">
        <v>1268</v>
      </c>
      <c r="L1577" s="2" t="str">
        <f t="shared" si="144"/>
        <v>Profitable</v>
      </c>
      <c r="M1577" s="2" t="str">
        <f t="shared" si="145"/>
        <v>Stable Earnings</v>
      </c>
      <c r="N1577" s="2" t="str">
        <f t="shared" si="146"/>
        <v>Low Quality</v>
      </c>
      <c r="O1577" s="4" t="str">
        <f t="shared" si="147"/>
        <v>Accounting Risk</v>
      </c>
      <c r="P1577" s="4" t="str">
        <f t="shared" si="148"/>
        <v>Low Quality</v>
      </c>
      <c r="Q1577" s="4" t="str">
        <f t="shared" si="149"/>
        <v>Strong Long-Term Growth</v>
      </c>
    </row>
    <row r="1578" spans="1:17" x14ac:dyDescent="0.35">
      <c r="A1578" s="2" t="s">
        <v>1589</v>
      </c>
      <c r="B1578" s="2">
        <v>5</v>
      </c>
      <c r="C1578" s="2">
        <v>194897579.69999999</v>
      </c>
      <c r="D1578" s="2">
        <v>1</v>
      </c>
      <c r="E1578" s="2">
        <v>135181465.90000001</v>
      </c>
      <c r="F1578" s="2">
        <v>-254000664.40000001</v>
      </c>
      <c r="G1578" s="2">
        <v>1</v>
      </c>
      <c r="H1578" s="2">
        <v>4</v>
      </c>
      <c r="I1578" s="2">
        <v>5</v>
      </c>
      <c r="J1578" s="2">
        <v>2.7</v>
      </c>
      <c r="K1578" s="2" t="s">
        <v>1268</v>
      </c>
      <c r="L1578" s="2" t="str">
        <f t="shared" si="144"/>
        <v>Profitable</v>
      </c>
      <c r="M1578" s="2" t="str">
        <f t="shared" si="145"/>
        <v>Stable Earnings</v>
      </c>
      <c r="N1578" s="2" t="str">
        <f t="shared" si="146"/>
        <v>Low Quality</v>
      </c>
      <c r="O1578" s="4" t="str">
        <f t="shared" si="147"/>
        <v>Accounting Risk</v>
      </c>
      <c r="P1578" s="4" t="str">
        <f t="shared" si="148"/>
        <v>Low Quality</v>
      </c>
      <c r="Q1578" s="4" t="str">
        <f t="shared" si="149"/>
        <v>Strong Long-Term Growth</v>
      </c>
    </row>
    <row r="1579" spans="1:17" x14ac:dyDescent="0.35">
      <c r="A1579" s="2" t="s">
        <v>1590</v>
      </c>
      <c r="B1579" s="2">
        <v>5</v>
      </c>
      <c r="C1579" s="2">
        <v>624285190.20000005</v>
      </c>
      <c r="D1579" s="2">
        <v>1</v>
      </c>
      <c r="E1579" s="2">
        <v>155872441</v>
      </c>
      <c r="F1579" s="2">
        <v>-216201822.30000001</v>
      </c>
      <c r="G1579" s="2">
        <v>1</v>
      </c>
      <c r="H1579" s="2">
        <v>4</v>
      </c>
      <c r="I1579" s="2">
        <v>5</v>
      </c>
      <c r="J1579" s="2">
        <v>2.7</v>
      </c>
      <c r="K1579" s="2" t="s">
        <v>1268</v>
      </c>
      <c r="L1579" s="2" t="str">
        <f t="shared" si="144"/>
        <v>Profitable</v>
      </c>
      <c r="M1579" s="2" t="str">
        <f t="shared" si="145"/>
        <v>High Volatility</v>
      </c>
      <c r="N1579" s="2" t="str">
        <f t="shared" si="146"/>
        <v>Low Quality</v>
      </c>
      <c r="O1579" s="4" t="str">
        <f t="shared" si="147"/>
        <v>Accounting Risk</v>
      </c>
      <c r="P1579" s="4" t="str">
        <f t="shared" si="148"/>
        <v>Low Quality</v>
      </c>
      <c r="Q1579" s="4" t="str">
        <f t="shared" si="149"/>
        <v>Strong Long-Term Growth</v>
      </c>
    </row>
    <row r="1580" spans="1:17" x14ac:dyDescent="0.35">
      <c r="A1580" s="2" t="s">
        <v>1591</v>
      </c>
      <c r="B1580" s="2">
        <v>5</v>
      </c>
      <c r="C1580" s="2">
        <v>554806462.89999998</v>
      </c>
      <c r="D1580" s="2">
        <v>1</v>
      </c>
      <c r="E1580" s="2">
        <v>276785190.19999999</v>
      </c>
      <c r="F1580" s="2">
        <v>-316190805.69999999</v>
      </c>
      <c r="G1580" s="2">
        <v>1</v>
      </c>
      <c r="H1580" s="2">
        <v>4</v>
      </c>
      <c r="I1580" s="2">
        <v>5</v>
      </c>
      <c r="J1580" s="2">
        <v>2.7</v>
      </c>
      <c r="K1580" s="2" t="s">
        <v>1268</v>
      </c>
      <c r="L1580" s="2" t="str">
        <f t="shared" si="144"/>
        <v>Profitable</v>
      </c>
      <c r="M1580" s="2" t="str">
        <f t="shared" si="145"/>
        <v>High Volatility</v>
      </c>
      <c r="N1580" s="2" t="str">
        <f t="shared" si="146"/>
        <v>Low Quality</v>
      </c>
      <c r="O1580" s="4" t="str">
        <f t="shared" si="147"/>
        <v>Accounting Risk</v>
      </c>
      <c r="P1580" s="4" t="str">
        <f t="shared" si="148"/>
        <v>Low Quality</v>
      </c>
      <c r="Q1580" s="4" t="str">
        <f t="shared" si="149"/>
        <v>Strong Long-Term Growth</v>
      </c>
    </row>
    <row r="1581" spans="1:17" x14ac:dyDescent="0.35">
      <c r="A1581" s="2" t="s">
        <v>1592</v>
      </c>
      <c r="B1581" s="2">
        <v>5</v>
      </c>
      <c r="C1581" s="2">
        <v>469423616.69999999</v>
      </c>
      <c r="D1581" s="2">
        <v>1</v>
      </c>
      <c r="E1581" s="2">
        <v>257172839.90000001</v>
      </c>
      <c r="F1581" s="2">
        <v>-261705039.80000001</v>
      </c>
      <c r="G1581" s="2">
        <v>1</v>
      </c>
      <c r="H1581" s="2">
        <v>4</v>
      </c>
      <c r="I1581" s="2">
        <v>5</v>
      </c>
      <c r="J1581" s="2">
        <v>2.7</v>
      </c>
      <c r="K1581" s="2" t="s">
        <v>1268</v>
      </c>
      <c r="L1581" s="2" t="str">
        <f t="shared" si="144"/>
        <v>Profitable</v>
      </c>
      <c r="M1581" s="2" t="str">
        <f t="shared" si="145"/>
        <v>Stable Earnings</v>
      </c>
      <c r="N1581" s="2" t="str">
        <f t="shared" si="146"/>
        <v>Low Quality</v>
      </c>
      <c r="O1581" s="4" t="str">
        <f t="shared" si="147"/>
        <v>Accounting Risk</v>
      </c>
      <c r="P1581" s="4" t="str">
        <f t="shared" si="148"/>
        <v>Low Quality</v>
      </c>
      <c r="Q1581" s="4" t="str">
        <f t="shared" si="149"/>
        <v>Strong Long-Term Growth</v>
      </c>
    </row>
    <row r="1582" spans="1:17" x14ac:dyDescent="0.35">
      <c r="A1582" s="2" t="s">
        <v>1593</v>
      </c>
      <c r="B1582" s="2">
        <v>5</v>
      </c>
      <c r="C1582" s="2">
        <v>660157133.70000005</v>
      </c>
      <c r="D1582" s="2">
        <v>1</v>
      </c>
      <c r="E1582" s="2">
        <v>263926905.09999999</v>
      </c>
      <c r="F1582" s="2">
        <v>-268761876.80000001</v>
      </c>
      <c r="G1582" s="2">
        <v>1</v>
      </c>
      <c r="H1582" s="2">
        <v>4</v>
      </c>
      <c r="I1582" s="2">
        <v>5</v>
      </c>
      <c r="J1582" s="2">
        <v>2.7</v>
      </c>
      <c r="K1582" s="2" t="s">
        <v>1268</v>
      </c>
      <c r="L1582" s="2" t="str">
        <f t="shared" si="144"/>
        <v>Profitable</v>
      </c>
      <c r="M1582" s="2" t="str">
        <f t="shared" si="145"/>
        <v>High Volatility</v>
      </c>
      <c r="N1582" s="2" t="str">
        <f t="shared" si="146"/>
        <v>Low Quality</v>
      </c>
      <c r="O1582" s="4" t="str">
        <f t="shared" si="147"/>
        <v>Accounting Risk</v>
      </c>
      <c r="P1582" s="4" t="str">
        <f t="shared" si="148"/>
        <v>Low Quality</v>
      </c>
      <c r="Q1582" s="4" t="str">
        <f t="shared" si="149"/>
        <v>Strong Long-Term Growth</v>
      </c>
    </row>
    <row r="1583" spans="1:17" x14ac:dyDescent="0.35">
      <c r="A1583" s="2" t="s">
        <v>1594</v>
      </c>
      <c r="B1583" s="2">
        <v>5</v>
      </c>
      <c r="C1583" s="2">
        <v>537247671.89999998</v>
      </c>
      <c r="D1583" s="2">
        <v>1</v>
      </c>
      <c r="E1583" s="2">
        <v>120637134.09999999</v>
      </c>
      <c r="F1583" s="2">
        <v>-269219685.69999999</v>
      </c>
      <c r="G1583" s="2">
        <v>1</v>
      </c>
      <c r="H1583" s="2">
        <v>4</v>
      </c>
      <c r="I1583" s="2">
        <v>5</v>
      </c>
      <c r="J1583" s="2">
        <v>2.7</v>
      </c>
      <c r="K1583" s="2" t="s">
        <v>1268</v>
      </c>
      <c r="L1583" s="2" t="str">
        <f t="shared" si="144"/>
        <v>Profitable</v>
      </c>
      <c r="M1583" s="2" t="str">
        <f t="shared" si="145"/>
        <v>High Volatility</v>
      </c>
      <c r="N1583" s="2" t="str">
        <f t="shared" si="146"/>
        <v>Low Quality</v>
      </c>
      <c r="O1583" s="4" t="str">
        <f t="shared" si="147"/>
        <v>Accounting Risk</v>
      </c>
      <c r="P1583" s="4" t="str">
        <f t="shared" si="148"/>
        <v>Low Quality</v>
      </c>
      <c r="Q1583" s="4" t="str">
        <f t="shared" si="149"/>
        <v>Strong Long-Term Growth</v>
      </c>
    </row>
    <row r="1584" spans="1:17" x14ac:dyDescent="0.35">
      <c r="A1584" s="2" t="s">
        <v>1595</v>
      </c>
      <c r="B1584" s="2">
        <v>5</v>
      </c>
      <c r="C1584" s="2">
        <v>741556251.10000002</v>
      </c>
      <c r="D1584" s="2">
        <v>1</v>
      </c>
      <c r="E1584" s="2">
        <v>281451619.39999998</v>
      </c>
      <c r="F1584" s="2">
        <v>-391881574.30000001</v>
      </c>
      <c r="G1584" s="2">
        <v>1</v>
      </c>
      <c r="H1584" s="2">
        <v>4</v>
      </c>
      <c r="I1584" s="2">
        <v>5</v>
      </c>
      <c r="J1584" s="2">
        <v>2.7</v>
      </c>
      <c r="K1584" s="2" t="s">
        <v>1268</v>
      </c>
      <c r="L1584" s="2" t="str">
        <f t="shared" si="144"/>
        <v>Profitable</v>
      </c>
      <c r="M1584" s="2" t="str">
        <f t="shared" si="145"/>
        <v>High Volatility</v>
      </c>
      <c r="N1584" s="2" t="str">
        <f t="shared" si="146"/>
        <v>Low Quality</v>
      </c>
      <c r="O1584" s="4" t="str">
        <f t="shared" si="147"/>
        <v>Accounting Risk</v>
      </c>
      <c r="P1584" s="4" t="str">
        <f t="shared" si="148"/>
        <v>Low Quality</v>
      </c>
      <c r="Q1584" s="4" t="str">
        <f t="shared" si="149"/>
        <v>Strong Long-Term Growth</v>
      </c>
    </row>
    <row r="1585" spans="1:17" x14ac:dyDescent="0.35">
      <c r="A1585" s="2" t="s">
        <v>1596</v>
      </c>
      <c r="B1585" s="2">
        <v>5</v>
      </c>
      <c r="C1585" s="2">
        <v>574768440.29999995</v>
      </c>
      <c r="D1585" s="2">
        <v>1</v>
      </c>
      <c r="E1585" s="2">
        <v>267628258.40000001</v>
      </c>
      <c r="F1585" s="2">
        <v>-339642175.10000002</v>
      </c>
      <c r="G1585" s="2">
        <v>1</v>
      </c>
      <c r="H1585" s="2">
        <v>4</v>
      </c>
      <c r="I1585" s="2">
        <v>5</v>
      </c>
      <c r="J1585" s="2">
        <v>2.7</v>
      </c>
      <c r="K1585" s="2" t="s">
        <v>1268</v>
      </c>
      <c r="L1585" s="2" t="str">
        <f t="shared" si="144"/>
        <v>Profitable</v>
      </c>
      <c r="M1585" s="2" t="str">
        <f t="shared" si="145"/>
        <v>High Volatility</v>
      </c>
      <c r="N1585" s="2" t="str">
        <f t="shared" si="146"/>
        <v>Low Quality</v>
      </c>
      <c r="O1585" s="4" t="str">
        <f t="shared" si="147"/>
        <v>Accounting Risk</v>
      </c>
      <c r="P1585" s="4" t="str">
        <f t="shared" si="148"/>
        <v>Low Quality</v>
      </c>
      <c r="Q1585" s="4" t="str">
        <f t="shared" si="149"/>
        <v>Strong Long-Term Growth</v>
      </c>
    </row>
    <row r="1586" spans="1:17" x14ac:dyDescent="0.35">
      <c r="A1586" s="2" t="s">
        <v>1597</v>
      </c>
      <c r="B1586" s="2">
        <v>5</v>
      </c>
      <c r="C1586" s="2">
        <v>585629189.5</v>
      </c>
      <c r="D1586" s="2">
        <v>1</v>
      </c>
      <c r="E1586" s="2">
        <v>267882051.40000001</v>
      </c>
      <c r="F1586" s="2">
        <v>-347046935.69999999</v>
      </c>
      <c r="G1586" s="2">
        <v>1</v>
      </c>
      <c r="H1586" s="2">
        <v>4</v>
      </c>
      <c r="I1586" s="2">
        <v>5</v>
      </c>
      <c r="J1586" s="2">
        <v>2.7</v>
      </c>
      <c r="K1586" s="2" t="s">
        <v>1268</v>
      </c>
      <c r="L1586" s="2" t="str">
        <f t="shared" si="144"/>
        <v>Profitable</v>
      </c>
      <c r="M1586" s="2" t="str">
        <f t="shared" si="145"/>
        <v>High Volatility</v>
      </c>
      <c r="N1586" s="2" t="str">
        <f t="shared" si="146"/>
        <v>Low Quality</v>
      </c>
      <c r="O1586" s="4" t="str">
        <f t="shared" si="147"/>
        <v>Accounting Risk</v>
      </c>
      <c r="P1586" s="4" t="str">
        <f t="shared" si="148"/>
        <v>Low Quality</v>
      </c>
      <c r="Q1586" s="4" t="str">
        <f t="shared" si="149"/>
        <v>Strong Long-Term Growth</v>
      </c>
    </row>
    <row r="1587" spans="1:17" x14ac:dyDescent="0.35">
      <c r="A1587" s="2" t="s">
        <v>1598</v>
      </c>
      <c r="B1587" s="2">
        <v>5</v>
      </c>
      <c r="C1587" s="2">
        <v>622203020</v>
      </c>
      <c r="D1587" s="2">
        <v>1</v>
      </c>
      <c r="E1587" s="2">
        <v>323015453.30000001</v>
      </c>
      <c r="F1587" s="2">
        <v>-697877678.60000002</v>
      </c>
      <c r="G1587" s="2">
        <v>1</v>
      </c>
      <c r="H1587" s="2">
        <v>4</v>
      </c>
      <c r="I1587" s="2">
        <v>5</v>
      </c>
      <c r="J1587" s="2">
        <v>2.7</v>
      </c>
      <c r="K1587" s="2" t="s">
        <v>1268</v>
      </c>
      <c r="L1587" s="2" t="str">
        <f t="shared" si="144"/>
        <v>Profitable</v>
      </c>
      <c r="M1587" s="2" t="str">
        <f t="shared" si="145"/>
        <v>High Volatility</v>
      </c>
      <c r="N1587" s="2" t="str">
        <f t="shared" si="146"/>
        <v>Low Quality</v>
      </c>
      <c r="O1587" s="4" t="str">
        <f t="shared" si="147"/>
        <v>Accounting Risk</v>
      </c>
      <c r="P1587" s="4" t="str">
        <f t="shared" si="148"/>
        <v>Low Quality</v>
      </c>
      <c r="Q1587" s="4" t="str">
        <f t="shared" si="149"/>
        <v>Strong Long-Term Growth</v>
      </c>
    </row>
    <row r="1588" spans="1:17" x14ac:dyDescent="0.35">
      <c r="A1588" s="2" t="s">
        <v>1599</v>
      </c>
      <c r="B1588" s="2">
        <v>5</v>
      </c>
      <c r="C1588" s="2">
        <v>298334798</v>
      </c>
      <c r="D1588" s="2">
        <v>1</v>
      </c>
      <c r="E1588" s="2">
        <v>226547586.80000001</v>
      </c>
      <c r="F1588" s="2">
        <v>-451899880</v>
      </c>
      <c r="G1588" s="2">
        <v>1</v>
      </c>
      <c r="H1588" s="2">
        <v>4</v>
      </c>
      <c r="I1588" s="2">
        <v>5</v>
      </c>
      <c r="J1588" s="2">
        <v>2.7</v>
      </c>
      <c r="K1588" s="2" t="s">
        <v>1268</v>
      </c>
      <c r="L1588" s="2" t="str">
        <f t="shared" si="144"/>
        <v>Profitable</v>
      </c>
      <c r="M1588" s="2" t="str">
        <f t="shared" si="145"/>
        <v>Stable Earnings</v>
      </c>
      <c r="N1588" s="2" t="str">
        <f t="shared" si="146"/>
        <v>Low Quality</v>
      </c>
      <c r="O1588" s="4" t="str">
        <f t="shared" si="147"/>
        <v>Accounting Risk</v>
      </c>
      <c r="P1588" s="4" t="str">
        <f t="shared" si="148"/>
        <v>Low Quality</v>
      </c>
      <c r="Q1588" s="4" t="str">
        <f t="shared" si="149"/>
        <v>Strong Long-Term Growth</v>
      </c>
    </row>
    <row r="1589" spans="1:17" x14ac:dyDescent="0.35">
      <c r="A1589" s="2" t="s">
        <v>1600</v>
      </c>
      <c r="B1589" s="2">
        <v>5</v>
      </c>
      <c r="C1589" s="2">
        <v>2028478078</v>
      </c>
      <c r="D1589" s="2">
        <v>1</v>
      </c>
      <c r="E1589" s="2">
        <v>321215275.80000001</v>
      </c>
      <c r="F1589" s="2">
        <v>-576262028</v>
      </c>
      <c r="G1589" s="2">
        <v>1</v>
      </c>
      <c r="H1589" s="2">
        <v>4</v>
      </c>
      <c r="I1589" s="2">
        <v>5</v>
      </c>
      <c r="J1589" s="2">
        <v>2.7</v>
      </c>
      <c r="K1589" s="2" t="s">
        <v>1268</v>
      </c>
      <c r="L1589" s="2" t="str">
        <f t="shared" si="144"/>
        <v>Profitable</v>
      </c>
      <c r="M1589" s="2" t="str">
        <f t="shared" si="145"/>
        <v>High Volatility</v>
      </c>
      <c r="N1589" s="2" t="str">
        <f t="shared" si="146"/>
        <v>Low Quality</v>
      </c>
      <c r="O1589" s="4" t="str">
        <f t="shared" si="147"/>
        <v>Accounting Risk</v>
      </c>
      <c r="P1589" s="4" t="str">
        <f t="shared" si="148"/>
        <v>Low Quality</v>
      </c>
      <c r="Q1589" s="4" t="str">
        <f t="shared" si="149"/>
        <v>Strong Long-Term Growth</v>
      </c>
    </row>
    <row r="1590" spans="1:17" x14ac:dyDescent="0.35">
      <c r="A1590" s="2" t="s">
        <v>1601</v>
      </c>
      <c r="B1590" s="2">
        <v>5</v>
      </c>
      <c r="C1590" s="2">
        <v>343325531.39999998</v>
      </c>
      <c r="D1590" s="2">
        <v>1</v>
      </c>
      <c r="E1590" s="2">
        <v>274042714.80000001</v>
      </c>
      <c r="F1590" s="2">
        <v>-501645577.39999998</v>
      </c>
      <c r="G1590" s="2">
        <v>1</v>
      </c>
      <c r="H1590" s="2">
        <v>4</v>
      </c>
      <c r="I1590" s="2">
        <v>5</v>
      </c>
      <c r="J1590" s="2">
        <v>2.7</v>
      </c>
      <c r="K1590" s="2" t="s">
        <v>1268</v>
      </c>
      <c r="L1590" s="2" t="str">
        <f t="shared" si="144"/>
        <v>Profitable</v>
      </c>
      <c r="M1590" s="2" t="str">
        <f t="shared" si="145"/>
        <v>Stable Earnings</v>
      </c>
      <c r="N1590" s="2" t="str">
        <f t="shared" si="146"/>
        <v>Low Quality</v>
      </c>
      <c r="O1590" s="4" t="str">
        <f t="shared" si="147"/>
        <v>Accounting Risk</v>
      </c>
      <c r="P1590" s="4" t="str">
        <f t="shared" si="148"/>
        <v>Low Quality</v>
      </c>
      <c r="Q1590" s="4" t="str">
        <f t="shared" si="149"/>
        <v>Strong Long-Term Growth</v>
      </c>
    </row>
    <row r="1591" spans="1:17" x14ac:dyDescent="0.35">
      <c r="A1591" s="2" t="s">
        <v>1602</v>
      </c>
      <c r="B1591" s="2">
        <v>5</v>
      </c>
      <c r="C1591" s="2">
        <v>36079001.020000003</v>
      </c>
      <c r="D1591" s="2">
        <v>1</v>
      </c>
      <c r="E1591" s="2">
        <v>45253861.799999997</v>
      </c>
      <c r="F1591" s="2">
        <v>-111114706</v>
      </c>
      <c r="G1591" s="2">
        <v>2</v>
      </c>
      <c r="H1591" s="2">
        <v>2</v>
      </c>
      <c r="I1591" s="2">
        <v>5</v>
      </c>
      <c r="J1591" s="2">
        <v>2.6</v>
      </c>
      <c r="K1591" s="2" t="s">
        <v>1268</v>
      </c>
      <c r="L1591" s="2" t="str">
        <f t="shared" si="144"/>
        <v>Profitable</v>
      </c>
      <c r="M1591" s="2" t="str">
        <f t="shared" si="145"/>
        <v>Stable Earnings</v>
      </c>
      <c r="N1591" s="2" t="str">
        <f t="shared" si="146"/>
        <v>Low Quality</v>
      </c>
      <c r="O1591" s="4" t="str">
        <f t="shared" si="147"/>
        <v>Accounting Risk</v>
      </c>
      <c r="P1591" s="4" t="str">
        <f t="shared" si="148"/>
        <v>Low Quality</v>
      </c>
      <c r="Q1591" s="4" t="str">
        <f t="shared" si="149"/>
        <v>Strong Long-Term Growth</v>
      </c>
    </row>
    <row r="1592" spans="1:17" x14ac:dyDescent="0.35">
      <c r="A1592" s="2" t="s">
        <v>1603</v>
      </c>
      <c r="B1592" s="2">
        <v>5</v>
      </c>
      <c r="C1592" s="2">
        <v>41525705.219999999</v>
      </c>
      <c r="D1592" s="2">
        <v>0.8</v>
      </c>
      <c r="E1592" s="2">
        <v>35908220.490000002</v>
      </c>
      <c r="F1592" s="2">
        <v>-84195832.900000006</v>
      </c>
      <c r="G1592" s="2">
        <v>2</v>
      </c>
      <c r="H1592" s="2">
        <v>2</v>
      </c>
      <c r="I1592" s="2">
        <v>5</v>
      </c>
      <c r="J1592" s="2">
        <v>2.6</v>
      </c>
      <c r="K1592" s="2" t="s">
        <v>1268</v>
      </c>
      <c r="L1592" s="2" t="str">
        <f t="shared" si="144"/>
        <v>Profitable</v>
      </c>
      <c r="M1592" s="2" t="str">
        <f t="shared" si="145"/>
        <v>Stable Earnings</v>
      </c>
      <c r="N1592" s="2" t="str">
        <f t="shared" si="146"/>
        <v>Low Quality</v>
      </c>
      <c r="O1592" s="4" t="str">
        <f t="shared" si="147"/>
        <v>Accounting Risk</v>
      </c>
      <c r="P1592" s="4" t="str">
        <f t="shared" si="148"/>
        <v>Low Quality</v>
      </c>
      <c r="Q1592" s="4" t="str">
        <f t="shared" si="149"/>
        <v>Strong Long-Term Growth</v>
      </c>
    </row>
    <row r="1593" spans="1:17" x14ac:dyDescent="0.35">
      <c r="A1593" s="2" t="s">
        <v>1604</v>
      </c>
      <c r="B1593" s="2">
        <v>5</v>
      </c>
      <c r="C1593" s="2">
        <v>31717977.34</v>
      </c>
      <c r="D1593" s="2">
        <v>0.8</v>
      </c>
      <c r="E1593" s="2">
        <v>40502059.380000003</v>
      </c>
      <c r="F1593" s="2">
        <v>-81059420.900000006</v>
      </c>
      <c r="G1593" s="2">
        <v>2</v>
      </c>
      <c r="H1593" s="2">
        <v>2</v>
      </c>
      <c r="I1593" s="2">
        <v>5</v>
      </c>
      <c r="J1593" s="2">
        <v>2.6</v>
      </c>
      <c r="K1593" s="2" t="s">
        <v>1268</v>
      </c>
      <c r="L1593" s="2" t="str">
        <f t="shared" si="144"/>
        <v>Profitable</v>
      </c>
      <c r="M1593" s="2" t="str">
        <f t="shared" si="145"/>
        <v>Stable Earnings</v>
      </c>
      <c r="N1593" s="2" t="str">
        <f t="shared" si="146"/>
        <v>Low Quality</v>
      </c>
      <c r="O1593" s="4" t="str">
        <f t="shared" si="147"/>
        <v>Accounting Risk</v>
      </c>
      <c r="P1593" s="4" t="str">
        <f t="shared" si="148"/>
        <v>Low Quality</v>
      </c>
      <c r="Q1593" s="4" t="str">
        <f t="shared" si="149"/>
        <v>Strong Long-Term Growth</v>
      </c>
    </row>
    <row r="1594" spans="1:17" x14ac:dyDescent="0.35">
      <c r="A1594" s="2" t="s">
        <v>1605</v>
      </c>
      <c r="B1594" s="2">
        <v>5</v>
      </c>
      <c r="C1594" s="2">
        <v>133611888.7</v>
      </c>
      <c r="D1594" s="2">
        <v>1</v>
      </c>
      <c r="E1594" s="2">
        <v>35172821.560000002</v>
      </c>
      <c r="F1594" s="2">
        <v>-81345445.299999997</v>
      </c>
      <c r="G1594" s="2">
        <v>2</v>
      </c>
      <c r="H1594" s="2">
        <v>2</v>
      </c>
      <c r="I1594" s="2">
        <v>5</v>
      </c>
      <c r="J1594" s="2">
        <v>2.6</v>
      </c>
      <c r="K1594" s="2" t="s">
        <v>1268</v>
      </c>
      <c r="L1594" s="2" t="str">
        <f t="shared" si="144"/>
        <v>Profitable</v>
      </c>
      <c r="M1594" s="2" t="str">
        <f t="shared" si="145"/>
        <v>Stable Earnings</v>
      </c>
      <c r="N1594" s="2" t="str">
        <f t="shared" si="146"/>
        <v>Low Quality</v>
      </c>
      <c r="O1594" s="4" t="str">
        <f t="shared" si="147"/>
        <v>Accounting Risk</v>
      </c>
      <c r="P1594" s="4" t="str">
        <f t="shared" si="148"/>
        <v>Low Quality</v>
      </c>
      <c r="Q1594" s="4" t="str">
        <f t="shared" si="149"/>
        <v>Strong Long-Term Growth</v>
      </c>
    </row>
    <row r="1595" spans="1:17" x14ac:dyDescent="0.35">
      <c r="A1595" s="2" t="s">
        <v>1606</v>
      </c>
      <c r="B1595" s="2">
        <v>5</v>
      </c>
      <c r="C1595" s="2">
        <v>3956504.88</v>
      </c>
      <c r="D1595" s="2">
        <v>0.8</v>
      </c>
      <c r="E1595" s="2">
        <v>7052002.227</v>
      </c>
      <c r="F1595" s="2">
        <v>-6627646.2999999998</v>
      </c>
      <c r="G1595" s="2">
        <v>3</v>
      </c>
      <c r="H1595" s="2">
        <v>1</v>
      </c>
      <c r="I1595" s="2">
        <v>4</v>
      </c>
      <c r="J1595" s="2">
        <v>2.6</v>
      </c>
      <c r="K1595" s="2" t="s">
        <v>1268</v>
      </c>
      <c r="L1595" s="2" t="str">
        <f t="shared" si="144"/>
        <v>Profitable</v>
      </c>
      <c r="M1595" s="2" t="str">
        <f t="shared" si="145"/>
        <v>Stable Earnings</v>
      </c>
      <c r="N1595" s="2" t="str">
        <f t="shared" si="146"/>
        <v>Low Quality</v>
      </c>
      <c r="O1595" s="4" t="str">
        <f t="shared" si="147"/>
        <v>Accounting Risk</v>
      </c>
      <c r="P1595" s="4" t="str">
        <f t="shared" si="148"/>
        <v>Low Quality</v>
      </c>
      <c r="Q1595" s="4" t="str">
        <f t="shared" si="149"/>
        <v>Strong Long-Term Growth</v>
      </c>
    </row>
    <row r="1596" spans="1:17" x14ac:dyDescent="0.35">
      <c r="A1596" s="2" t="s">
        <v>1607</v>
      </c>
      <c r="B1596" s="2">
        <v>5</v>
      </c>
      <c r="C1596" s="2">
        <v>-1263179.54</v>
      </c>
      <c r="D1596" s="2">
        <v>0.6</v>
      </c>
      <c r="E1596" s="2">
        <v>2446373.8679999998</v>
      </c>
      <c r="F1596" s="2">
        <v>-5289039.2</v>
      </c>
      <c r="G1596" s="2">
        <v>3</v>
      </c>
      <c r="H1596" s="2">
        <v>1</v>
      </c>
      <c r="I1596" s="2">
        <v>4</v>
      </c>
      <c r="J1596" s="2">
        <v>2.6</v>
      </c>
      <c r="K1596" s="2" t="s">
        <v>1268</v>
      </c>
      <c r="L1596" s="2" t="str">
        <f t="shared" si="144"/>
        <v>Loss Making</v>
      </c>
      <c r="M1596" s="2" t="str">
        <f t="shared" si="145"/>
        <v>Stable Earnings</v>
      </c>
      <c r="N1596" s="2" t="str">
        <f t="shared" si="146"/>
        <v>Low Quality</v>
      </c>
      <c r="O1596" s="4" t="str">
        <f t="shared" si="147"/>
        <v>Accounting Risk</v>
      </c>
      <c r="P1596" s="4" t="str">
        <f t="shared" si="148"/>
        <v>Low Quality</v>
      </c>
      <c r="Q1596" s="4" t="str">
        <f t="shared" si="149"/>
        <v>Strong Long-Term Growth</v>
      </c>
    </row>
    <row r="1597" spans="1:17" x14ac:dyDescent="0.35">
      <c r="A1597" s="2" t="s">
        <v>1608</v>
      </c>
      <c r="B1597" s="2">
        <v>5</v>
      </c>
      <c r="C1597" s="2">
        <v>3108125.08</v>
      </c>
      <c r="D1597" s="2">
        <v>0.6</v>
      </c>
      <c r="E1597" s="2">
        <v>10044175.76</v>
      </c>
      <c r="F1597" s="2">
        <v>-15965000.199999999</v>
      </c>
      <c r="G1597" s="2">
        <v>3</v>
      </c>
      <c r="H1597" s="2">
        <v>1</v>
      </c>
      <c r="I1597" s="2">
        <v>4</v>
      </c>
      <c r="J1597" s="2">
        <v>2.6</v>
      </c>
      <c r="K1597" s="2" t="s">
        <v>1268</v>
      </c>
      <c r="L1597" s="2" t="str">
        <f t="shared" si="144"/>
        <v>Profitable</v>
      </c>
      <c r="M1597" s="2" t="str">
        <f t="shared" si="145"/>
        <v>Stable Earnings</v>
      </c>
      <c r="N1597" s="2" t="str">
        <f t="shared" si="146"/>
        <v>Low Quality</v>
      </c>
      <c r="O1597" s="4" t="str">
        <f t="shared" si="147"/>
        <v>Accounting Risk</v>
      </c>
      <c r="P1597" s="4" t="str">
        <f t="shared" si="148"/>
        <v>Low Quality</v>
      </c>
      <c r="Q1597" s="4" t="str">
        <f t="shared" si="149"/>
        <v>Strong Long-Term Growth</v>
      </c>
    </row>
    <row r="1598" spans="1:17" x14ac:dyDescent="0.35">
      <c r="A1598" s="2" t="s">
        <v>1609</v>
      </c>
      <c r="B1598" s="2">
        <v>5</v>
      </c>
      <c r="C1598" s="2">
        <v>2456191.7000000002</v>
      </c>
      <c r="D1598" s="2">
        <v>0.6</v>
      </c>
      <c r="E1598" s="2">
        <v>13765747.52</v>
      </c>
      <c r="F1598" s="2">
        <v>-15366156.4</v>
      </c>
      <c r="G1598" s="2">
        <v>3</v>
      </c>
      <c r="H1598" s="2">
        <v>1</v>
      </c>
      <c r="I1598" s="2">
        <v>4</v>
      </c>
      <c r="J1598" s="2">
        <v>2.6</v>
      </c>
      <c r="K1598" s="2" t="s">
        <v>1268</v>
      </c>
      <c r="L1598" s="2" t="str">
        <f t="shared" si="144"/>
        <v>Profitable</v>
      </c>
      <c r="M1598" s="2" t="str">
        <f t="shared" si="145"/>
        <v>Stable Earnings</v>
      </c>
      <c r="N1598" s="2" t="str">
        <f t="shared" si="146"/>
        <v>Low Quality</v>
      </c>
      <c r="O1598" s="4" t="str">
        <f t="shared" si="147"/>
        <v>Accounting Risk</v>
      </c>
      <c r="P1598" s="4" t="str">
        <f t="shared" si="148"/>
        <v>Low Quality</v>
      </c>
      <c r="Q1598" s="4" t="str">
        <f t="shared" si="149"/>
        <v>Strong Long-Term Growth</v>
      </c>
    </row>
    <row r="1599" spans="1:17" x14ac:dyDescent="0.35">
      <c r="A1599" s="2" t="s">
        <v>1610</v>
      </c>
      <c r="B1599" s="2">
        <v>5</v>
      </c>
      <c r="C1599" s="2">
        <v>-3018316.04</v>
      </c>
      <c r="D1599" s="2">
        <v>0.6</v>
      </c>
      <c r="E1599" s="2">
        <v>13563533.470000001</v>
      </c>
      <c r="F1599" s="2">
        <v>-9111750.5999999996</v>
      </c>
      <c r="G1599" s="2">
        <v>3</v>
      </c>
      <c r="H1599" s="2">
        <v>1</v>
      </c>
      <c r="I1599" s="2">
        <v>4</v>
      </c>
      <c r="J1599" s="2">
        <v>2.6</v>
      </c>
      <c r="K1599" s="2" t="s">
        <v>1268</v>
      </c>
      <c r="L1599" s="2" t="str">
        <f t="shared" si="144"/>
        <v>Loss Making</v>
      </c>
      <c r="M1599" s="2" t="str">
        <f t="shared" si="145"/>
        <v>Stable Earnings</v>
      </c>
      <c r="N1599" s="2" t="str">
        <f t="shared" si="146"/>
        <v>Low Quality</v>
      </c>
      <c r="O1599" s="4" t="str">
        <f t="shared" si="147"/>
        <v>Accounting Risk</v>
      </c>
      <c r="P1599" s="4" t="str">
        <f t="shared" si="148"/>
        <v>Low Quality</v>
      </c>
      <c r="Q1599" s="4" t="str">
        <f t="shared" si="149"/>
        <v>Strong Long-Term Growth</v>
      </c>
    </row>
    <row r="1600" spans="1:17" x14ac:dyDescent="0.35">
      <c r="A1600" s="2" t="s">
        <v>1611</v>
      </c>
      <c r="B1600" s="2">
        <v>5</v>
      </c>
      <c r="C1600" s="2">
        <v>5953712.4800000004</v>
      </c>
      <c r="D1600" s="2">
        <v>0.8</v>
      </c>
      <c r="E1600" s="2">
        <v>8230143.3569999998</v>
      </c>
      <c r="F1600" s="2">
        <v>-12391202.1</v>
      </c>
      <c r="G1600" s="2">
        <v>3</v>
      </c>
      <c r="H1600" s="2">
        <v>1</v>
      </c>
      <c r="I1600" s="2">
        <v>4</v>
      </c>
      <c r="J1600" s="2">
        <v>2.6</v>
      </c>
      <c r="K1600" s="2" t="s">
        <v>1268</v>
      </c>
      <c r="L1600" s="2" t="str">
        <f t="shared" si="144"/>
        <v>Profitable</v>
      </c>
      <c r="M1600" s="2" t="str">
        <f t="shared" si="145"/>
        <v>Stable Earnings</v>
      </c>
      <c r="N1600" s="2" t="str">
        <f t="shared" si="146"/>
        <v>Low Quality</v>
      </c>
      <c r="O1600" s="4" t="str">
        <f t="shared" si="147"/>
        <v>Accounting Risk</v>
      </c>
      <c r="P1600" s="4" t="str">
        <f t="shared" si="148"/>
        <v>Low Quality</v>
      </c>
      <c r="Q1600" s="4" t="str">
        <f t="shared" si="149"/>
        <v>Strong Long-Term Growth</v>
      </c>
    </row>
    <row r="1601" spans="1:17" x14ac:dyDescent="0.35">
      <c r="A1601" s="2" t="s">
        <v>1612</v>
      </c>
      <c r="B1601" s="2">
        <v>5</v>
      </c>
      <c r="C1601" s="2">
        <v>1099180.44</v>
      </c>
      <c r="D1601" s="2">
        <v>0.4</v>
      </c>
      <c r="E1601" s="2">
        <v>3198169.7990000001</v>
      </c>
      <c r="F1601" s="2">
        <v>-7788705.7000000002</v>
      </c>
      <c r="G1601" s="2">
        <v>3</v>
      </c>
      <c r="H1601" s="2">
        <v>1</v>
      </c>
      <c r="I1601" s="2">
        <v>4</v>
      </c>
      <c r="J1601" s="2">
        <v>2.6</v>
      </c>
      <c r="K1601" s="2" t="s">
        <v>1268</v>
      </c>
      <c r="L1601" s="2" t="str">
        <f t="shared" si="144"/>
        <v>Profitable</v>
      </c>
      <c r="M1601" s="2" t="str">
        <f t="shared" si="145"/>
        <v>Stable Earnings</v>
      </c>
      <c r="N1601" s="2" t="str">
        <f t="shared" si="146"/>
        <v>Low Quality</v>
      </c>
      <c r="O1601" s="4" t="str">
        <f t="shared" si="147"/>
        <v>Accounting Risk</v>
      </c>
      <c r="P1601" s="4" t="str">
        <f t="shared" si="148"/>
        <v>Low Quality</v>
      </c>
      <c r="Q1601" s="4" t="str">
        <f t="shared" si="149"/>
        <v>Strong Long-Term Growth</v>
      </c>
    </row>
    <row r="1602" spans="1:17" x14ac:dyDescent="0.35">
      <c r="A1602" s="2" t="s">
        <v>1613</v>
      </c>
      <c r="B1602" s="2">
        <v>5</v>
      </c>
      <c r="C1602" s="2">
        <v>2897303.1</v>
      </c>
      <c r="D1602" s="2">
        <v>0.6</v>
      </c>
      <c r="E1602" s="2">
        <v>8402395.9059999995</v>
      </c>
      <c r="F1602" s="2">
        <v>-8536891.6999999993</v>
      </c>
      <c r="G1602" s="2">
        <v>3</v>
      </c>
      <c r="H1602" s="2">
        <v>1</v>
      </c>
      <c r="I1602" s="2">
        <v>4</v>
      </c>
      <c r="J1602" s="2">
        <v>2.6</v>
      </c>
      <c r="K1602" s="2" t="s">
        <v>1268</v>
      </c>
      <c r="L1602" s="2" t="str">
        <f t="shared" ref="L1602:L1665" si="150">IF(C1602&gt;0,"Profitable","Loss Making")</f>
        <v>Profitable</v>
      </c>
      <c r="M1602" s="2" t="str">
        <f t="shared" ref="M1602:M1665" si="151">IF(C1602&gt;500000000,"High Volatility","Stable Earnings")</f>
        <v>Stable Earnings</v>
      </c>
      <c r="N1602" s="2" t="str">
        <f t="shared" ref="N1602:N1665" si="152">IF(G1602&gt;=7,"High Quality",IF(G1602&gt;=4,"Moderate","Low Quality"))</f>
        <v>Low Quality</v>
      </c>
      <c r="O1602" s="4" t="str">
        <f t="shared" ref="O1602:O1665" si="153">IF(AND(F1602&gt;0,D1602&gt;0.6),"Operational Growth","Accounting Risk")</f>
        <v>Accounting Risk</v>
      </c>
      <c r="P1602" s="4" t="str">
        <f t="shared" ref="P1602:P1665" si="154">IF(G1602&gt;=7,"High Quality", IF(G1602&gt;=4,"Moderate","Low Quality"))</f>
        <v>Low Quality</v>
      </c>
      <c r="Q1602" s="4" t="str">
        <f t="shared" ref="Q1602:Q1665" si="155">IF(I1602&gt;=4,"Strong Long-Term Growth",IF(I1602&gt;=2,"Moderate Growth","Weak Growth"))</f>
        <v>Strong Long-Term Growth</v>
      </c>
    </row>
    <row r="1603" spans="1:17" x14ac:dyDescent="0.35">
      <c r="A1603" s="2" t="s">
        <v>1614</v>
      </c>
      <c r="B1603" s="2">
        <v>5</v>
      </c>
      <c r="C1603" s="2">
        <v>4952220.0199999996</v>
      </c>
      <c r="D1603" s="2">
        <v>0.6</v>
      </c>
      <c r="E1603" s="2">
        <v>11825296.029999999</v>
      </c>
      <c r="F1603" s="2">
        <v>-7104160.2999999998</v>
      </c>
      <c r="G1603" s="2">
        <v>3</v>
      </c>
      <c r="H1603" s="2">
        <v>1</v>
      </c>
      <c r="I1603" s="2">
        <v>4</v>
      </c>
      <c r="J1603" s="2">
        <v>2.6</v>
      </c>
      <c r="K1603" s="2" t="s">
        <v>1268</v>
      </c>
      <c r="L1603" s="2" t="str">
        <f t="shared" si="150"/>
        <v>Profitable</v>
      </c>
      <c r="M1603" s="2" t="str">
        <f t="shared" si="151"/>
        <v>Stable Earnings</v>
      </c>
      <c r="N1603" s="2" t="str">
        <f t="shared" si="152"/>
        <v>Low Quality</v>
      </c>
      <c r="O1603" s="4" t="str">
        <f t="shared" si="153"/>
        <v>Accounting Risk</v>
      </c>
      <c r="P1603" s="4" t="str">
        <f t="shared" si="154"/>
        <v>Low Quality</v>
      </c>
      <c r="Q1603" s="4" t="str">
        <f t="shared" si="155"/>
        <v>Strong Long-Term Growth</v>
      </c>
    </row>
    <row r="1604" spans="1:17" x14ac:dyDescent="0.35">
      <c r="A1604" s="2" t="s">
        <v>1615</v>
      </c>
      <c r="B1604" s="2">
        <v>5</v>
      </c>
      <c r="C1604" s="2">
        <v>7892173.6399999997</v>
      </c>
      <c r="D1604" s="2">
        <v>0.6</v>
      </c>
      <c r="E1604" s="2">
        <v>13811003.18</v>
      </c>
      <c r="F1604" s="2">
        <v>-23525529.800000001</v>
      </c>
      <c r="G1604" s="2">
        <v>3</v>
      </c>
      <c r="H1604" s="2">
        <v>1</v>
      </c>
      <c r="I1604" s="2">
        <v>4</v>
      </c>
      <c r="J1604" s="2">
        <v>2.6</v>
      </c>
      <c r="K1604" s="2" t="s">
        <v>1268</v>
      </c>
      <c r="L1604" s="2" t="str">
        <f t="shared" si="150"/>
        <v>Profitable</v>
      </c>
      <c r="M1604" s="2" t="str">
        <f t="shared" si="151"/>
        <v>Stable Earnings</v>
      </c>
      <c r="N1604" s="2" t="str">
        <f t="shared" si="152"/>
        <v>Low Quality</v>
      </c>
      <c r="O1604" s="4" t="str">
        <f t="shared" si="153"/>
        <v>Accounting Risk</v>
      </c>
      <c r="P1604" s="4" t="str">
        <f t="shared" si="154"/>
        <v>Low Quality</v>
      </c>
      <c r="Q1604" s="4" t="str">
        <f t="shared" si="155"/>
        <v>Strong Long-Term Growth</v>
      </c>
    </row>
    <row r="1605" spans="1:17" x14ac:dyDescent="0.35">
      <c r="A1605" s="2" t="s">
        <v>1616</v>
      </c>
      <c r="B1605" s="2">
        <v>5</v>
      </c>
      <c r="C1605" s="2">
        <v>7221016.5800000001</v>
      </c>
      <c r="D1605" s="2">
        <v>0.8</v>
      </c>
      <c r="E1605" s="2">
        <v>8051033.1900000004</v>
      </c>
      <c r="F1605" s="2">
        <v>-18544622.899999999</v>
      </c>
      <c r="G1605" s="2">
        <v>3</v>
      </c>
      <c r="H1605" s="2">
        <v>1</v>
      </c>
      <c r="I1605" s="2">
        <v>4</v>
      </c>
      <c r="J1605" s="2">
        <v>2.6</v>
      </c>
      <c r="K1605" s="2" t="s">
        <v>1268</v>
      </c>
      <c r="L1605" s="2" t="str">
        <f t="shared" si="150"/>
        <v>Profitable</v>
      </c>
      <c r="M1605" s="2" t="str">
        <f t="shared" si="151"/>
        <v>Stable Earnings</v>
      </c>
      <c r="N1605" s="2" t="str">
        <f t="shared" si="152"/>
        <v>Low Quality</v>
      </c>
      <c r="O1605" s="4" t="str">
        <f t="shared" si="153"/>
        <v>Accounting Risk</v>
      </c>
      <c r="P1605" s="4" t="str">
        <f t="shared" si="154"/>
        <v>Low Quality</v>
      </c>
      <c r="Q1605" s="4" t="str">
        <f t="shared" si="155"/>
        <v>Strong Long-Term Growth</v>
      </c>
    </row>
    <row r="1606" spans="1:17" x14ac:dyDescent="0.35">
      <c r="A1606" s="2" t="s">
        <v>1617</v>
      </c>
      <c r="B1606" s="2">
        <v>5</v>
      </c>
      <c r="C1606" s="2">
        <v>-2559156.2200000002</v>
      </c>
      <c r="D1606" s="2">
        <v>0.8</v>
      </c>
      <c r="E1606" s="2">
        <v>9528720.0859999992</v>
      </c>
      <c r="F1606" s="2">
        <v>-20398251.899999999</v>
      </c>
      <c r="G1606" s="2">
        <v>3</v>
      </c>
      <c r="H1606" s="2">
        <v>1</v>
      </c>
      <c r="I1606" s="2">
        <v>4</v>
      </c>
      <c r="J1606" s="2">
        <v>2.6</v>
      </c>
      <c r="K1606" s="2" t="s">
        <v>1268</v>
      </c>
      <c r="L1606" s="2" t="str">
        <f t="shared" si="150"/>
        <v>Loss Making</v>
      </c>
      <c r="M1606" s="2" t="str">
        <f t="shared" si="151"/>
        <v>Stable Earnings</v>
      </c>
      <c r="N1606" s="2" t="str">
        <f t="shared" si="152"/>
        <v>Low Quality</v>
      </c>
      <c r="O1606" s="4" t="str">
        <f t="shared" si="153"/>
        <v>Accounting Risk</v>
      </c>
      <c r="P1606" s="4" t="str">
        <f t="shared" si="154"/>
        <v>Low Quality</v>
      </c>
      <c r="Q1606" s="4" t="str">
        <f t="shared" si="155"/>
        <v>Strong Long-Term Growth</v>
      </c>
    </row>
    <row r="1607" spans="1:17" x14ac:dyDescent="0.35">
      <c r="A1607" s="2" t="s">
        <v>1618</v>
      </c>
      <c r="B1607" s="2">
        <v>5</v>
      </c>
      <c r="C1607" s="2">
        <v>-894853.66</v>
      </c>
      <c r="D1607" s="2">
        <v>0.6</v>
      </c>
      <c r="E1607" s="2">
        <v>10332521.130000001</v>
      </c>
      <c r="F1607" s="2">
        <v>-22221473.800000001</v>
      </c>
      <c r="G1607" s="2">
        <v>3</v>
      </c>
      <c r="H1607" s="2">
        <v>1</v>
      </c>
      <c r="I1607" s="2">
        <v>4</v>
      </c>
      <c r="J1607" s="2">
        <v>2.6</v>
      </c>
      <c r="K1607" s="2" t="s">
        <v>1268</v>
      </c>
      <c r="L1607" s="2" t="str">
        <f t="shared" si="150"/>
        <v>Loss Making</v>
      </c>
      <c r="M1607" s="2" t="str">
        <f t="shared" si="151"/>
        <v>Stable Earnings</v>
      </c>
      <c r="N1607" s="2" t="str">
        <f t="shared" si="152"/>
        <v>Low Quality</v>
      </c>
      <c r="O1607" s="4" t="str">
        <f t="shared" si="153"/>
        <v>Accounting Risk</v>
      </c>
      <c r="P1607" s="4" t="str">
        <f t="shared" si="154"/>
        <v>Low Quality</v>
      </c>
      <c r="Q1607" s="4" t="str">
        <f t="shared" si="155"/>
        <v>Strong Long-Term Growth</v>
      </c>
    </row>
    <row r="1608" spans="1:17" x14ac:dyDescent="0.35">
      <c r="A1608" s="2" t="s">
        <v>1619</v>
      </c>
      <c r="B1608" s="2">
        <v>5</v>
      </c>
      <c r="C1608" s="2">
        <v>564041292.10000002</v>
      </c>
      <c r="D1608" s="2">
        <v>1</v>
      </c>
      <c r="E1608" s="2">
        <v>167140142.59999999</v>
      </c>
      <c r="F1608" s="2">
        <v>180234475.40000001</v>
      </c>
      <c r="G1608" s="2">
        <v>2</v>
      </c>
      <c r="H1608" s="2">
        <v>4</v>
      </c>
      <c r="I1608" s="2">
        <v>2</v>
      </c>
      <c r="J1608" s="2">
        <v>2.6</v>
      </c>
      <c r="K1608" s="2" t="s">
        <v>1268</v>
      </c>
      <c r="L1608" s="2" t="str">
        <f t="shared" si="150"/>
        <v>Profitable</v>
      </c>
      <c r="M1608" s="2" t="str">
        <f t="shared" si="151"/>
        <v>High Volatility</v>
      </c>
      <c r="N1608" s="2" t="str">
        <f t="shared" si="152"/>
        <v>Low Quality</v>
      </c>
      <c r="O1608" s="4" t="str">
        <f t="shared" si="153"/>
        <v>Operational Growth</v>
      </c>
      <c r="P1608" s="4" t="str">
        <f t="shared" si="154"/>
        <v>Low Quality</v>
      </c>
      <c r="Q1608" s="4" t="str">
        <f t="shared" si="155"/>
        <v>Moderate Growth</v>
      </c>
    </row>
    <row r="1609" spans="1:17" x14ac:dyDescent="0.35">
      <c r="A1609" s="2" t="s">
        <v>1620</v>
      </c>
      <c r="B1609" s="2">
        <v>5</v>
      </c>
      <c r="C1609" s="2">
        <v>159133668.69999999</v>
      </c>
      <c r="D1609" s="2">
        <v>1</v>
      </c>
      <c r="E1609" s="2">
        <v>113992221.59999999</v>
      </c>
      <c r="F1609" s="2">
        <v>177850532.90000001</v>
      </c>
      <c r="G1609" s="2">
        <v>2</v>
      </c>
      <c r="H1609" s="2">
        <v>4</v>
      </c>
      <c r="I1609" s="2">
        <v>2</v>
      </c>
      <c r="J1609" s="2">
        <v>2.6</v>
      </c>
      <c r="K1609" s="2" t="s">
        <v>1268</v>
      </c>
      <c r="L1609" s="2" t="str">
        <f t="shared" si="150"/>
        <v>Profitable</v>
      </c>
      <c r="M1609" s="2" t="str">
        <f t="shared" si="151"/>
        <v>Stable Earnings</v>
      </c>
      <c r="N1609" s="2" t="str">
        <f t="shared" si="152"/>
        <v>Low Quality</v>
      </c>
      <c r="O1609" s="4" t="str">
        <f t="shared" si="153"/>
        <v>Operational Growth</v>
      </c>
      <c r="P1609" s="4" t="str">
        <f t="shared" si="154"/>
        <v>Low Quality</v>
      </c>
      <c r="Q1609" s="4" t="str">
        <f t="shared" si="155"/>
        <v>Moderate Growth</v>
      </c>
    </row>
    <row r="1610" spans="1:17" x14ac:dyDescent="0.35">
      <c r="A1610" s="2" t="s">
        <v>1621</v>
      </c>
      <c r="B1610" s="2">
        <v>5</v>
      </c>
      <c r="C1610" s="2">
        <v>105830012.7</v>
      </c>
      <c r="D1610" s="2">
        <v>0.8</v>
      </c>
      <c r="E1610" s="2">
        <v>256538874</v>
      </c>
      <c r="F1610" s="2">
        <v>177369930</v>
      </c>
      <c r="G1610" s="2">
        <v>2</v>
      </c>
      <c r="H1610" s="2">
        <v>4</v>
      </c>
      <c r="I1610" s="2">
        <v>2</v>
      </c>
      <c r="J1610" s="2">
        <v>2.6</v>
      </c>
      <c r="K1610" s="2" t="s">
        <v>1268</v>
      </c>
      <c r="L1610" s="2" t="str">
        <f t="shared" si="150"/>
        <v>Profitable</v>
      </c>
      <c r="M1610" s="2" t="str">
        <f t="shared" si="151"/>
        <v>Stable Earnings</v>
      </c>
      <c r="N1610" s="2" t="str">
        <f t="shared" si="152"/>
        <v>Low Quality</v>
      </c>
      <c r="O1610" s="4" t="str">
        <f t="shared" si="153"/>
        <v>Operational Growth</v>
      </c>
      <c r="P1610" s="4" t="str">
        <f t="shared" si="154"/>
        <v>Low Quality</v>
      </c>
      <c r="Q1610" s="4" t="str">
        <f t="shared" si="155"/>
        <v>Moderate Growth</v>
      </c>
    </row>
    <row r="1611" spans="1:17" x14ac:dyDescent="0.35">
      <c r="A1611" s="2" t="s">
        <v>1622</v>
      </c>
      <c r="B1611" s="2">
        <v>5</v>
      </c>
      <c r="C1611" s="2">
        <v>736374330.70000005</v>
      </c>
      <c r="D1611" s="2">
        <v>1</v>
      </c>
      <c r="E1611" s="2">
        <v>131196771.7</v>
      </c>
      <c r="F1611" s="2">
        <v>182951379.40000001</v>
      </c>
      <c r="G1611" s="2">
        <v>2</v>
      </c>
      <c r="H1611" s="2">
        <v>4</v>
      </c>
      <c r="I1611" s="2">
        <v>2</v>
      </c>
      <c r="J1611" s="2">
        <v>2.6</v>
      </c>
      <c r="K1611" s="2" t="s">
        <v>1268</v>
      </c>
      <c r="L1611" s="2" t="str">
        <f t="shared" si="150"/>
        <v>Profitable</v>
      </c>
      <c r="M1611" s="2" t="str">
        <f t="shared" si="151"/>
        <v>High Volatility</v>
      </c>
      <c r="N1611" s="2" t="str">
        <f t="shared" si="152"/>
        <v>Low Quality</v>
      </c>
      <c r="O1611" s="4" t="str">
        <f t="shared" si="153"/>
        <v>Operational Growth</v>
      </c>
      <c r="P1611" s="4" t="str">
        <f t="shared" si="154"/>
        <v>Low Quality</v>
      </c>
      <c r="Q1611" s="4" t="str">
        <f t="shared" si="155"/>
        <v>Moderate Growth</v>
      </c>
    </row>
    <row r="1612" spans="1:17" x14ac:dyDescent="0.35">
      <c r="A1612" s="2" t="s">
        <v>1623</v>
      </c>
      <c r="B1612" s="2">
        <v>5</v>
      </c>
      <c r="C1612" s="2">
        <v>595815331.20000005</v>
      </c>
      <c r="D1612" s="2">
        <v>1</v>
      </c>
      <c r="E1612" s="2">
        <v>248775476.59999999</v>
      </c>
      <c r="F1612" s="2">
        <v>189075287.69999999</v>
      </c>
      <c r="G1612" s="2">
        <v>2</v>
      </c>
      <c r="H1612" s="2">
        <v>4</v>
      </c>
      <c r="I1612" s="2">
        <v>2</v>
      </c>
      <c r="J1612" s="2">
        <v>2.6</v>
      </c>
      <c r="K1612" s="2" t="s">
        <v>1268</v>
      </c>
      <c r="L1612" s="2" t="str">
        <f t="shared" si="150"/>
        <v>Profitable</v>
      </c>
      <c r="M1612" s="2" t="str">
        <f t="shared" si="151"/>
        <v>High Volatility</v>
      </c>
      <c r="N1612" s="2" t="str">
        <f t="shared" si="152"/>
        <v>Low Quality</v>
      </c>
      <c r="O1612" s="4" t="str">
        <f t="shared" si="153"/>
        <v>Operational Growth</v>
      </c>
      <c r="P1612" s="4" t="str">
        <f t="shared" si="154"/>
        <v>Low Quality</v>
      </c>
      <c r="Q1612" s="4" t="str">
        <f t="shared" si="155"/>
        <v>Moderate Growth</v>
      </c>
    </row>
    <row r="1613" spans="1:17" x14ac:dyDescent="0.35">
      <c r="A1613" s="2" t="s">
        <v>1624</v>
      </c>
      <c r="B1613" s="2">
        <v>5</v>
      </c>
      <c r="C1613" s="2">
        <v>400539286.69999999</v>
      </c>
      <c r="D1613" s="2">
        <v>1</v>
      </c>
      <c r="E1613" s="2">
        <v>167471060.59999999</v>
      </c>
      <c r="F1613" s="2">
        <v>183892442.80000001</v>
      </c>
      <c r="G1613" s="2">
        <v>2</v>
      </c>
      <c r="H1613" s="2">
        <v>4</v>
      </c>
      <c r="I1613" s="2">
        <v>2</v>
      </c>
      <c r="J1613" s="2">
        <v>2.6</v>
      </c>
      <c r="K1613" s="2" t="s">
        <v>1268</v>
      </c>
      <c r="L1613" s="2" t="str">
        <f t="shared" si="150"/>
        <v>Profitable</v>
      </c>
      <c r="M1613" s="2" t="str">
        <f t="shared" si="151"/>
        <v>Stable Earnings</v>
      </c>
      <c r="N1613" s="2" t="str">
        <f t="shared" si="152"/>
        <v>Low Quality</v>
      </c>
      <c r="O1613" s="4" t="str">
        <f t="shared" si="153"/>
        <v>Operational Growth</v>
      </c>
      <c r="P1613" s="4" t="str">
        <f t="shared" si="154"/>
        <v>Low Quality</v>
      </c>
      <c r="Q1613" s="4" t="str">
        <f t="shared" si="155"/>
        <v>Moderate Growth</v>
      </c>
    </row>
    <row r="1614" spans="1:17" x14ac:dyDescent="0.35">
      <c r="A1614" s="2" t="s">
        <v>1625</v>
      </c>
      <c r="B1614" s="2">
        <v>5</v>
      </c>
      <c r="C1614" s="2">
        <v>271212065.39999998</v>
      </c>
      <c r="D1614" s="2">
        <v>0.8</v>
      </c>
      <c r="E1614" s="2">
        <v>233125687.19999999</v>
      </c>
      <c r="F1614" s="2">
        <v>198280149.40000001</v>
      </c>
      <c r="G1614" s="2">
        <v>2</v>
      </c>
      <c r="H1614" s="2">
        <v>4</v>
      </c>
      <c r="I1614" s="2">
        <v>2</v>
      </c>
      <c r="J1614" s="2">
        <v>2.6</v>
      </c>
      <c r="K1614" s="2" t="s">
        <v>1268</v>
      </c>
      <c r="L1614" s="2" t="str">
        <f t="shared" si="150"/>
        <v>Profitable</v>
      </c>
      <c r="M1614" s="2" t="str">
        <f t="shared" si="151"/>
        <v>Stable Earnings</v>
      </c>
      <c r="N1614" s="2" t="str">
        <f t="shared" si="152"/>
        <v>Low Quality</v>
      </c>
      <c r="O1614" s="4" t="str">
        <f t="shared" si="153"/>
        <v>Operational Growth</v>
      </c>
      <c r="P1614" s="4" t="str">
        <f t="shared" si="154"/>
        <v>Low Quality</v>
      </c>
      <c r="Q1614" s="4" t="str">
        <f t="shared" si="155"/>
        <v>Moderate Growth</v>
      </c>
    </row>
    <row r="1615" spans="1:17" x14ac:dyDescent="0.35">
      <c r="A1615" s="2" t="s">
        <v>1626</v>
      </c>
      <c r="B1615" s="2">
        <v>5</v>
      </c>
      <c r="C1615" s="2">
        <v>1245320033</v>
      </c>
      <c r="D1615" s="2">
        <v>1</v>
      </c>
      <c r="E1615" s="2">
        <v>112334661.59999999</v>
      </c>
      <c r="F1615" s="2">
        <v>192100348</v>
      </c>
      <c r="G1615" s="2">
        <v>2</v>
      </c>
      <c r="H1615" s="2">
        <v>4</v>
      </c>
      <c r="I1615" s="2">
        <v>2</v>
      </c>
      <c r="J1615" s="2">
        <v>2.6</v>
      </c>
      <c r="K1615" s="2" t="s">
        <v>1268</v>
      </c>
      <c r="L1615" s="2" t="str">
        <f t="shared" si="150"/>
        <v>Profitable</v>
      </c>
      <c r="M1615" s="2" t="str">
        <f t="shared" si="151"/>
        <v>High Volatility</v>
      </c>
      <c r="N1615" s="2" t="str">
        <f t="shared" si="152"/>
        <v>Low Quality</v>
      </c>
      <c r="O1615" s="4" t="str">
        <f t="shared" si="153"/>
        <v>Operational Growth</v>
      </c>
      <c r="P1615" s="4" t="str">
        <f t="shared" si="154"/>
        <v>Low Quality</v>
      </c>
      <c r="Q1615" s="4" t="str">
        <f t="shared" si="155"/>
        <v>Moderate Growth</v>
      </c>
    </row>
    <row r="1616" spans="1:17" x14ac:dyDescent="0.35">
      <c r="A1616" s="2" t="s">
        <v>1627</v>
      </c>
      <c r="B1616" s="2">
        <v>5</v>
      </c>
      <c r="C1616" s="2">
        <v>66546290.439999998</v>
      </c>
      <c r="D1616" s="2">
        <v>0.8</v>
      </c>
      <c r="E1616" s="2">
        <v>121858190.90000001</v>
      </c>
      <c r="F1616" s="2">
        <v>131036158.5</v>
      </c>
      <c r="G1616" s="2">
        <v>2</v>
      </c>
      <c r="H1616" s="2">
        <v>4</v>
      </c>
      <c r="I1616" s="2">
        <v>2</v>
      </c>
      <c r="J1616" s="2">
        <v>2.6</v>
      </c>
      <c r="K1616" s="2" t="s">
        <v>1268</v>
      </c>
      <c r="L1616" s="2" t="str">
        <f t="shared" si="150"/>
        <v>Profitable</v>
      </c>
      <c r="M1616" s="2" t="str">
        <f t="shared" si="151"/>
        <v>Stable Earnings</v>
      </c>
      <c r="N1616" s="2" t="str">
        <f t="shared" si="152"/>
        <v>Low Quality</v>
      </c>
      <c r="O1616" s="4" t="str">
        <f t="shared" si="153"/>
        <v>Operational Growth</v>
      </c>
      <c r="P1616" s="4" t="str">
        <f t="shared" si="154"/>
        <v>Low Quality</v>
      </c>
      <c r="Q1616" s="4" t="str">
        <f t="shared" si="155"/>
        <v>Moderate Growth</v>
      </c>
    </row>
    <row r="1617" spans="1:17" x14ac:dyDescent="0.35">
      <c r="A1617" s="2" t="s">
        <v>1628</v>
      </c>
      <c r="B1617" s="2">
        <v>5</v>
      </c>
      <c r="C1617" s="2">
        <v>110687465.7</v>
      </c>
      <c r="D1617" s="2">
        <v>0.8</v>
      </c>
      <c r="E1617" s="2">
        <v>252776759.80000001</v>
      </c>
      <c r="F1617" s="2">
        <v>150915313.09999999</v>
      </c>
      <c r="G1617" s="2">
        <v>2</v>
      </c>
      <c r="H1617" s="2">
        <v>4</v>
      </c>
      <c r="I1617" s="2">
        <v>2</v>
      </c>
      <c r="J1617" s="2">
        <v>2.6</v>
      </c>
      <c r="K1617" s="2" t="s">
        <v>1268</v>
      </c>
      <c r="L1617" s="2" t="str">
        <f t="shared" si="150"/>
        <v>Profitable</v>
      </c>
      <c r="M1617" s="2" t="str">
        <f t="shared" si="151"/>
        <v>Stable Earnings</v>
      </c>
      <c r="N1617" s="2" t="str">
        <f t="shared" si="152"/>
        <v>Low Quality</v>
      </c>
      <c r="O1617" s="4" t="str">
        <f t="shared" si="153"/>
        <v>Operational Growth</v>
      </c>
      <c r="P1617" s="4" t="str">
        <f t="shared" si="154"/>
        <v>Low Quality</v>
      </c>
      <c r="Q1617" s="4" t="str">
        <f t="shared" si="155"/>
        <v>Moderate Growth</v>
      </c>
    </row>
    <row r="1618" spans="1:17" x14ac:dyDescent="0.35">
      <c r="A1618" s="2" t="s">
        <v>1629</v>
      </c>
      <c r="B1618" s="2">
        <v>5</v>
      </c>
      <c r="C1618" s="2">
        <v>54671070.740000002</v>
      </c>
      <c r="D1618" s="2">
        <v>0.8</v>
      </c>
      <c r="E1618" s="2">
        <v>151804589.69999999</v>
      </c>
      <c r="F1618" s="2">
        <v>156340304.30000001</v>
      </c>
      <c r="G1618" s="2">
        <v>2</v>
      </c>
      <c r="H1618" s="2">
        <v>4</v>
      </c>
      <c r="I1618" s="2">
        <v>2</v>
      </c>
      <c r="J1618" s="2">
        <v>2.6</v>
      </c>
      <c r="K1618" s="2" t="s">
        <v>1268</v>
      </c>
      <c r="L1618" s="2" t="str">
        <f t="shared" si="150"/>
        <v>Profitable</v>
      </c>
      <c r="M1618" s="2" t="str">
        <f t="shared" si="151"/>
        <v>Stable Earnings</v>
      </c>
      <c r="N1618" s="2" t="str">
        <f t="shared" si="152"/>
        <v>Low Quality</v>
      </c>
      <c r="O1618" s="4" t="str">
        <f t="shared" si="153"/>
        <v>Operational Growth</v>
      </c>
      <c r="P1618" s="4" t="str">
        <f t="shared" si="154"/>
        <v>Low Quality</v>
      </c>
      <c r="Q1618" s="4" t="str">
        <f t="shared" si="155"/>
        <v>Moderate Growth</v>
      </c>
    </row>
    <row r="1619" spans="1:17" x14ac:dyDescent="0.35">
      <c r="A1619" s="2" t="s">
        <v>1630</v>
      </c>
      <c r="B1619" s="2">
        <v>5</v>
      </c>
      <c r="C1619" s="2">
        <v>637929895.10000002</v>
      </c>
      <c r="D1619" s="2">
        <v>1</v>
      </c>
      <c r="E1619" s="2">
        <v>134918707.19999999</v>
      </c>
      <c r="F1619" s="2">
        <v>176207752.69999999</v>
      </c>
      <c r="G1619" s="2">
        <v>2</v>
      </c>
      <c r="H1619" s="2">
        <v>4</v>
      </c>
      <c r="I1619" s="2">
        <v>2</v>
      </c>
      <c r="J1619" s="2">
        <v>2.6</v>
      </c>
      <c r="K1619" s="2" t="s">
        <v>1268</v>
      </c>
      <c r="L1619" s="2" t="str">
        <f t="shared" si="150"/>
        <v>Profitable</v>
      </c>
      <c r="M1619" s="2" t="str">
        <f t="shared" si="151"/>
        <v>High Volatility</v>
      </c>
      <c r="N1619" s="2" t="str">
        <f t="shared" si="152"/>
        <v>Low Quality</v>
      </c>
      <c r="O1619" s="4" t="str">
        <f t="shared" si="153"/>
        <v>Operational Growth</v>
      </c>
      <c r="P1619" s="4" t="str">
        <f t="shared" si="154"/>
        <v>Low Quality</v>
      </c>
      <c r="Q1619" s="4" t="str">
        <f t="shared" si="155"/>
        <v>Moderate Growth</v>
      </c>
    </row>
    <row r="1620" spans="1:17" x14ac:dyDescent="0.35">
      <c r="A1620" s="2" t="s">
        <v>1631</v>
      </c>
      <c r="B1620" s="2">
        <v>5</v>
      </c>
      <c r="C1620" s="2">
        <v>684991923.39999998</v>
      </c>
      <c r="D1620" s="2">
        <v>1</v>
      </c>
      <c r="E1620" s="2">
        <v>187068069.40000001</v>
      </c>
      <c r="F1620" s="2">
        <v>172585903.5</v>
      </c>
      <c r="G1620" s="2">
        <v>2</v>
      </c>
      <c r="H1620" s="2">
        <v>4</v>
      </c>
      <c r="I1620" s="2">
        <v>2</v>
      </c>
      <c r="J1620" s="2">
        <v>2.6</v>
      </c>
      <c r="K1620" s="2" t="s">
        <v>1268</v>
      </c>
      <c r="L1620" s="2" t="str">
        <f t="shared" si="150"/>
        <v>Profitable</v>
      </c>
      <c r="M1620" s="2" t="str">
        <f t="shared" si="151"/>
        <v>High Volatility</v>
      </c>
      <c r="N1620" s="2" t="str">
        <f t="shared" si="152"/>
        <v>Low Quality</v>
      </c>
      <c r="O1620" s="4" t="str">
        <f t="shared" si="153"/>
        <v>Operational Growth</v>
      </c>
      <c r="P1620" s="4" t="str">
        <f t="shared" si="154"/>
        <v>Low Quality</v>
      </c>
      <c r="Q1620" s="4" t="str">
        <f t="shared" si="155"/>
        <v>Moderate Growth</v>
      </c>
    </row>
    <row r="1621" spans="1:17" x14ac:dyDescent="0.35">
      <c r="A1621" s="2" t="s">
        <v>1632</v>
      </c>
      <c r="B1621" s="2">
        <v>5</v>
      </c>
      <c r="C1621" s="2">
        <v>471280721.39999998</v>
      </c>
      <c r="D1621" s="2">
        <v>1</v>
      </c>
      <c r="E1621" s="2">
        <v>127866788</v>
      </c>
      <c r="F1621" s="2">
        <v>170978909.69999999</v>
      </c>
      <c r="G1621" s="2">
        <v>2</v>
      </c>
      <c r="H1621" s="2">
        <v>4</v>
      </c>
      <c r="I1621" s="2">
        <v>2</v>
      </c>
      <c r="J1621" s="2">
        <v>2.6</v>
      </c>
      <c r="K1621" s="2" t="s">
        <v>1268</v>
      </c>
      <c r="L1621" s="2" t="str">
        <f t="shared" si="150"/>
        <v>Profitable</v>
      </c>
      <c r="M1621" s="2" t="str">
        <f t="shared" si="151"/>
        <v>Stable Earnings</v>
      </c>
      <c r="N1621" s="2" t="str">
        <f t="shared" si="152"/>
        <v>Low Quality</v>
      </c>
      <c r="O1621" s="4" t="str">
        <f t="shared" si="153"/>
        <v>Operational Growth</v>
      </c>
      <c r="P1621" s="4" t="str">
        <f t="shared" si="154"/>
        <v>Low Quality</v>
      </c>
      <c r="Q1621" s="4" t="str">
        <f t="shared" si="155"/>
        <v>Moderate Growth</v>
      </c>
    </row>
    <row r="1622" spans="1:17" x14ac:dyDescent="0.35">
      <c r="A1622" s="2" t="s">
        <v>1633</v>
      </c>
      <c r="B1622" s="2">
        <v>5</v>
      </c>
      <c r="C1622" s="2">
        <v>378657421.89999998</v>
      </c>
      <c r="D1622" s="2">
        <v>1</v>
      </c>
      <c r="E1622" s="2">
        <v>155788884.40000001</v>
      </c>
      <c r="F1622" s="2">
        <v>163813458.69999999</v>
      </c>
      <c r="G1622" s="2">
        <v>2</v>
      </c>
      <c r="H1622" s="2">
        <v>4</v>
      </c>
      <c r="I1622" s="2">
        <v>2</v>
      </c>
      <c r="J1622" s="2">
        <v>2.6</v>
      </c>
      <c r="K1622" s="2" t="s">
        <v>1268</v>
      </c>
      <c r="L1622" s="2" t="str">
        <f t="shared" si="150"/>
        <v>Profitable</v>
      </c>
      <c r="M1622" s="2" t="str">
        <f t="shared" si="151"/>
        <v>Stable Earnings</v>
      </c>
      <c r="N1622" s="2" t="str">
        <f t="shared" si="152"/>
        <v>Low Quality</v>
      </c>
      <c r="O1622" s="4" t="str">
        <f t="shared" si="153"/>
        <v>Operational Growth</v>
      </c>
      <c r="P1622" s="4" t="str">
        <f t="shared" si="154"/>
        <v>Low Quality</v>
      </c>
      <c r="Q1622" s="4" t="str">
        <f t="shared" si="155"/>
        <v>Moderate Growth</v>
      </c>
    </row>
    <row r="1623" spans="1:17" x14ac:dyDescent="0.35">
      <c r="A1623" s="2" t="s">
        <v>1634</v>
      </c>
      <c r="B1623" s="2">
        <v>5</v>
      </c>
      <c r="C1623" s="2">
        <v>426468895.69999999</v>
      </c>
      <c r="D1623" s="2">
        <v>1</v>
      </c>
      <c r="E1623" s="2">
        <v>247350001.69999999</v>
      </c>
      <c r="F1623" s="2">
        <v>165574633</v>
      </c>
      <c r="G1623" s="2">
        <v>2</v>
      </c>
      <c r="H1623" s="2">
        <v>4</v>
      </c>
      <c r="I1623" s="2">
        <v>2</v>
      </c>
      <c r="J1623" s="2">
        <v>2.6</v>
      </c>
      <c r="K1623" s="2" t="s">
        <v>1268</v>
      </c>
      <c r="L1623" s="2" t="str">
        <f t="shared" si="150"/>
        <v>Profitable</v>
      </c>
      <c r="M1623" s="2" t="str">
        <f t="shared" si="151"/>
        <v>Stable Earnings</v>
      </c>
      <c r="N1623" s="2" t="str">
        <f t="shared" si="152"/>
        <v>Low Quality</v>
      </c>
      <c r="O1623" s="4" t="str">
        <f t="shared" si="153"/>
        <v>Operational Growth</v>
      </c>
      <c r="P1623" s="4" t="str">
        <f t="shared" si="154"/>
        <v>Low Quality</v>
      </c>
      <c r="Q1623" s="4" t="str">
        <f t="shared" si="155"/>
        <v>Moderate Growth</v>
      </c>
    </row>
    <row r="1624" spans="1:17" x14ac:dyDescent="0.35">
      <c r="A1624" s="2" t="s">
        <v>1635</v>
      </c>
      <c r="B1624" s="2">
        <v>5</v>
      </c>
      <c r="C1624" s="2">
        <v>422795737.60000002</v>
      </c>
      <c r="D1624" s="2">
        <v>1</v>
      </c>
      <c r="E1624" s="2">
        <v>129959867.7</v>
      </c>
      <c r="F1624" s="2">
        <v>166185701.80000001</v>
      </c>
      <c r="G1624" s="2">
        <v>2</v>
      </c>
      <c r="H1624" s="2">
        <v>4</v>
      </c>
      <c r="I1624" s="2">
        <v>2</v>
      </c>
      <c r="J1624" s="2">
        <v>2.6</v>
      </c>
      <c r="K1624" s="2" t="s">
        <v>1268</v>
      </c>
      <c r="L1624" s="2" t="str">
        <f t="shared" si="150"/>
        <v>Profitable</v>
      </c>
      <c r="M1624" s="2" t="str">
        <f t="shared" si="151"/>
        <v>Stable Earnings</v>
      </c>
      <c r="N1624" s="2" t="str">
        <f t="shared" si="152"/>
        <v>Low Quality</v>
      </c>
      <c r="O1624" s="4" t="str">
        <f t="shared" si="153"/>
        <v>Operational Growth</v>
      </c>
      <c r="P1624" s="4" t="str">
        <f t="shared" si="154"/>
        <v>Low Quality</v>
      </c>
      <c r="Q1624" s="4" t="str">
        <f t="shared" si="155"/>
        <v>Moderate Growth</v>
      </c>
    </row>
    <row r="1625" spans="1:17" x14ac:dyDescent="0.35">
      <c r="A1625" s="2" t="s">
        <v>1636</v>
      </c>
      <c r="B1625" s="2">
        <v>5</v>
      </c>
      <c r="C1625" s="2">
        <v>-85274091.760000005</v>
      </c>
      <c r="D1625" s="2">
        <v>0.8</v>
      </c>
      <c r="E1625" s="2">
        <v>275401630.30000001</v>
      </c>
      <c r="F1625" s="2">
        <v>27756107.300000001</v>
      </c>
      <c r="G1625" s="2">
        <v>2</v>
      </c>
      <c r="H1625" s="2">
        <v>4</v>
      </c>
      <c r="I1625" s="2">
        <v>2</v>
      </c>
      <c r="J1625" s="2">
        <v>2.6</v>
      </c>
      <c r="K1625" s="2" t="s">
        <v>1268</v>
      </c>
      <c r="L1625" s="2" t="str">
        <f t="shared" si="150"/>
        <v>Loss Making</v>
      </c>
      <c r="M1625" s="2" t="str">
        <f t="shared" si="151"/>
        <v>Stable Earnings</v>
      </c>
      <c r="N1625" s="2" t="str">
        <f t="shared" si="152"/>
        <v>Low Quality</v>
      </c>
      <c r="O1625" s="4" t="str">
        <f t="shared" si="153"/>
        <v>Operational Growth</v>
      </c>
      <c r="P1625" s="4" t="str">
        <f t="shared" si="154"/>
        <v>Low Quality</v>
      </c>
      <c r="Q1625" s="4" t="str">
        <f t="shared" si="155"/>
        <v>Moderate Growth</v>
      </c>
    </row>
    <row r="1626" spans="1:17" x14ac:dyDescent="0.35">
      <c r="A1626" s="2" t="s">
        <v>1637</v>
      </c>
      <c r="B1626" s="2">
        <v>5</v>
      </c>
      <c r="C1626" s="2">
        <v>226382322</v>
      </c>
      <c r="D1626" s="2">
        <v>0.8</v>
      </c>
      <c r="E1626" s="2">
        <v>269659910.89999998</v>
      </c>
      <c r="F1626" s="2">
        <v>31292777.800000001</v>
      </c>
      <c r="G1626" s="2">
        <v>2</v>
      </c>
      <c r="H1626" s="2">
        <v>4</v>
      </c>
      <c r="I1626" s="2">
        <v>2</v>
      </c>
      <c r="J1626" s="2">
        <v>2.6</v>
      </c>
      <c r="K1626" s="2" t="s">
        <v>1268</v>
      </c>
      <c r="L1626" s="2" t="str">
        <f t="shared" si="150"/>
        <v>Profitable</v>
      </c>
      <c r="M1626" s="2" t="str">
        <f t="shared" si="151"/>
        <v>Stable Earnings</v>
      </c>
      <c r="N1626" s="2" t="str">
        <f t="shared" si="152"/>
        <v>Low Quality</v>
      </c>
      <c r="O1626" s="4" t="str">
        <f t="shared" si="153"/>
        <v>Operational Growth</v>
      </c>
      <c r="P1626" s="4" t="str">
        <f t="shared" si="154"/>
        <v>Low Quality</v>
      </c>
      <c r="Q1626" s="4" t="str">
        <f t="shared" si="155"/>
        <v>Moderate Growth</v>
      </c>
    </row>
    <row r="1627" spans="1:17" x14ac:dyDescent="0.35">
      <c r="A1627" s="2" t="s">
        <v>1638</v>
      </c>
      <c r="B1627" s="2">
        <v>5</v>
      </c>
      <c r="C1627" s="2">
        <v>14152196.859999999</v>
      </c>
      <c r="D1627" s="2">
        <v>0.8</v>
      </c>
      <c r="E1627" s="2">
        <v>117012096.2</v>
      </c>
      <c r="F1627" s="2">
        <v>34554249</v>
      </c>
      <c r="G1627" s="2">
        <v>2</v>
      </c>
      <c r="H1627" s="2">
        <v>4</v>
      </c>
      <c r="I1627" s="2">
        <v>2</v>
      </c>
      <c r="J1627" s="2">
        <v>2.6</v>
      </c>
      <c r="K1627" s="2" t="s">
        <v>1268</v>
      </c>
      <c r="L1627" s="2" t="str">
        <f t="shared" si="150"/>
        <v>Profitable</v>
      </c>
      <c r="M1627" s="2" t="str">
        <f t="shared" si="151"/>
        <v>Stable Earnings</v>
      </c>
      <c r="N1627" s="2" t="str">
        <f t="shared" si="152"/>
        <v>Low Quality</v>
      </c>
      <c r="O1627" s="4" t="str">
        <f t="shared" si="153"/>
        <v>Operational Growth</v>
      </c>
      <c r="P1627" s="4" t="str">
        <f t="shared" si="154"/>
        <v>Low Quality</v>
      </c>
      <c r="Q1627" s="4" t="str">
        <f t="shared" si="155"/>
        <v>Moderate Growth</v>
      </c>
    </row>
    <row r="1628" spans="1:17" x14ac:dyDescent="0.35">
      <c r="A1628" s="2" t="s">
        <v>1639</v>
      </c>
      <c r="B1628" s="2">
        <v>5</v>
      </c>
      <c r="C1628" s="2">
        <v>169800275.40000001</v>
      </c>
      <c r="D1628" s="2">
        <v>0.8</v>
      </c>
      <c r="E1628" s="2">
        <v>176938377.69999999</v>
      </c>
      <c r="F1628" s="2">
        <v>69935144.099999994</v>
      </c>
      <c r="G1628" s="2">
        <v>2</v>
      </c>
      <c r="H1628" s="2">
        <v>4</v>
      </c>
      <c r="I1628" s="2">
        <v>2</v>
      </c>
      <c r="J1628" s="2">
        <v>2.6</v>
      </c>
      <c r="K1628" s="2" t="s">
        <v>1268</v>
      </c>
      <c r="L1628" s="2" t="str">
        <f t="shared" si="150"/>
        <v>Profitable</v>
      </c>
      <c r="M1628" s="2" t="str">
        <f t="shared" si="151"/>
        <v>Stable Earnings</v>
      </c>
      <c r="N1628" s="2" t="str">
        <f t="shared" si="152"/>
        <v>Low Quality</v>
      </c>
      <c r="O1628" s="4" t="str">
        <f t="shared" si="153"/>
        <v>Operational Growth</v>
      </c>
      <c r="P1628" s="4" t="str">
        <f t="shared" si="154"/>
        <v>Low Quality</v>
      </c>
      <c r="Q1628" s="4" t="str">
        <f t="shared" si="155"/>
        <v>Moderate Growth</v>
      </c>
    </row>
    <row r="1629" spans="1:17" x14ac:dyDescent="0.35">
      <c r="A1629" s="2" t="s">
        <v>1640</v>
      </c>
      <c r="B1629" s="2">
        <v>5</v>
      </c>
      <c r="C1629" s="2">
        <v>2332455.6</v>
      </c>
      <c r="D1629" s="2">
        <v>0.8</v>
      </c>
      <c r="E1629" s="2">
        <v>158187235.30000001</v>
      </c>
      <c r="F1629" s="2">
        <v>70201261.400000006</v>
      </c>
      <c r="G1629" s="2">
        <v>2</v>
      </c>
      <c r="H1629" s="2">
        <v>4</v>
      </c>
      <c r="I1629" s="2">
        <v>2</v>
      </c>
      <c r="J1629" s="2">
        <v>2.6</v>
      </c>
      <c r="K1629" s="2" t="s">
        <v>1268</v>
      </c>
      <c r="L1629" s="2" t="str">
        <f t="shared" si="150"/>
        <v>Profitable</v>
      </c>
      <c r="M1629" s="2" t="str">
        <f t="shared" si="151"/>
        <v>Stable Earnings</v>
      </c>
      <c r="N1629" s="2" t="str">
        <f t="shared" si="152"/>
        <v>Low Quality</v>
      </c>
      <c r="O1629" s="4" t="str">
        <f t="shared" si="153"/>
        <v>Operational Growth</v>
      </c>
      <c r="P1629" s="4" t="str">
        <f t="shared" si="154"/>
        <v>Low Quality</v>
      </c>
      <c r="Q1629" s="4" t="str">
        <f t="shared" si="155"/>
        <v>Moderate Growth</v>
      </c>
    </row>
    <row r="1630" spans="1:17" x14ac:dyDescent="0.35">
      <c r="A1630" s="2" t="s">
        <v>1641</v>
      </c>
      <c r="B1630" s="2">
        <v>5</v>
      </c>
      <c r="C1630" s="2">
        <v>9935130.8399999999</v>
      </c>
      <c r="D1630" s="2">
        <v>0.8</v>
      </c>
      <c r="E1630" s="2">
        <v>239547341.80000001</v>
      </c>
      <c r="F1630" s="2">
        <v>72449753.099999994</v>
      </c>
      <c r="G1630" s="2">
        <v>2</v>
      </c>
      <c r="H1630" s="2">
        <v>4</v>
      </c>
      <c r="I1630" s="2">
        <v>2</v>
      </c>
      <c r="J1630" s="2">
        <v>2.6</v>
      </c>
      <c r="K1630" s="2" t="s">
        <v>1268</v>
      </c>
      <c r="L1630" s="2" t="str">
        <f t="shared" si="150"/>
        <v>Profitable</v>
      </c>
      <c r="M1630" s="2" t="str">
        <f t="shared" si="151"/>
        <v>Stable Earnings</v>
      </c>
      <c r="N1630" s="2" t="str">
        <f t="shared" si="152"/>
        <v>Low Quality</v>
      </c>
      <c r="O1630" s="4" t="str">
        <f t="shared" si="153"/>
        <v>Operational Growth</v>
      </c>
      <c r="P1630" s="4" t="str">
        <f t="shared" si="154"/>
        <v>Low Quality</v>
      </c>
      <c r="Q1630" s="4" t="str">
        <f t="shared" si="155"/>
        <v>Moderate Growth</v>
      </c>
    </row>
    <row r="1631" spans="1:17" x14ac:dyDescent="0.35">
      <c r="A1631" s="2" t="s">
        <v>1642</v>
      </c>
      <c r="B1631" s="2">
        <v>5</v>
      </c>
      <c r="C1631" s="2">
        <v>376393224.89999998</v>
      </c>
      <c r="D1631" s="2">
        <v>1</v>
      </c>
      <c r="E1631" s="2">
        <v>119942311.40000001</v>
      </c>
      <c r="F1631" s="2">
        <v>66271338.200000003</v>
      </c>
      <c r="G1631" s="2">
        <v>2</v>
      </c>
      <c r="H1631" s="2">
        <v>4</v>
      </c>
      <c r="I1631" s="2">
        <v>2</v>
      </c>
      <c r="J1631" s="2">
        <v>2.6</v>
      </c>
      <c r="K1631" s="2" t="s">
        <v>1268</v>
      </c>
      <c r="L1631" s="2" t="str">
        <f t="shared" si="150"/>
        <v>Profitable</v>
      </c>
      <c r="M1631" s="2" t="str">
        <f t="shared" si="151"/>
        <v>Stable Earnings</v>
      </c>
      <c r="N1631" s="2" t="str">
        <f t="shared" si="152"/>
        <v>Low Quality</v>
      </c>
      <c r="O1631" s="4" t="str">
        <f t="shared" si="153"/>
        <v>Operational Growth</v>
      </c>
      <c r="P1631" s="4" t="str">
        <f t="shared" si="154"/>
        <v>Low Quality</v>
      </c>
      <c r="Q1631" s="4" t="str">
        <f t="shared" si="155"/>
        <v>Moderate Growth</v>
      </c>
    </row>
    <row r="1632" spans="1:17" x14ac:dyDescent="0.35">
      <c r="A1632" s="2" t="s">
        <v>1643</v>
      </c>
      <c r="B1632" s="2">
        <v>5</v>
      </c>
      <c r="C1632" s="2">
        <v>985668089.70000005</v>
      </c>
      <c r="D1632" s="2">
        <v>1</v>
      </c>
      <c r="E1632" s="2">
        <v>208347440.30000001</v>
      </c>
      <c r="F1632" s="2">
        <v>48635071</v>
      </c>
      <c r="G1632" s="2">
        <v>2</v>
      </c>
      <c r="H1632" s="2">
        <v>4</v>
      </c>
      <c r="I1632" s="2">
        <v>2</v>
      </c>
      <c r="J1632" s="2">
        <v>2.6</v>
      </c>
      <c r="K1632" s="2" t="s">
        <v>1268</v>
      </c>
      <c r="L1632" s="2" t="str">
        <f t="shared" si="150"/>
        <v>Profitable</v>
      </c>
      <c r="M1632" s="2" t="str">
        <f t="shared" si="151"/>
        <v>High Volatility</v>
      </c>
      <c r="N1632" s="2" t="str">
        <f t="shared" si="152"/>
        <v>Low Quality</v>
      </c>
      <c r="O1632" s="4" t="str">
        <f t="shared" si="153"/>
        <v>Operational Growth</v>
      </c>
      <c r="P1632" s="4" t="str">
        <f t="shared" si="154"/>
        <v>Low Quality</v>
      </c>
      <c r="Q1632" s="4" t="str">
        <f t="shared" si="155"/>
        <v>Moderate Growth</v>
      </c>
    </row>
    <row r="1633" spans="1:17" x14ac:dyDescent="0.35">
      <c r="A1633" s="2" t="s">
        <v>1644</v>
      </c>
      <c r="B1633" s="2">
        <v>5</v>
      </c>
      <c r="C1633" s="2">
        <v>293210151.69999999</v>
      </c>
      <c r="D1633" s="2">
        <v>1</v>
      </c>
      <c r="E1633" s="2">
        <v>138297789</v>
      </c>
      <c r="F1633" s="2">
        <v>89580980.200000003</v>
      </c>
      <c r="G1633" s="2">
        <v>2</v>
      </c>
      <c r="H1633" s="2">
        <v>4</v>
      </c>
      <c r="I1633" s="2">
        <v>2</v>
      </c>
      <c r="J1633" s="2">
        <v>2.6</v>
      </c>
      <c r="K1633" s="2" t="s">
        <v>1268</v>
      </c>
      <c r="L1633" s="2" t="str">
        <f t="shared" si="150"/>
        <v>Profitable</v>
      </c>
      <c r="M1633" s="2" t="str">
        <f t="shared" si="151"/>
        <v>Stable Earnings</v>
      </c>
      <c r="N1633" s="2" t="str">
        <f t="shared" si="152"/>
        <v>Low Quality</v>
      </c>
      <c r="O1633" s="4" t="str">
        <f t="shared" si="153"/>
        <v>Operational Growth</v>
      </c>
      <c r="P1633" s="4" t="str">
        <f t="shared" si="154"/>
        <v>Low Quality</v>
      </c>
      <c r="Q1633" s="4" t="str">
        <f t="shared" si="155"/>
        <v>Moderate Growth</v>
      </c>
    </row>
    <row r="1634" spans="1:17" x14ac:dyDescent="0.35">
      <c r="A1634" s="2" t="s">
        <v>1645</v>
      </c>
      <c r="B1634" s="2">
        <v>5</v>
      </c>
      <c r="C1634" s="2">
        <v>222548307.19999999</v>
      </c>
      <c r="D1634" s="2">
        <v>0.8</v>
      </c>
      <c r="E1634" s="2">
        <v>268398151.40000001</v>
      </c>
      <c r="F1634" s="2">
        <v>84398517.200000003</v>
      </c>
      <c r="G1634" s="2">
        <v>2</v>
      </c>
      <c r="H1634" s="2">
        <v>4</v>
      </c>
      <c r="I1634" s="2">
        <v>2</v>
      </c>
      <c r="J1634" s="2">
        <v>2.6</v>
      </c>
      <c r="K1634" s="2" t="s">
        <v>1268</v>
      </c>
      <c r="L1634" s="2" t="str">
        <f t="shared" si="150"/>
        <v>Profitable</v>
      </c>
      <c r="M1634" s="2" t="str">
        <f t="shared" si="151"/>
        <v>Stable Earnings</v>
      </c>
      <c r="N1634" s="2" t="str">
        <f t="shared" si="152"/>
        <v>Low Quality</v>
      </c>
      <c r="O1634" s="4" t="str">
        <f t="shared" si="153"/>
        <v>Operational Growth</v>
      </c>
      <c r="P1634" s="4" t="str">
        <f t="shared" si="154"/>
        <v>Low Quality</v>
      </c>
      <c r="Q1634" s="4" t="str">
        <f t="shared" si="155"/>
        <v>Moderate Growth</v>
      </c>
    </row>
    <row r="1635" spans="1:17" x14ac:dyDescent="0.35">
      <c r="A1635" s="2" t="s">
        <v>1646</v>
      </c>
      <c r="B1635" s="2">
        <v>5</v>
      </c>
      <c r="C1635" s="2">
        <v>1081236830</v>
      </c>
      <c r="D1635" s="2">
        <v>1</v>
      </c>
      <c r="E1635" s="2">
        <v>297204308.30000001</v>
      </c>
      <c r="F1635" s="2">
        <v>83611920</v>
      </c>
      <c r="G1635" s="2">
        <v>2</v>
      </c>
      <c r="H1635" s="2">
        <v>4</v>
      </c>
      <c r="I1635" s="2">
        <v>2</v>
      </c>
      <c r="J1635" s="2">
        <v>2.6</v>
      </c>
      <c r="K1635" s="2" t="s">
        <v>1268</v>
      </c>
      <c r="L1635" s="2" t="str">
        <f t="shared" si="150"/>
        <v>Profitable</v>
      </c>
      <c r="M1635" s="2" t="str">
        <f t="shared" si="151"/>
        <v>High Volatility</v>
      </c>
      <c r="N1635" s="2" t="str">
        <f t="shared" si="152"/>
        <v>Low Quality</v>
      </c>
      <c r="O1635" s="4" t="str">
        <f t="shared" si="153"/>
        <v>Operational Growth</v>
      </c>
      <c r="P1635" s="4" t="str">
        <f t="shared" si="154"/>
        <v>Low Quality</v>
      </c>
      <c r="Q1635" s="4" t="str">
        <f t="shared" si="155"/>
        <v>Moderate Growth</v>
      </c>
    </row>
    <row r="1636" spans="1:17" x14ac:dyDescent="0.35">
      <c r="A1636" s="2" t="s">
        <v>1647</v>
      </c>
      <c r="B1636" s="2">
        <v>5</v>
      </c>
      <c r="C1636" s="2">
        <v>1311228421</v>
      </c>
      <c r="D1636" s="2">
        <v>1</v>
      </c>
      <c r="E1636" s="2">
        <v>182436224.40000001</v>
      </c>
      <c r="F1636" s="2">
        <v>88088164</v>
      </c>
      <c r="G1636" s="2">
        <v>2</v>
      </c>
      <c r="H1636" s="2">
        <v>4</v>
      </c>
      <c r="I1636" s="2">
        <v>2</v>
      </c>
      <c r="J1636" s="2">
        <v>2.6</v>
      </c>
      <c r="K1636" s="2" t="s">
        <v>1268</v>
      </c>
      <c r="L1636" s="2" t="str">
        <f t="shared" si="150"/>
        <v>Profitable</v>
      </c>
      <c r="M1636" s="2" t="str">
        <f t="shared" si="151"/>
        <v>High Volatility</v>
      </c>
      <c r="N1636" s="2" t="str">
        <f t="shared" si="152"/>
        <v>Low Quality</v>
      </c>
      <c r="O1636" s="4" t="str">
        <f t="shared" si="153"/>
        <v>Operational Growth</v>
      </c>
      <c r="P1636" s="4" t="str">
        <f t="shared" si="154"/>
        <v>Low Quality</v>
      </c>
      <c r="Q1636" s="4" t="str">
        <f t="shared" si="155"/>
        <v>Moderate Growth</v>
      </c>
    </row>
    <row r="1637" spans="1:17" x14ac:dyDescent="0.35">
      <c r="A1637" s="2" t="s">
        <v>1648</v>
      </c>
      <c r="B1637" s="2">
        <v>5</v>
      </c>
      <c r="C1637" s="2">
        <v>744371763.60000002</v>
      </c>
      <c r="D1637" s="2">
        <v>1</v>
      </c>
      <c r="E1637" s="2">
        <v>204605854.59999999</v>
      </c>
      <c r="F1637" s="2">
        <v>75145071</v>
      </c>
      <c r="G1637" s="2">
        <v>2</v>
      </c>
      <c r="H1637" s="2">
        <v>4</v>
      </c>
      <c r="I1637" s="2">
        <v>2</v>
      </c>
      <c r="J1637" s="2">
        <v>2.6</v>
      </c>
      <c r="K1637" s="2" t="s">
        <v>1268</v>
      </c>
      <c r="L1637" s="2" t="str">
        <f t="shared" si="150"/>
        <v>Profitable</v>
      </c>
      <c r="M1637" s="2" t="str">
        <f t="shared" si="151"/>
        <v>High Volatility</v>
      </c>
      <c r="N1637" s="2" t="str">
        <f t="shared" si="152"/>
        <v>Low Quality</v>
      </c>
      <c r="O1637" s="4" t="str">
        <f t="shared" si="153"/>
        <v>Operational Growth</v>
      </c>
      <c r="P1637" s="4" t="str">
        <f t="shared" si="154"/>
        <v>Low Quality</v>
      </c>
      <c r="Q1637" s="4" t="str">
        <f t="shared" si="155"/>
        <v>Moderate Growth</v>
      </c>
    </row>
    <row r="1638" spans="1:17" x14ac:dyDescent="0.35">
      <c r="A1638" s="2" t="s">
        <v>1649</v>
      </c>
      <c r="B1638" s="2">
        <v>5</v>
      </c>
      <c r="C1638" s="2">
        <v>731611711.79999995</v>
      </c>
      <c r="D1638" s="2">
        <v>1</v>
      </c>
      <c r="E1638" s="2">
        <v>237179888.90000001</v>
      </c>
      <c r="F1638" s="2">
        <v>99622892.700000003</v>
      </c>
      <c r="G1638" s="2">
        <v>2</v>
      </c>
      <c r="H1638" s="2">
        <v>4</v>
      </c>
      <c r="I1638" s="2">
        <v>2</v>
      </c>
      <c r="J1638" s="2">
        <v>2.6</v>
      </c>
      <c r="K1638" s="2" t="s">
        <v>1268</v>
      </c>
      <c r="L1638" s="2" t="str">
        <f t="shared" si="150"/>
        <v>Profitable</v>
      </c>
      <c r="M1638" s="2" t="str">
        <f t="shared" si="151"/>
        <v>High Volatility</v>
      </c>
      <c r="N1638" s="2" t="str">
        <f t="shared" si="152"/>
        <v>Low Quality</v>
      </c>
      <c r="O1638" s="4" t="str">
        <f t="shared" si="153"/>
        <v>Operational Growth</v>
      </c>
      <c r="P1638" s="4" t="str">
        <f t="shared" si="154"/>
        <v>Low Quality</v>
      </c>
      <c r="Q1638" s="4" t="str">
        <f t="shared" si="155"/>
        <v>Moderate Growth</v>
      </c>
    </row>
    <row r="1639" spans="1:17" x14ac:dyDescent="0.35">
      <c r="A1639" s="2" t="s">
        <v>1650</v>
      </c>
      <c r="B1639" s="2">
        <v>5</v>
      </c>
      <c r="C1639" s="2">
        <v>1677220380</v>
      </c>
      <c r="D1639" s="2">
        <v>1</v>
      </c>
      <c r="E1639" s="2">
        <v>296729727</v>
      </c>
      <c r="F1639" s="2">
        <v>101001003</v>
      </c>
      <c r="G1639" s="2">
        <v>2</v>
      </c>
      <c r="H1639" s="2">
        <v>4</v>
      </c>
      <c r="I1639" s="2">
        <v>2</v>
      </c>
      <c r="J1639" s="2">
        <v>2.6</v>
      </c>
      <c r="K1639" s="2" t="s">
        <v>1268</v>
      </c>
      <c r="L1639" s="2" t="str">
        <f t="shared" si="150"/>
        <v>Profitable</v>
      </c>
      <c r="M1639" s="2" t="str">
        <f t="shared" si="151"/>
        <v>High Volatility</v>
      </c>
      <c r="N1639" s="2" t="str">
        <f t="shared" si="152"/>
        <v>Low Quality</v>
      </c>
      <c r="O1639" s="4" t="str">
        <f t="shared" si="153"/>
        <v>Operational Growth</v>
      </c>
      <c r="P1639" s="4" t="str">
        <f t="shared" si="154"/>
        <v>Low Quality</v>
      </c>
      <c r="Q1639" s="4" t="str">
        <f t="shared" si="155"/>
        <v>Moderate Growth</v>
      </c>
    </row>
    <row r="1640" spans="1:17" x14ac:dyDescent="0.35">
      <c r="A1640" s="2" t="s">
        <v>1651</v>
      </c>
      <c r="B1640" s="2">
        <v>5</v>
      </c>
      <c r="C1640" s="2">
        <v>319806451.69999999</v>
      </c>
      <c r="D1640" s="2">
        <v>1</v>
      </c>
      <c r="E1640" s="2">
        <v>250779522.69999999</v>
      </c>
      <c r="F1640" s="2">
        <v>97019715.299999997</v>
      </c>
      <c r="G1640" s="2">
        <v>2</v>
      </c>
      <c r="H1640" s="2">
        <v>4</v>
      </c>
      <c r="I1640" s="2">
        <v>2</v>
      </c>
      <c r="J1640" s="2">
        <v>2.6</v>
      </c>
      <c r="K1640" s="2" t="s">
        <v>1268</v>
      </c>
      <c r="L1640" s="2" t="str">
        <f t="shared" si="150"/>
        <v>Profitable</v>
      </c>
      <c r="M1640" s="2" t="str">
        <f t="shared" si="151"/>
        <v>Stable Earnings</v>
      </c>
      <c r="N1640" s="2" t="str">
        <f t="shared" si="152"/>
        <v>Low Quality</v>
      </c>
      <c r="O1640" s="4" t="str">
        <f t="shared" si="153"/>
        <v>Operational Growth</v>
      </c>
      <c r="P1640" s="4" t="str">
        <f t="shared" si="154"/>
        <v>Low Quality</v>
      </c>
      <c r="Q1640" s="4" t="str">
        <f t="shared" si="155"/>
        <v>Moderate Growth</v>
      </c>
    </row>
    <row r="1641" spans="1:17" x14ac:dyDescent="0.35">
      <c r="A1641" s="2" t="s">
        <v>1652</v>
      </c>
      <c r="B1641" s="2">
        <v>5</v>
      </c>
      <c r="C1641" s="2">
        <v>211330675.19999999</v>
      </c>
      <c r="D1641" s="2">
        <v>1</v>
      </c>
      <c r="E1641" s="2">
        <v>130323407.8</v>
      </c>
      <c r="F1641" s="2">
        <v>105362610.7</v>
      </c>
      <c r="G1641" s="2">
        <v>2</v>
      </c>
      <c r="H1641" s="2">
        <v>4</v>
      </c>
      <c r="I1641" s="2">
        <v>2</v>
      </c>
      <c r="J1641" s="2">
        <v>2.6</v>
      </c>
      <c r="K1641" s="2" t="s">
        <v>1268</v>
      </c>
      <c r="L1641" s="2" t="str">
        <f t="shared" si="150"/>
        <v>Profitable</v>
      </c>
      <c r="M1641" s="2" t="str">
        <f t="shared" si="151"/>
        <v>Stable Earnings</v>
      </c>
      <c r="N1641" s="2" t="str">
        <f t="shared" si="152"/>
        <v>Low Quality</v>
      </c>
      <c r="O1641" s="4" t="str">
        <f t="shared" si="153"/>
        <v>Operational Growth</v>
      </c>
      <c r="P1641" s="4" t="str">
        <f t="shared" si="154"/>
        <v>Low Quality</v>
      </c>
      <c r="Q1641" s="4" t="str">
        <f t="shared" si="155"/>
        <v>Moderate Growth</v>
      </c>
    </row>
    <row r="1642" spans="1:17" x14ac:dyDescent="0.35">
      <c r="A1642" s="2" t="s">
        <v>1653</v>
      </c>
      <c r="B1642" s="2">
        <v>5</v>
      </c>
      <c r="C1642" s="2">
        <v>494986104.10000002</v>
      </c>
      <c r="D1642" s="2">
        <v>1</v>
      </c>
      <c r="E1642" s="2">
        <v>182841730.59999999</v>
      </c>
      <c r="F1642" s="2">
        <v>120895991.09999999</v>
      </c>
      <c r="G1642" s="2">
        <v>2</v>
      </c>
      <c r="H1642" s="2">
        <v>4</v>
      </c>
      <c r="I1642" s="2">
        <v>2</v>
      </c>
      <c r="J1642" s="2">
        <v>2.6</v>
      </c>
      <c r="K1642" s="2" t="s">
        <v>1268</v>
      </c>
      <c r="L1642" s="2" t="str">
        <f t="shared" si="150"/>
        <v>Profitable</v>
      </c>
      <c r="M1642" s="2" t="str">
        <f t="shared" si="151"/>
        <v>Stable Earnings</v>
      </c>
      <c r="N1642" s="2" t="str">
        <f t="shared" si="152"/>
        <v>Low Quality</v>
      </c>
      <c r="O1642" s="4" t="str">
        <f t="shared" si="153"/>
        <v>Operational Growth</v>
      </c>
      <c r="P1642" s="4" t="str">
        <f t="shared" si="154"/>
        <v>Low Quality</v>
      </c>
      <c r="Q1642" s="4" t="str">
        <f t="shared" si="155"/>
        <v>Moderate Growth</v>
      </c>
    </row>
    <row r="1643" spans="1:17" x14ac:dyDescent="0.35">
      <c r="A1643" s="2" t="s">
        <v>1654</v>
      </c>
      <c r="B1643" s="2">
        <v>5</v>
      </c>
      <c r="C1643" s="2">
        <v>185037864.40000001</v>
      </c>
      <c r="D1643" s="2">
        <v>1</v>
      </c>
      <c r="E1643" s="2">
        <v>121363114.7</v>
      </c>
      <c r="F1643" s="2">
        <v>112881664.2</v>
      </c>
      <c r="G1643" s="2">
        <v>2</v>
      </c>
      <c r="H1643" s="2">
        <v>4</v>
      </c>
      <c r="I1643" s="2">
        <v>2</v>
      </c>
      <c r="J1643" s="2">
        <v>2.6</v>
      </c>
      <c r="K1643" s="2" t="s">
        <v>1268</v>
      </c>
      <c r="L1643" s="2" t="str">
        <f t="shared" si="150"/>
        <v>Profitable</v>
      </c>
      <c r="M1643" s="2" t="str">
        <f t="shared" si="151"/>
        <v>Stable Earnings</v>
      </c>
      <c r="N1643" s="2" t="str">
        <f t="shared" si="152"/>
        <v>Low Quality</v>
      </c>
      <c r="O1643" s="4" t="str">
        <f t="shared" si="153"/>
        <v>Operational Growth</v>
      </c>
      <c r="P1643" s="4" t="str">
        <f t="shared" si="154"/>
        <v>Low Quality</v>
      </c>
      <c r="Q1643" s="4" t="str">
        <f t="shared" si="155"/>
        <v>Moderate Growth</v>
      </c>
    </row>
    <row r="1644" spans="1:17" x14ac:dyDescent="0.35">
      <c r="A1644" s="2" t="s">
        <v>1655</v>
      </c>
      <c r="B1644" s="2">
        <v>5</v>
      </c>
      <c r="C1644" s="2">
        <v>747685696.89999998</v>
      </c>
      <c r="D1644" s="2">
        <v>1</v>
      </c>
      <c r="E1644" s="2">
        <v>185233241.30000001</v>
      </c>
      <c r="F1644" s="2">
        <v>112415331.5</v>
      </c>
      <c r="G1644" s="2">
        <v>2</v>
      </c>
      <c r="H1644" s="2">
        <v>4</v>
      </c>
      <c r="I1644" s="2">
        <v>2</v>
      </c>
      <c r="J1644" s="2">
        <v>2.6</v>
      </c>
      <c r="K1644" s="2" t="s">
        <v>1268</v>
      </c>
      <c r="L1644" s="2" t="str">
        <f t="shared" si="150"/>
        <v>Profitable</v>
      </c>
      <c r="M1644" s="2" t="str">
        <f t="shared" si="151"/>
        <v>High Volatility</v>
      </c>
      <c r="N1644" s="2" t="str">
        <f t="shared" si="152"/>
        <v>Low Quality</v>
      </c>
      <c r="O1644" s="4" t="str">
        <f t="shared" si="153"/>
        <v>Operational Growth</v>
      </c>
      <c r="P1644" s="4" t="str">
        <f t="shared" si="154"/>
        <v>Low Quality</v>
      </c>
      <c r="Q1644" s="4" t="str">
        <f t="shared" si="155"/>
        <v>Moderate Growth</v>
      </c>
    </row>
    <row r="1645" spans="1:17" x14ac:dyDescent="0.35">
      <c r="A1645" s="2" t="s">
        <v>1656</v>
      </c>
      <c r="B1645" s="2">
        <v>5</v>
      </c>
      <c r="C1645" s="2">
        <v>91231702.480000004</v>
      </c>
      <c r="D1645" s="2">
        <v>0.8</v>
      </c>
      <c r="E1645" s="2">
        <v>113858156.59999999</v>
      </c>
      <c r="F1645" s="2">
        <v>111919431</v>
      </c>
      <c r="G1645" s="2">
        <v>2</v>
      </c>
      <c r="H1645" s="2">
        <v>4</v>
      </c>
      <c r="I1645" s="2">
        <v>2</v>
      </c>
      <c r="J1645" s="2">
        <v>2.6</v>
      </c>
      <c r="K1645" s="2" t="s">
        <v>1268</v>
      </c>
      <c r="L1645" s="2" t="str">
        <f t="shared" si="150"/>
        <v>Profitable</v>
      </c>
      <c r="M1645" s="2" t="str">
        <f t="shared" si="151"/>
        <v>Stable Earnings</v>
      </c>
      <c r="N1645" s="2" t="str">
        <f t="shared" si="152"/>
        <v>Low Quality</v>
      </c>
      <c r="O1645" s="4" t="str">
        <f t="shared" si="153"/>
        <v>Operational Growth</v>
      </c>
      <c r="P1645" s="4" t="str">
        <f t="shared" si="154"/>
        <v>Low Quality</v>
      </c>
      <c r="Q1645" s="4" t="str">
        <f t="shared" si="155"/>
        <v>Moderate Growth</v>
      </c>
    </row>
    <row r="1646" spans="1:17" x14ac:dyDescent="0.35">
      <c r="A1646" s="2" t="s">
        <v>1657</v>
      </c>
      <c r="B1646" s="2">
        <v>5</v>
      </c>
      <c r="C1646" s="2">
        <v>372375396.30000001</v>
      </c>
      <c r="D1646" s="2">
        <v>1</v>
      </c>
      <c r="E1646" s="2">
        <v>143073129.59999999</v>
      </c>
      <c r="F1646" s="2">
        <v>127134272.40000001</v>
      </c>
      <c r="G1646" s="2">
        <v>2</v>
      </c>
      <c r="H1646" s="2">
        <v>4</v>
      </c>
      <c r="I1646" s="2">
        <v>2</v>
      </c>
      <c r="J1646" s="2">
        <v>2.6</v>
      </c>
      <c r="K1646" s="2" t="s">
        <v>1268</v>
      </c>
      <c r="L1646" s="2" t="str">
        <f t="shared" si="150"/>
        <v>Profitable</v>
      </c>
      <c r="M1646" s="2" t="str">
        <f t="shared" si="151"/>
        <v>Stable Earnings</v>
      </c>
      <c r="N1646" s="2" t="str">
        <f t="shared" si="152"/>
        <v>Low Quality</v>
      </c>
      <c r="O1646" s="4" t="str">
        <f t="shared" si="153"/>
        <v>Operational Growth</v>
      </c>
      <c r="P1646" s="4" t="str">
        <f t="shared" si="154"/>
        <v>Low Quality</v>
      </c>
      <c r="Q1646" s="4" t="str">
        <f t="shared" si="155"/>
        <v>Moderate Growth</v>
      </c>
    </row>
    <row r="1647" spans="1:17" x14ac:dyDescent="0.35">
      <c r="A1647" s="2" t="s">
        <v>1658</v>
      </c>
      <c r="B1647" s="2">
        <v>5</v>
      </c>
      <c r="C1647" s="2">
        <v>15917774.539999999</v>
      </c>
      <c r="D1647" s="2">
        <v>0.8</v>
      </c>
      <c r="E1647" s="2">
        <v>327069040.39999998</v>
      </c>
      <c r="F1647" s="2">
        <v>126438067.59999999</v>
      </c>
      <c r="G1647" s="2">
        <v>2</v>
      </c>
      <c r="H1647" s="2">
        <v>4</v>
      </c>
      <c r="I1647" s="2">
        <v>2</v>
      </c>
      <c r="J1647" s="2">
        <v>2.6</v>
      </c>
      <c r="K1647" s="2" t="s">
        <v>1268</v>
      </c>
      <c r="L1647" s="2" t="str">
        <f t="shared" si="150"/>
        <v>Profitable</v>
      </c>
      <c r="M1647" s="2" t="str">
        <f t="shared" si="151"/>
        <v>Stable Earnings</v>
      </c>
      <c r="N1647" s="2" t="str">
        <f t="shared" si="152"/>
        <v>Low Quality</v>
      </c>
      <c r="O1647" s="4" t="str">
        <f t="shared" si="153"/>
        <v>Operational Growth</v>
      </c>
      <c r="P1647" s="4" t="str">
        <f t="shared" si="154"/>
        <v>Low Quality</v>
      </c>
      <c r="Q1647" s="4" t="str">
        <f t="shared" si="155"/>
        <v>Moderate Growth</v>
      </c>
    </row>
    <row r="1648" spans="1:17" x14ac:dyDescent="0.35">
      <c r="A1648" s="2" t="s">
        <v>1659</v>
      </c>
      <c r="B1648" s="2">
        <v>5</v>
      </c>
      <c r="C1648" s="2">
        <v>17510886.699999999</v>
      </c>
      <c r="D1648" s="2">
        <v>0.8</v>
      </c>
      <c r="E1648" s="2">
        <v>34571985.560000002</v>
      </c>
      <c r="F1648" s="2">
        <v>76261486.900000006</v>
      </c>
      <c r="G1648" s="2">
        <v>3</v>
      </c>
      <c r="H1648" s="2">
        <v>2</v>
      </c>
      <c r="I1648" s="2">
        <v>2</v>
      </c>
      <c r="J1648" s="2">
        <v>2.5</v>
      </c>
      <c r="K1648" s="2" t="s">
        <v>1268</v>
      </c>
      <c r="L1648" s="2" t="str">
        <f t="shared" si="150"/>
        <v>Profitable</v>
      </c>
      <c r="M1648" s="2" t="str">
        <f t="shared" si="151"/>
        <v>Stable Earnings</v>
      </c>
      <c r="N1648" s="2" t="str">
        <f t="shared" si="152"/>
        <v>Low Quality</v>
      </c>
      <c r="O1648" s="4" t="str">
        <f t="shared" si="153"/>
        <v>Operational Growth</v>
      </c>
      <c r="P1648" s="4" t="str">
        <f t="shared" si="154"/>
        <v>Low Quality</v>
      </c>
      <c r="Q1648" s="4" t="str">
        <f t="shared" si="155"/>
        <v>Moderate Growth</v>
      </c>
    </row>
    <row r="1649" spans="1:17" x14ac:dyDescent="0.35">
      <c r="A1649" s="2" t="s">
        <v>1660</v>
      </c>
      <c r="B1649" s="2">
        <v>5</v>
      </c>
      <c r="C1649" s="2">
        <v>26783213.140000001</v>
      </c>
      <c r="D1649" s="2">
        <v>0.8</v>
      </c>
      <c r="E1649" s="2">
        <v>44154236.460000001</v>
      </c>
      <c r="F1649" s="2">
        <v>77974532.400000006</v>
      </c>
      <c r="G1649" s="2">
        <v>3</v>
      </c>
      <c r="H1649" s="2">
        <v>2</v>
      </c>
      <c r="I1649" s="2">
        <v>2</v>
      </c>
      <c r="J1649" s="2">
        <v>2.5</v>
      </c>
      <c r="K1649" s="2" t="s">
        <v>1268</v>
      </c>
      <c r="L1649" s="2" t="str">
        <f t="shared" si="150"/>
        <v>Profitable</v>
      </c>
      <c r="M1649" s="2" t="str">
        <f t="shared" si="151"/>
        <v>Stable Earnings</v>
      </c>
      <c r="N1649" s="2" t="str">
        <f t="shared" si="152"/>
        <v>Low Quality</v>
      </c>
      <c r="O1649" s="4" t="str">
        <f t="shared" si="153"/>
        <v>Operational Growth</v>
      </c>
      <c r="P1649" s="4" t="str">
        <f t="shared" si="154"/>
        <v>Low Quality</v>
      </c>
      <c r="Q1649" s="4" t="str">
        <f t="shared" si="155"/>
        <v>Moderate Growth</v>
      </c>
    </row>
    <row r="1650" spans="1:17" x14ac:dyDescent="0.35">
      <c r="A1650" s="2" t="s">
        <v>1661</v>
      </c>
      <c r="B1650" s="2">
        <v>5</v>
      </c>
      <c r="C1650" s="2">
        <v>31311317.879999999</v>
      </c>
      <c r="D1650" s="2">
        <v>0.8</v>
      </c>
      <c r="E1650" s="2">
        <v>32819673.34</v>
      </c>
      <c r="F1650" s="2">
        <v>82279294.700000003</v>
      </c>
      <c r="G1650" s="2">
        <v>3</v>
      </c>
      <c r="H1650" s="2">
        <v>2</v>
      </c>
      <c r="I1650" s="2">
        <v>2</v>
      </c>
      <c r="J1650" s="2">
        <v>2.5</v>
      </c>
      <c r="K1650" s="2" t="s">
        <v>1268</v>
      </c>
      <c r="L1650" s="2" t="str">
        <f t="shared" si="150"/>
        <v>Profitable</v>
      </c>
      <c r="M1650" s="2" t="str">
        <f t="shared" si="151"/>
        <v>Stable Earnings</v>
      </c>
      <c r="N1650" s="2" t="str">
        <f t="shared" si="152"/>
        <v>Low Quality</v>
      </c>
      <c r="O1650" s="4" t="str">
        <f t="shared" si="153"/>
        <v>Operational Growth</v>
      </c>
      <c r="P1650" s="4" t="str">
        <f t="shared" si="154"/>
        <v>Low Quality</v>
      </c>
      <c r="Q1650" s="4" t="str">
        <f t="shared" si="155"/>
        <v>Moderate Growth</v>
      </c>
    </row>
    <row r="1651" spans="1:17" x14ac:dyDescent="0.35">
      <c r="A1651" s="2" t="s">
        <v>1662</v>
      </c>
      <c r="B1651" s="2">
        <v>5</v>
      </c>
      <c r="C1651" s="2">
        <v>26318132.699999999</v>
      </c>
      <c r="D1651" s="2">
        <v>0.8</v>
      </c>
      <c r="E1651" s="2">
        <v>37327583.68</v>
      </c>
      <c r="F1651" s="2">
        <v>94009736</v>
      </c>
      <c r="G1651" s="2">
        <v>3</v>
      </c>
      <c r="H1651" s="2">
        <v>2</v>
      </c>
      <c r="I1651" s="2">
        <v>2</v>
      </c>
      <c r="J1651" s="2">
        <v>2.5</v>
      </c>
      <c r="K1651" s="2" t="s">
        <v>1268</v>
      </c>
      <c r="L1651" s="2" t="str">
        <f t="shared" si="150"/>
        <v>Profitable</v>
      </c>
      <c r="M1651" s="2" t="str">
        <f t="shared" si="151"/>
        <v>Stable Earnings</v>
      </c>
      <c r="N1651" s="2" t="str">
        <f t="shared" si="152"/>
        <v>Low Quality</v>
      </c>
      <c r="O1651" s="4" t="str">
        <f t="shared" si="153"/>
        <v>Operational Growth</v>
      </c>
      <c r="P1651" s="4" t="str">
        <f t="shared" si="154"/>
        <v>Low Quality</v>
      </c>
      <c r="Q1651" s="4" t="str">
        <f t="shared" si="155"/>
        <v>Moderate Growth</v>
      </c>
    </row>
    <row r="1652" spans="1:17" x14ac:dyDescent="0.35">
      <c r="A1652" s="2" t="s">
        <v>1663</v>
      </c>
      <c r="B1652" s="2">
        <v>5</v>
      </c>
      <c r="C1652" s="2">
        <v>18331415.719999999</v>
      </c>
      <c r="D1652" s="2">
        <v>0.6</v>
      </c>
      <c r="E1652" s="2">
        <v>43316817.509999998</v>
      </c>
      <c r="F1652" s="2">
        <v>92153437.700000003</v>
      </c>
      <c r="G1652" s="2">
        <v>3</v>
      </c>
      <c r="H1652" s="2">
        <v>2</v>
      </c>
      <c r="I1652" s="2">
        <v>2</v>
      </c>
      <c r="J1652" s="2">
        <v>2.5</v>
      </c>
      <c r="K1652" s="2" t="s">
        <v>1268</v>
      </c>
      <c r="L1652" s="2" t="str">
        <f t="shared" si="150"/>
        <v>Profitable</v>
      </c>
      <c r="M1652" s="2" t="str">
        <f t="shared" si="151"/>
        <v>Stable Earnings</v>
      </c>
      <c r="N1652" s="2" t="str">
        <f t="shared" si="152"/>
        <v>Low Quality</v>
      </c>
      <c r="O1652" s="4" t="str">
        <f t="shared" si="153"/>
        <v>Accounting Risk</v>
      </c>
      <c r="P1652" s="4" t="str">
        <f t="shared" si="154"/>
        <v>Low Quality</v>
      </c>
      <c r="Q1652" s="4" t="str">
        <f t="shared" si="155"/>
        <v>Moderate Growth</v>
      </c>
    </row>
    <row r="1653" spans="1:17" x14ac:dyDescent="0.35">
      <c r="A1653" s="2" t="s">
        <v>1664</v>
      </c>
      <c r="B1653" s="2">
        <v>5</v>
      </c>
      <c r="C1653" s="2">
        <v>25768366.739999998</v>
      </c>
      <c r="D1653" s="2">
        <v>0.6</v>
      </c>
      <c r="E1653" s="2">
        <v>35306407.960000001</v>
      </c>
      <c r="F1653" s="2">
        <v>49707645.700000003</v>
      </c>
      <c r="G1653" s="2">
        <v>3</v>
      </c>
      <c r="H1653" s="2">
        <v>2</v>
      </c>
      <c r="I1653" s="2">
        <v>2</v>
      </c>
      <c r="J1653" s="2">
        <v>2.5</v>
      </c>
      <c r="K1653" s="2" t="s">
        <v>1268</v>
      </c>
      <c r="L1653" s="2" t="str">
        <f t="shared" si="150"/>
        <v>Profitable</v>
      </c>
      <c r="M1653" s="2" t="str">
        <f t="shared" si="151"/>
        <v>Stable Earnings</v>
      </c>
      <c r="N1653" s="2" t="str">
        <f t="shared" si="152"/>
        <v>Low Quality</v>
      </c>
      <c r="O1653" s="4" t="str">
        <f t="shared" si="153"/>
        <v>Accounting Risk</v>
      </c>
      <c r="P1653" s="4" t="str">
        <f t="shared" si="154"/>
        <v>Low Quality</v>
      </c>
      <c r="Q1653" s="4" t="str">
        <f t="shared" si="155"/>
        <v>Moderate Growth</v>
      </c>
    </row>
    <row r="1654" spans="1:17" x14ac:dyDescent="0.35">
      <c r="A1654" s="2" t="s">
        <v>1665</v>
      </c>
      <c r="B1654" s="2">
        <v>5</v>
      </c>
      <c r="C1654" s="2">
        <v>-3764746.06</v>
      </c>
      <c r="D1654" s="2">
        <v>0.6</v>
      </c>
      <c r="E1654" s="2">
        <v>24969321.710000001</v>
      </c>
      <c r="F1654" s="2">
        <v>46900730.100000001</v>
      </c>
      <c r="G1654" s="2">
        <v>3</v>
      </c>
      <c r="H1654" s="2">
        <v>2</v>
      </c>
      <c r="I1654" s="2">
        <v>2</v>
      </c>
      <c r="J1654" s="2">
        <v>2.5</v>
      </c>
      <c r="K1654" s="2" t="s">
        <v>1268</v>
      </c>
      <c r="L1654" s="2" t="str">
        <f t="shared" si="150"/>
        <v>Loss Making</v>
      </c>
      <c r="M1654" s="2" t="str">
        <f t="shared" si="151"/>
        <v>Stable Earnings</v>
      </c>
      <c r="N1654" s="2" t="str">
        <f t="shared" si="152"/>
        <v>Low Quality</v>
      </c>
      <c r="O1654" s="4" t="str">
        <f t="shared" si="153"/>
        <v>Accounting Risk</v>
      </c>
      <c r="P1654" s="4" t="str">
        <f t="shared" si="154"/>
        <v>Low Quality</v>
      </c>
      <c r="Q1654" s="4" t="str">
        <f t="shared" si="155"/>
        <v>Moderate Growth</v>
      </c>
    </row>
    <row r="1655" spans="1:17" x14ac:dyDescent="0.35">
      <c r="A1655" s="2" t="s">
        <v>1666</v>
      </c>
      <c r="B1655" s="2">
        <v>5</v>
      </c>
      <c r="C1655" s="2">
        <v>36218784.539999999</v>
      </c>
      <c r="D1655" s="2">
        <v>0.8</v>
      </c>
      <c r="E1655" s="2">
        <v>38328276.57</v>
      </c>
      <c r="F1655" s="2">
        <v>46118449.299999997</v>
      </c>
      <c r="G1655" s="2">
        <v>3</v>
      </c>
      <c r="H1655" s="2">
        <v>2</v>
      </c>
      <c r="I1655" s="2">
        <v>2</v>
      </c>
      <c r="J1655" s="2">
        <v>2.5</v>
      </c>
      <c r="K1655" s="2" t="s">
        <v>1268</v>
      </c>
      <c r="L1655" s="2" t="str">
        <f t="shared" si="150"/>
        <v>Profitable</v>
      </c>
      <c r="M1655" s="2" t="str">
        <f t="shared" si="151"/>
        <v>Stable Earnings</v>
      </c>
      <c r="N1655" s="2" t="str">
        <f t="shared" si="152"/>
        <v>Low Quality</v>
      </c>
      <c r="O1655" s="4" t="str">
        <f t="shared" si="153"/>
        <v>Operational Growth</v>
      </c>
      <c r="P1655" s="4" t="str">
        <f t="shared" si="154"/>
        <v>Low Quality</v>
      </c>
      <c r="Q1655" s="4" t="str">
        <f t="shared" si="155"/>
        <v>Moderate Growth</v>
      </c>
    </row>
    <row r="1656" spans="1:17" x14ac:dyDescent="0.35">
      <c r="A1656" s="2" t="s">
        <v>1667</v>
      </c>
      <c r="B1656" s="2">
        <v>5</v>
      </c>
      <c r="C1656" s="2">
        <v>25506559.059999999</v>
      </c>
      <c r="D1656" s="2">
        <v>0.6</v>
      </c>
      <c r="E1656" s="2">
        <v>43906438.200000003</v>
      </c>
      <c r="F1656" s="2">
        <v>45585611.5</v>
      </c>
      <c r="G1656" s="2">
        <v>3</v>
      </c>
      <c r="H1656" s="2">
        <v>2</v>
      </c>
      <c r="I1656" s="2">
        <v>2</v>
      </c>
      <c r="J1656" s="2">
        <v>2.5</v>
      </c>
      <c r="K1656" s="2" t="s">
        <v>1268</v>
      </c>
      <c r="L1656" s="2" t="str">
        <f t="shared" si="150"/>
        <v>Profitable</v>
      </c>
      <c r="M1656" s="2" t="str">
        <f t="shared" si="151"/>
        <v>Stable Earnings</v>
      </c>
      <c r="N1656" s="2" t="str">
        <f t="shared" si="152"/>
        <v>Low Quality</v>
      </c>
      <c r="O1656" s="4" t="str">
        <f t="shared" si="153"/>
        <v>Accounting Risk</v>
      </c>
      <c r="P1656" s="4" t="str">
        <f t="shared" si="154"/>
        <v>Low Quality</v>
      </c>
      <c r="Q1656" s="4" t="str">
        <f t="shared" si="155"/>
        <v>Moderate Growth</v>
      </c>
    </row>
    <row r="1657" spans="1:17" x14ac:dyDescent="0.35">
      <c r="A1657" s="2" t="s">
        <v>1668</v>
      </c>
      <c r="B1657" s="2">
        <v>5</v>
      </c>
      <c r="C1657" s="2">
        <v>10975252.48</v>
      </c>
      <c r="D1657" s="2">
        <v>0.6</v>
      </c>
      <c r="E1657" s="2">
        <v>26340586.559999999</v>
      </c>
      <c r="F1657" s="2">
        <v>45336395.100000001</v>
      </c>
      <c r="G1657" s="2">
        <v>3</v>
      </c>
      <c r="H1657" s="2">
        <v>2</v>
      </c>
      <c r="I1657" s="2">
        <v>2</v>
      </c>
      <c r="J1657" s="2">
        <v>2.5</v>
      </c>
      <c r="K1657" s="2" t="s">
        <v>1268</v>
      </c>
      <c r="L1657" s="2" t="str">
        <f t="shared" si="150"/>
        <v>Profitable</v>
      </c>
      <c r="M1657" s="2" t="str">
        <f t="shared" si="151"/>
        <v>Stable Earnings</v>
      </c>
      <c r="N1657" s="2" t="str">
        <f t="shared" si="152"/>
        <v>Low Quality</v>
      </c>
      <c r="O1657" s="4" t="str">
        <f t="shared" si="153"/>
        <v>Accounting Risk</v>
      </c>
      <c r="P1657" s="4" t="str">
        <f t="shared" si="154"/>
        <v>Low Quality</v>
      </c>
      <c r="Q1657" s="4" t="str">
        <f t="shared" si="155"/>
        <v>Moderate Growth</v>
      </c>
    </row>
    <row r="1658" spans="1:17" x14ac:dyDescent="0.35">
      <c r="A1658" s="2" t="s">
        <v>1669</v>
      </c>
      <c r="B1658" s="2">
        <v>5</v>
      </c>
      <c r="C1658" s="2">
        <v>20851477.440000001</v>
      </c>
      <c r="D1658" s="2">
        <v>0.8</v>
      </c>
      <c r="E1658" s="2">
        <v>21898961.710000001</v>
      </c>
      <c r="F1658" s="2">
        <v>39588431.299999997</v>
      </c>
      <c r="G1658" s="2">
        <v>3</v>
      </c>
      <c r="H1658" s="2">
        <v>2</v>
      </c>
      <c r="I1658" s="2">
        <v>2</v>
      </c>
      <c r="J1658" s="2">
        <v>2.5</v>
      </c>
      <c r="K1658" s="2" t="s">
        <v>1268</v>
      </c>
      <c r="L1658" s="2" t="str">
        <f t="shared" si="150"/>
        <v>Profitable</v>
      </c>
      <c r="M1658" s="2" t="str">
        <f t="shared" si="151"/>
        <v>Stable Earnings</v>
      </c>
      <c r="N1658" s="2" t="str">
        <f t="shared" si="152"/>
        <v>Low Quality</v>
      </c>
      <c r="O1658" s="4" t="str">
        <f t="shared" si="153"/>
        <v>Operational Growth</v>
      </c>
      <c r="P1658" s="4" t="str">
        <f t="shared" si="154"/>
        <v>Low Quality</v>
      </c>
      <c r="Q1658" s="4" t="str">
        <f t="shared" si="155"/>
        <v>Moderate Growth</v>
      </c>
    </row>
    <row r="1659" spans="1:17" x14ac:dyDescent="0.35">
      <c r="A1659" s="2" t="s">
        <v>1670</v>
      </c>
      <c r="B1659" s="2">
        <v>5</v>
      </c>
      <c r="C1659" s="2">
        <v>19675737.239999998</v>
      </c>
      <c r="D1659" s="2">
        <v>0.8</v>
      </c>
      <c r="E1659" s="2">
        <v>23561689.579999998</v>
      </c>
      <c r="F1659" s="2">
        <v>38500884.899999999</v>
      </c>
      <c r="G1659" s="2">
        <v>3</v>
      </c>
      <c r="H1659" s="2">
        <v>2</v>
      </c>
      <c r="I1659" s="2">
        <v>2</v>
      </c>
      <c r="J1659" s="2">
        <v>2.5</v>
      </c>
      <c r="K1659" s="2" t="s">
        <v>1268</v>
      </c>
      <c r="L1659" s="2" t="str">
        <f t="shared" si="150"/>
        <v>Profitable</v>
      </c>
      <c r="M1659" s="2" t="str">
        <f t="shared" si="151"/>
        <v>Stable Earnings</v>
      </c>
      <c r="N1659" s="2" t="str">
        <f t="shared" si="152"/>
        <v>Low Quality</v>
      </c>
      <c r="O1659" s="4" t="str">
        <f t="shared" si="153"/>
        <v>Operational Growth</v>
      </c>
      <c r="P1659" s="4" t="str">
        <f t="shared" si="154"/>
        <v>Low Quality</v>
      </c>
      <c r="Q1659" s="4" t="str">
        <f t="shared" si="155"/>
        <v>Moderate Growth</v>
      </c>
    </row>
    <row r="1660" spans="1:17" x14ac:dyDescent="0.35">
      <c r="A1660" s="2" t="s">
        <v>1671</v>
      </c>
      <c r="B1660" s="2">
        <v>5</v>
      </c>
      <c r="C1660" s="2">
        <v>18088225.780000001</v>
      </c>
      <c r="D1660" s="2">
        <v>0.6</v>
      </c>
      <c r="E1660" s="2">
        <v>29037719.350000001</v>
      </c>
      <c r="F1660" s="2">
        <v>40698176.200000003</v>
      </c>
      <c r="G1660" s="2">
        <v>3</v>
      </c>
      <c r="H1660" s="2">
        <v>2</v>
      </c>
      <c r="I1660" s="2">
        <v>2</v>
      </c>
      <c r="J1660" s="2">
        <v>2.5</v>
      </c>
      <c r="K1660" s="2" t="s">
        <v>1268</v>
      </c>
      <c r="L1660" s="2" t="str">
        <f t="shared" si="150"/>
        <v>Profitable</v>
      </c>
      <c r="M1660" s="2" t="str">
        <f t="shared" si="151"/>
        <v>Stable Earnings</v>
      </c>
      <c r="N1660" s="2" t="str">
        <f t="shared" si="152"/>
        <v>Low Quality</v>
      </c>
      <c r="O1660" s="4" t="str">
        <f t="shared" si="153"/>
        <v>Accounting Risk</v>
      </c>
      <c r="P1660" s="4" t="str">
        <f t="shared" si="154"/>
        <v>Low Quality</v>
      </c>
      <c r="Q1660" s="4" t="str">
        <f t="shared" si="155"/>
        <v>Moderate Growth</v>
      </c>
    </row>
    <row r="1661" spans="1:17" x14ac:dyDescent="0.35">
      <c r="A1661" s="2" t="s">
        <v>1672</v>
      </c>
      <c r="B1661" s="2">
        <v>5</v>
      </c>
      <c r="C1661" s="2">
        <v>-14633696.5</v>
      </c>
      <c r="D1661" s="2">
        <v>0.6</v>
      </c>
      <c r="E1661" s="2">
        <v>37771581.829999998</v>
      </c>
      <c r="F1661" s="2">
        <v>62436057.399999999</v>
      </c>
      <c r="G1661" s="2">
        <v>3</v>
      </c>
      <c r="H1661" s="2">
        <v>2</v>
      </c>
      <c r="I1661" s="2">
        <v>2</v>
      </c>
      <c r="J1661" s="2">
        <v>2.5</v>
      </c>
      <c r="K1661" s="2" t="s">
        <v>1268</v>
      </c>
      <c r="L1661" s="2" t="str">
        <f t="shared" si="150"/>
        <v>Loss Making</v>
      </c>
      <c r="M1661" s="2" t="str">
        <f t="shared" si="151"/>
        <v>Stable Earnings</v>
      </c>
      <c r="N1661" s="2" t="str">
        <f t="shared" si="152"/>
        <v>Low Quality</v>
      </c>
      <c r="O1661" s="4" t="str">
        <f t="shared" si="153"/>
        <v>Accounting Risk</v>
      </c>
      <c r="P1661" s="4" t="str">
        <f t="shared" si="154"/>
        <v>Low Quality</v>
      </c>
      <c r="Q1661" s="4" t="str">
        <f t="shared" si="155"/>
        <v>Moderate Growth</v>
      </c>
    </row>
    <row r="1662" spans="1:17" x14ac:dyDescent="0.35">
      <c r="A1662" s="2" t="s">
        <v>1673</v>
      </c>
      <c r="B1662" s="2">
        <v>5</v>
      </c>
      <c r="C1662" s="2">
        <v>37920594.960000001</v>
      </c>
      <c r="D1662" s="2">
        <v>0.8</v>
      </c>
      <c r="E1662" s="2">
        <v>42402977.990000002</v>
      </c>
      <c r="F1662" s="2">
        <v>59033055.5</v>
      </c>
      <c r="G1662" s="2">
        <v>3</v>
      </c>
      <c r="H1662" s="2">
        <v>2</v>
      </c>
      <c r="I1662" s="2">
        <v>2</v>
      </c>
      <c r="J1662" s="2">
        <v>2.5</v>
      </c>
      <c r="K1662" s="2" t="s">
        <v>1268</v>
      </c>
      <c r="L1662" s="2" t="str">
        <f t="shared" si="150"/>
        <v>Profitable</v>
      </c>
      <c r="M1662" s="2" t="str">
        <f t="shared" si="151"/>
        <v>Stable Earnings</v>
      </c>
      <c r="N1662" s="2" t="str">
        <f t="shared" si="152"/>
        <v>Low Quality</v>
      </c>
      <c r="O1662" s="4" t="str">
        <f t="shared" si="153"/>
        <v>Operational Growth</v>
      </c>
      <c r="P1662" s="4" t="str">
        <f t="shared" si="154"/>
        <v>Low Quality</v>
      </c>
      <c r="Q1662" s="4" t="str">
        <f t="shared" si="155"/>
        <v>Moderate Growth</v>
      </c>
    </row>
    <row r="1663" spans="1:17" x14ac:dyDescent="0.35">
      <c r="A1663" s="2" t="s">
        <v>1674</v>
      </c>
      <c r="B1663" s="2">
        <v>5</v>
      </c>
      <c r="C1663" s="2">
        <v>16451348.1</v>
      </c>
      <c r="D1663" s="2">
        <v>0.6</v>
      </c>
      <c r="E1663" s="2">
        <v>25941666.640000001</v>
      </c>
      <c r="F1663" s="2">
        <v>32205444.699999999</v>
      </c>
      <c r="G1663" s="2">
        <v>3</v>
      </c>
      <c r="H1663" s="2">
        <v>2</v>
      </c>
      <c r="I1663" s="2">
        <v>2</v>
      </c>
      <c r="J1663" s="2">
        <v>2.5</v>
      </c>
      <c r="K1663" s="2" t="s">
        <v>1268</v>
      </c>
      <c r="L1663" s="2" t="str">
        <f t="shared" si="150"/>
        <v>Profitable</v>
      </c>
      <c r="M1663" s="2" t="str">
        <f t="shared" si="151"/>
        <v>Stable Earnings</v>
      </c>
      <c r="N1663" s="2" t="str">
        <f t="shared" si="152"/>
        <v>Low Quality</v>
      </c>
      <c r="O1663" s="4" t="str">
        <f t="shared" si="153"/>
        <v>Accounting Risk</v>
      </c>
      <c r="P1663" s="4" t="str">
        <f t="shared" si="154"/>
        <v>Low Quality</v>
      </c>
      <c r="Q1663" s="4" t="str">
        <f t="shared" si="155"/>
        <v>Moderate Growth</v>
      </c>
    </row>
    <row r="1664" spans="1:17" x14ac:dyDescent="0.35">
      <c r="A1664" s="2" t="s">
        <v>1675</v>
      </c>
      <c r="B1664" s="2">
        <v>5</v>
      </c>
      <c r="C1664" s="2">
        <v>27623920.859999999</v>
      </c>
      <c r="D1664" s="2">
        <v>0.8</v>
      </c>
      <c r="E1664" s="2">
        <v>36858005.700000003</v>
      </c>
      <c r="F1664" s="2">
        <v>32122973.399999999</v>
      </c>
      <c r="G1664" s="2">
        <v>3</v>
      </c>
      <c r="H1664" s="2">
        <v>2</v>
      </c>
      <c r="I1664" s="2">
        <v>2</v>
      </c>
      <c r="J1664" s="2">
        <v>2.5</v>
      </c>
      <c r="K1664" s="2" t="s">
        <v>1268</v>
      </c>
      <c r="L1664" s="2" t="str">
        <f t="shared" si="150"/>
        <v>Profitable</v>
      </c>
      <c r="M1664" s="2" t="str">
        <f t="shared" si="151"/>
        <v>Stable Earnings</v>
      </c>
      <c r="N1664" s="2" t="str">
        <f t="shared" si="152"/>
        <v>Low Quality</v>
      </c>
      <c r="O1664" s="4" t="str">
        <f t="shared" si="153"/>
        <v>Operational Growth</v>
      </c>
      <c r="P1664" s="4" t="str">
        <f t="shared" si="154"/>
        <v>Low Quality</v>
      </c>
      <c r="Q1664" s="4" t="str">
        <f t="shared" si="155"/>
        <v>Moderate Growth</v>
      </c>
    </row>
    <row r="1665" spans="1:17" x14ac:dyDescent="0.35">
      <c r="A1665" s="2" t="s">
        <v>1676</v>
      </c>
      <c r="B1665" s="2">
        <v>5</v>
      </c>
      <c r="C1665" s="2">
        <v>6122320.54</v>
      </c>
      <c r="D1665" s="2">
        <v>0.6</v>
      </c>
      <c r="E1665" s="2">
        <v>36042010.719999999</v>
      </c>
      <c r="F1665" s="2">
        <v>35578745</v>
      </c>
      <c r="G1665" s="2">
        <v>3</v>
      </c>
      <c r="H1665" s="2">
        <v>2</v>
      </c>
      <c r="I1665" s="2">
        <v>2</v>
      </c>
      <c r="J1665" s="2">
        <v>2.5</v>
      </c>
      <c r="K1665" s="2" t="s">
        <v>1268</v>
      </c>
      <c r="L1665" s="2" t="str">
        <f t="shared" si="150"/>
        <v>Profitable</v>
      </c>
      <c r="M1665" s="2" t="str">
        <f t="shared" si="151"/>
        <v>Stable Earnings</v>
      </c>
      <c r="N1665" s="2" t="str">
        <f t="shared" si="152"/>
        <v>Low Quality</v>
      </c>
      <c r="O1665" s="4" t="str">
        <f t="shared" si="153"/>
        <v>Accounting Risk</v>
      </c>
      <c r="P1665" s="4" t="str">
        <f t="shared" si="154"/>
        <v>Low Quality</v>
      </c>
      <c r="Q1665" s="4" t="str">
        <f t="shared" si="155"/>
        <v>Moderate Growth</v>
      </c>
    </row>
    <row r="1666" spans="1:17" x14ac:dyDescent="0.35">
      <c r="A1666" s="2" t="s">
        <v>1677</v>
      </c>
      <c r="B1666" s="2">
        <v>5</v>
      </c>
      <c r="C1666" s="2">
        <v>75850993.859999999</v>
      </c>
      <c r="D1666" s="2">
        <v>0.8</v>
      </c>
      <c r="E1666" s="2">
        <v>61898905.479999997</v>
      </c>
      <c r="F1666" s="2">
        <v>21392025.699999999</v>
      </c>
      <c r="G1666" s="2">
        <v>2</v>
      </c>
      <c r="H1666" s="2">
        <v>3</v>
      </c>
      <c r="I1666" s="2">
        <v>3</v>
      </c>
      <c r="J1666" s="2">
        <v>2.5</v>
      </c>
      <c r="K1666" s="2" t="s">
        <v>1268</v>
      </c>
      <c r="L1666" s="2" t="str">
        <f t="shared" ref="L1666:L1729" si="156">IF(C1666&gt;0,"Profitable","Loss Making")</f>
        <v>Profitable</v>
      </c>
      <c r="M1666" s="2" t="str">
        <f t="shared" ref="M1666:M1729" si="157">IF(C1666&gt;500000000,"High Volatility","Stable Earnings")</f>
        <v>Stable Earnings</v>
      </c>
      <c r="N1666" s="2" t="str">
        <f t="shared" ref="N1666:N1729" si="158">IF(G1666&gt;=7,"High Quality",IF(G1666&gt;=4,"Moderate","Low Quality"))</f>
        <v>Low Quality</v>
      </c>
      <c r="O1666" s="4" t="str">
        <f t="shared" ref="O1666:O1729" si="159">IF(AND(F1666&gt;0,D1666&gt;0.6),"Operational Growth","Accounting Risk")</f>
        <v>Operational Growth</v>
      </c>
      <c r="P1666" s="4" t="str">
        <f t="shared" ref="P1666:P1729" si="160">IF(G1666&gt;=7,"High Quality", IF(G1666&gt;=4,"Moderate","Low Quality"))</f>
        <v>Low Quality</v>
      </c>
      <c r="Q1666" s="4" t="str">
        <f t="shared" ref="Q1666:Q1729" si="161">IF(I1666&gt;=4,"Strong Long-Term Growth",IF(I1666&gt;=2,"Moderate Growth","Weak Growth"))</f>
        <v>Moderate Growth</v>
      </c>
    </row>
    <row r="1667" spans="1:17" x14ac:dyDescent="0.35">
      <c r="A1667" s="2" t="s">
        <v>1678</v>
      </c>
      <c r="B1667" s="2">
        <v>5</v>
      </c>
      <c r="C1667" s="2">
        <v>87551546.219999999</v>
      </c>
      <c r="D1667" s="2">
        <v>1</v>
      </c>
      <c r="E1667" s="2">
        <v>68459535.319999993</v>
      </c>
      <c r="F1667" s="2">
        <v>22123680.100000001</v>
      </c>
      <c r="G1667" s="2">
        <v>2</v>
      </c>
      <c r="H1667" s="2">
        <v>3</v>
      </c>
      <c r="I1667" s="2">
        <v>3</v>
      </c>
      <c r="J1667" s="2">
        <v>2.5</v>
      </c>
      <c r="K1667" s="2" t="s">
        <v>1268</v>
      </c>
      <c r="L1667" s="2" t="str">
        <f t="shared" si="156"/>
        <v>Profitable</v>
      </c>
      <c r="M1667" s="2" t="str">
        <f t="shared" si="157"/>
        <v>Stable Earnings</v>
      </c>
      <c r="N1667" s="2" t="str">
        <f t="shared" si="158"/>
        <v>Low Quality</v>
      </c>
      <c r="O1667" s="4" t="str">
        <f t="shared" si="159"/>
        <v>Operational Growth</v>
      </c>
      <c r="P1667" s="4" t="str">
        <f t="shared" si="160"/>
        <v>Low Quality</v>
      </c>
      <c r="Q1667" s="4" t="str">
        <f t="shared" si="161"/>
        <v>Moderate Growth</v>
      </c>
    </row>
    <row r="1668" spans="1:17" x14ac:dyDescent="0.35">
      <c r="A1668" s="2" t="s">
        <v>1679</v>
      </c>
      <c r="B1668" s="2">
        <v>5</v>
      </c>
      <c r="C1668" s="2">
        <v>197873859.59999999</v>
      </c>
      <c r="D1668" s="2">
        <v>1</v>
      </c>
      <c r="E1668" s="2">
        <v>71306927.239999995</v>
      </c>
      <c r="F1668" s="2">
        <v>24285584</v>
      </c>
      <c r="G1668" s="2">
        <v>2</v>
      </c>
      <c r="H1668" s="2">
        <v>3</v>
      </c>
      <c r="I1668" s="2">
        <v>3</v>
      </c>
      <c r="J1668" s="2">
        <v>2.5</v>
      </c>
      <c r="K1668" s="2" t="s">
        <v>1268</v>
      </c>
      <c r="L1668" s="2" t="str">
        <f t="shared" si="156"/>
        <v>Profitable</v>
      </c>
      <c r="M1668" s="2" t="str">
        <f t="shared" si="157"/>
        <v>Stable Earnings</v>
      </c>
      <c r="N1668" s="2" t="str">
        <f t="shared" si="158"/>
        <v>Low Quality</v>
      </c>
      <c r="O1668" s="4" t="str">
        <f t="shared" si="159"/>
        <v>Operational Growth</v>
      </c>
      <c r="P1668" s="4" t="str">
        <f t="shared" si="160"/>
        <v>Low Quality</v>
      </c>
      <c r="Q1668" s="4" t="str">
        <f t="shared" si="161"/>
        <v>Moderate Growth</v>
      </c>
    </row>
    <row r="1669" spans="1:17" x14ac:dyDescent="0.35">
      <c r="A1669" s="2" t="s">
        <v>1680</v>
      </c>
      <c r="B1669" s="2">
        <v>5</v>
      </c>
      <c r="C1669" s="2">
        <v>82890874.540000007</v>
      </c>
      <c r="D1669" s="2">
        <v>1</v>
      </c>
      <c r="E1669" s="2">
        <v>47221113.649999999</v>
      </c>
      <c r="F1669" s="2">
        <v>14184867.6</v>
      </c>
      <c r="G1669" s="2">
        <v>2</v>
      </c>
      <c r="H1669" s="2">
        <v>3</v>
      </c>
      <c r="I1669" s="2">
        <v>3</v>
      </c>
      <c r="J1669" s="2">
        <v>2.5</v>
      </c>
      <c r="K1669" s="2" t="s">
        <v>1268</v>
      </c>
      <c r="L1669" s="2" t="str">
        <f t="shared" si="156"/>
        <v>Profitable</v>
      </c>
      <c r="M1669" s="2" t="str">
        <f t="shared" si="157"/>
        <v>Stable Earnings</v>
      </c>
      <c r="N1669" s="2" t="str">
        <f t="shared" si="158"/>
        <v>Low Quality</v>
      </c>
      <c r="O1669" s="4" t="str">
        <f t="shared" si="159"/>
        <v>Operational Growth</v>
      </c>
      <c r="P1669" s="4" t="str">
        <f t="shared" si="160"/>
        <v>Low Quality</v>
      </c>
      <c r="Q1669" s="4" t="str">
        <f t="shared" si="161"/>
        <v>Moderate Growth</v>
      </c>
    </row>
    <row r="1670" spans="1:17" x14ac:dyDescent="0.35">
      <c r="A1670" s="2" t="s">
        <v>1681</v>
      </c>
      <c r="B1670" s="2">
        <v>5</v>
      </c>
      <c r="C1670" s="2">
        <v>76583457.180000007</v>
      </c>
      <c r="D1670" s="2">
        <v>1</v>
      </c>
      <c r="E1670" s="2">
        <v>99699750.459999993</v>
      </c>
      <c r="F1670" s="2">
        <v>15987135.9</v>
      </c>
      <c r="G1670" s="2">
        <v>2</v>
      </c>
      <c r="H1670" s="2">
        <v>3</v>
      </c>
      <c r="I1670" s="2">
        <v>3</v>
      </c>
      <c r="J1670" s="2">
        <v>2.5</v>
      </c>
      <c r="K1670" s="2" t="s">
        <v>1268</v>
      </c>
      <c r="L1670" s="2" t="str">
        <f t="shared" si="156"/>
        <v>Profitable</v>
      </c>
      <c r="M1670" s="2" t="str">
        <f t="shared" si="157"/>
        <v>Stable Earnings</v>
      </c>
      <c r="N1670" s="2" t="str">
        <f t="shared" si="158"/>
        <v>Low Quality</v>
      </c>
      <c r="O1670" s="4" t="str">
        <f t="shared" si="159"/>
        <v>Operational Growth</v>
      </c>
      <c r="P1670" s="4" t="str">
        <f t="shared" si="160"/>
        <v>Low Quality</v>
      </c>
      <c r="Q1670" s="4" t="str">
        <f t="shared" si="161"/>
        <v>Moderate Growth</v>
      </c>
    </row>
    <row r="1671" spans="1:17" x14ac:dyDescent="0.35">
      <c r="A1671" s="2" t="s">
        <v>1682</v>
      </c>
      <c r="B1671" s="2">
        <v>5</v>
      </c>
      <c r="C1671" s="2">
        <v>48578825.140000001</v>
      </c>
      <c r="D1671" s="2">
        <v>0.8</v>
      </c>
      <c r="E1671" s="2">
        <v>58440954.280000001</v>
      </c>
      <c r="F1671" s="2">
        <v>11436040.300000001</v>
      </c>
      <c r="G1671" s="2">
        <v>2</v>
      </c>
      <c r="H1671" s="2">
        <v>3</v>
      </c>
      <c r="I1671" s="2">
        <v>3</v>
      </c>
      <c r="J1671" s="2">
        <v>2.5</v>
      </c>
      <c r="K1671" s="2" t="s">
        <v>1268</v>
      </c>
      <c r="L1671" s="2" t="str">
        <f t="shared" si="156"/>
        <v>Profitable</v>
      </c>
      <c r="M1671" s="2" t="str">
        <f t="shared" si="157"/>
        <v>Stable Earnings</v>
      </c>
      <c r="N1671" s="2" t="str">
        <f t="shared" si="158"/>
        <v>Low Quality</v>
      </c>
      <c r="O1671" s="4" t="str">
        <f t="shared" si="159"/>
        <v>Operational Growth</v>
      </c>
      <c r="P1671" s="4" t="str">
        <f t="shared" si="160"/>
        <v>Low Quality</v>
      </c>
      <c r="Q1671" s="4" t="str">
        <f t="shared" si="161"/>
        <v>Moderate Growth</v>
      </c>
    </row>
    <row r="1672" spans="1:17" x14ac:dyDescent="0.35">
      <c r="A1672" s="2" t="s">
        <v>1683</v>
      </c>
      <c r="B1672" s="2">
        <v>5</v>
      </c>
      <c r="C1672" s="2">
        <v>363001873.5</v>
      </c>
      <c r="D1672" s="2">
        <v>1</v>
      </c>
      <c r="E1672" s="2">
        <v>49386924.439999998</v>
      </c>
      <c r="F1672" s="2">
        <v>11151342.4</v>
      </c>
      <c r="G1672" s="2">
        <v>2</v>
      </c>
      <c r="H1672" s="2">
        <v>3</v>
      </c>
      <c r="I1672" s="2">
        <v>3</v>
      </c>
      <c r="J1672" s="2">
        <v>2.5</v>
      </c>
      <c r="K1672" s="2" t="s">
        <v>1268</v>
      </c>
      <c r="L1672" s="2" t="str">
        <f t="shared" si="156"/>
        <v>Profitable</v>
      </c>
      <c r="M1672" s="2" t="str">
        <f t="shared" si="157"/>
        <v>Stable Earnings</v>
      </c>
      <c r="N1672" s="2" t="str">
        <f t="shared" si="158"/>
        <v>Low Quality</v>
      </c>
      <c r="O1672" s="4" t="str">
        <f t="shared" si="159"/>
        <v>Operational Growth</v>
      </c>
      <c r="P1672" s="4" t="str">
        <f t="shared" si="160"/>
        <v>Low Quality</v>
      </c>
      <c r="Q1672" s="4" t="str">
        <f t="shared" si="161"/>
        <v>Moderate Growth</v>
      </c>
    </row>
    <row r="1673" spans="1:17" x14ac:dyDescent="0.35">
      <c r="A1673" s="2" t="s">
        <v>1684</v>
      </c>
      <c r="B1673" s="2">
        <v>5</v>
      </c>
      <c r="C1673" s="2">
        <v>180284349.40000001</v>
      </c>
      <c r="D1673" s="2">
        <v>1</v>
      </c>
      <c r="E1673" s="2">
        <v>46842293.729999997</v>
      </c>
      <c r="F1673" s="2">
        <v>8341237.4000000004</v>
      </c>
      <c r="G1673" s="2">
        <v>2</v>
      </c>
      <c r="H1673" s="2">
        <v>3</v>
      </c>
      <c r="I1673" s="2">
        <v>3</v>
      </c>
      <c r="J1673" s="2">
        <v>2.5</v>
      </c>
      <c r="K1673" s="2" t="s">
        <v>1268</v>
      </c>
      <c r="L1673" s="2" t="str">
        <f t="shared" si="156"/>
        <v>Profitable</v>
      </c>
      <c r="M1673" s="2" t="str">
        <f t="shared" si="157"/>
        <v>Stable Earnings</v>
      </c>
      <c r="N1673" s="2" t="str">
        <f t="shared" si="158"/>
        <v>Low Quality</v>
      </c>
      <c r="O1673" s="4" t="str">
        <f t="shared" si="159"/>
        <v>Operational Growth</v>
      </c>
      <c r="P1673" s="4" t="str">
        <f t="shared" si="160"/>
        <v>Low Quality</v>
      </c>
      <c r="Q1673" s="4" t="str">
        <f t="shared" si="161"/>
        <v>Moderate Growth</v>
      </c>
    </row>
    <row r="1674" spans="1:17" x14ac:dyDescent="0.35">
      <c r="A1674" s="2" t="s">
        <v>1685</v>
      </c>
      <c r="B1674" s="2">
        <v>5</v>
      </c>
      <c r="C1674" s="2">
        <v>501733893.19999999</v>
      </c>
      <c r="D1674" s="2">
        <v>1</v>
      </c>
      <c r="E1674" s="2">
        <v>136974624.90000001</v>
      </c>
      <c r="F1674" s="2">
        <v>-27892497.600000001</v>
      </c>
      <c r="G1674" s="2">
        <v>1</v>
      </c>
      <c r="H1674" s="2">
        <v>4</v>
      </c>
      <c r="I1674" s="2">
        <v>4</v>
      </c>
      <c r="J1674" s="2">
        <v>2.5</v>
      </c>
      <c r="K1674" s="2" t="s">
        <v>1268</v>
      </c>
      <c r="L1674" s="2" t="str">
        <f t="shared" si="156"/>
        <v>Profitable</v>
      </c>
      <c r="M1674" s="2" t="str">
        <f t="shared" si="157"/>
        <v>High Volatility</v>
      </c>
      <c r="N1674" s="2" t="str">
        <f t="shared" si="158"/>
        <v>Low Quality</v>
      </c>
      <c r="O1674" s="4" t="str">
        <f t="shared" si="159"/>
        <v>Accounting Risk</v>
      </c>
      <c r="P1674" s="4" t="str">
        <f t="shared" si="160"/>
        <v>Low Quality</v>
      </c>
      <c r="Q1674" s="4" t="str">
        <f t="shared" si="161"/>
        <v>Strong Long-Term Growth</v>
      </c>
    </row>
    <row r="1675" spans="1:17" x14ac:dyDescent="0.35">
      <c r="A1675" s="2" t="s">
        <v>1686</v>
      </c>
      <c r="B1675" s="2">
        <v>5</v>
      </c>
      <c r="C1675" s="2">
        <v>306219053</v>
      </c>
      <c r="D1675" s="2">
        <v>1</v>
      </c>
      <c r="E1675" s="2">
        <v>135864063.80000001</v>
      </c>
      <c r="F1675" s="2">
        <v>-13662443.800000001</v>
      </c>
      <c r="G1675" s="2">
        <v>1</v>
      </c>
      <c r="H1675" s="2">
        <v>4</v>
      </c>
      <c r="I1675" s="2">
        <v>4</v>
      </c>
      <c r="J1675" s="2">
        <v>2.5</v>
      </c>
      <c r="K1675" s="2" t="s">
        <v>1268</v>
      </c>
      <c r="L1675" s="2" t="str">
        <f t="shared" si="156"/>
        <v>Profitable</v>
      </c>
      <c r="M1675" s="2" t="str">
        <f t="shared" si="157"/>
        <v>Stable Earnings</v>
      </c>
      <c r="N1675" s="2" t="str">
        <f t="shared" si="158"/>
        <v>Low Quality</v>
      </c>
      <c r="O1675" s="4" t="str">
        <f t="shared" si="159"/>
        <v>Accounting Risk</v>
      </c>
      <c r="P1675" s="4" t="str">
        <f t="shared" si="160"/>
        <v>Low Quality</v>
      </c>
      <c r="Q1675" s="4" t="str">
        <f t="shared" si="161"/>
        <v>Strong Long-Term Growth</v>
      </c>
    </row>
    <row r="1676" spans="1:17" x14ac:dyDescent="0.35">
      <c r="A1676" s="2" t="s">
        <v>1687</v>
      </c>
      <c r="B1676" s="2">
        <v>5</v>
      </c>
      <c r="C1676" s="2">
        <v>134939536.80000001</v>
      </c>
      <c r="D1676" s="2">
        <v>1</v>
      </c>
      <c r="E1676" s="2">
        <v>70569132.780000001</v>
      </c>
      <c r="F1676" s="2">
        <v>1804094.8</v>
      </c>
      <c r="G1676" s="2">
        <v>2</v>
      </c>
      <c r="H1676" s="2">
        <v>3</v>
      </c>
      <c r="I1676" s="2">
        <v>3</v>
      </c>
      <c r="J1676" s="2">
        <v>2.5</v>
      </c>
      <c r="K1676" s="2" t="s">
        <v>1268</v>
      </c>
      <c r="L1676" s="2" t="str">
        <f t="shared" si="156"/>
        <v>Profitable</v>
      </c>
      <c r="M1676" s="2" t="str">
        <f t="shared" si="157"/>
        <v>Stable Earnings</v>
      </c>
      <c r="N1676" s="2" t="str">
        <f t="shared" si="158"/>
        <v>Low Quality</v>
      </c>
      <c r="O1676" s="4" t="str">
        <f t="shared" si="159"/>
        <v>Operational Growth</v>
      </c>
      <c r="P1676" s="4" t="str">
        <f t="shared" si="160"/>
        <v>Low Quality</v>
      </c>
      <c r="Q1676" s="4" t="str">
        <f t="shared" si="161"/>
        <v>Moderate Growth</v>
      </c>
    </row>
    <row r="1677" spans="1:17" x14ac:dyDescent="0.35">
      <c r="A1677" s="2" t="s">
        <v>1688</v>
      </c>
      <c r="B1677" s="2">
        <v>5</v>
      </c>
      <c r="C1677" s="2">
        <v>208374221.09999999</v>
      </c>
      <c r="D1677" s="2">
        <v>1</v>
      </c>
      <c r="E1677" s="2">
        <v>133570939.2</v>
      </c>
      <c r="F1677" s="2">
        <v>-77697414.700000003</v>
      </c>
      <c r="G1677" s="2">
        <v>1</v>
      </c>
      <c r="H1677" s="2">
        <v>4</v>
      </c>
      <c r="I1677" s="2">
        <v>4</v>
      </c>
      <c r="J1677" s="2">
        <v>2.5</v>
      </c>
      <c r="K1677" s="2" t="s">
        <v>1268</v>
      </c>
      <c r="L1677" s="2" t="str">
        <f t="shared" si="156"/>
        <v>Profitable</v>
      </c>
      <c r="M1677" s="2" t="str">
        <f t="shared" si="157"/>
        <v>Stable Earnings</v>
      </c>
      <c r="N1677" s="2" t="str">
        <f t="shared" si="158"/>
        <v>Low Quality</v>
      </c>
      <c r="O1677" s="4" t="str">
        <f t="shared" si="159"/>
        <v>Accounting Risk</v>
      </c>
      <c r="P1677" s="4" t="str">
        <f t="shared" si="160"/>
        <v>Low Quality</v>
      </c>
      <c r="Q1677" s="4" t="str">
        <f t="shared" si="161"/>
        <v>Strong Long-Term Growth</v>
      </c>
    </row>
    <row r="1678" spans="1:17" x14ac:dyDescent="0.35">
      <c r="A1678" s="2" t="s">
        <v>1689</v>
      </c>
      <c r="B1678" s="2">
        <v>5</v>
      </c>
      <c r="C1678" s="2">
        <v>349939056.10000002</v>
      </c>
      <c r="D1678" s="2">
        <v>1</v>
      </c>
      <c r="E1678" s="2">
        <v>128257334</v>
      </c>
      <c r="F1678" s="2">
        <v>-57254732.200000003</v>
      </c>
      <c r="G1678" s="2">
        <v>1</v>
      </c>
      <c r="H1678" s="2">
        <v>4</v>
      </c>
      <c r="I1678" s="2">
        <v>4</v>
      </c>
      <c r="J1678" s="2">
        <v>2.5</v>
      </c>
      <c r="K1678" s="2" t="s">
        <v>1268</v>
      </c>
      <c r="L1678" s="2" t="str">
        <f t="shared" si="156"/>
        <v>Profitable</v>
      </c>
      <c r="M1678" s="2" t="str">
        <f t="shared" si="157"/>
        <v>Stable Earnings</v>
      </c>
      <c r="N1678" s="2" t="str">
        <f t="shared" si="158"/>
        <v>Low Quality</v>
      </c>
      <c r="O1678" s="4" t="str">
        <f t="shared" si="159"/>
        <v>Accounting Risk</v>
      </c>
      <c r="P1678" s="4" t="str">
        <f t="shared" si="160"/>
        <v>Low Quality</v>
      </c>
      <c r="Q1678" s="4" t="str">
        <f t="shared" si="161"/>
        <v>Strong Long-Term Growth</v>
      </c>
    </row>
    <row r="1679" spans="1:17" x14ac:dyDescent="0.35">
      <c r="A1679" s="2" t="s">
        <v>1690</v>
      </c>
      <c r="B1679" s="2">
        <v>5</v>
      </c>
      <c r="C1679" s="2">
        <v>140315236.80000001</v>
      </c>
      <c r="D1679" s="2">
        <v>1</v>
      </c>
      <c r="E1679" s="2">
        <v>121507368</v>
      </c>
      <c r="F1679" s="2">
        <v>-55578293.299999997</v>
      </c>
      <c r="G1679" s="2">
        <v>1</v>
      </c>
      <c r="H1679" s="2">
        <v>4</v>
      </c>
      <c r="I1679" s="2">
        <v>4</v>
      </c>
      <c r="J1679" s="2">
        <v>2.5</v>
      </c>
      <c r="K1679" s="2" t="s">
        <v>1268</v>
      </c>
      <c r="L1679" s="2" t="str">
        <f t="shared" si="156"/>
        <v>Profitable</v>
      </c>
      <c r="M1679" s="2" t="str">
        <f t="shared" si="157"/>
        <v>Stable Earnings</v>
      </c>
      <c r="N1679" s="2" t="str">
        <f t="shared" si="158"/>
        <v>Low Quality</v>
      </c>
      <c r="O1679" s="4" t="str">
        <f t="shared" si="159"/>
        <v>Accounting Risk</v>
      </c>
      <c r="P1679" s="4" t="str">
        <f t="shared" si="160"/>
        <v>Low Quality</v>
      </c>
      <c r="Q1679" s="4" t="str">
        <f t="shared" si="161"/>
        <v>Strong Long-Term Growth</v>
      </c>
    </row>
    <row r="1680" spans="1:17" x14ac:dyDescent="0.35">
      <c r="A1680" s="2" t="s">
        <v>1691</v>
      </c>
      <c r="B1680" s="2">
        <v>5</v>
      </c>
      <c r="C1680" s="2">
        <v>425822718.10000002</v>
      </c>
      <c r="D1680" s="2">
        <v>1</v>
      </c>
      <c r="E1680" s="2">
        <v>203310317.90000001</v>
      </c>
      <c r="F1680" s="2">
        <v>-50594271.200000003</v>
      </c>
      <c r="G1680" s="2">
        <v>1</v>
      </c>
      <c r="H1680" s="2">
        <v>4</v>
      </c>
      <c r="I1680" s="2">
        <v>4</v>
      </c>
      <c r="J1680" s="2">
        <v>2.5</v>
      </c>
      <c r="K1680" s="2" t="s">
        <v>1268</v>
      </c>
      <c r="L1680" s="2" t="str">
        <f t="shared" si="156"/>
        <v>Profitable</v>
      </c>
      <c r="M1680" s="2" t="str">
        <f t="shared" si="157"/>
        <v>Stable Earnings</v>
      </c>
      <c r="N1680" s="2" t="str">
        <f t="shared" si="158"/>
        <v>Low Quality</v>
      </c>
      <c r="O1680" s="4" t="str">
        <f t="shared" si="159"/>
        <v>Accounting Risk</v>
      </c>
      <c r="P1680" s="4" t="str">
        <f t="shared" si="160"/>
        <v>Low Quality</v>
      </c>
      <c r="Q1680" s="4" t="str">
        <f t="shared" si="161"/>
        <v>Strong Long-Term Growth</v>
      </c>
    </row>
    <row r="1681" spans="1:17" x14ac:dyDescent="0.35">
      <c r="A1681" s="2" t="s">
        <v>1692</v>
      </c>
      <c r="B1681" s="2">
        <v>5</v>
      </c>
      <c r="C1681" s="2">
        <v>310613876.80000001</v>
      </c>
      <c r="D1681" s="2">
        <v>1</v>
      </c>
      <c r="E1681" s="2">
        <v>159962125.59999999</v>
      </c>
      <c r="F1681" s="2">
        <v>-51905467.5</v>
      </c>
      <c r="G1681" s="2">
        <v>1</v>
      </c>
      <c r="H1681" s="2">
        <v>4</v>
      </c>
      <c r="I1681" s="2">
        <v>4</v>
      </c>
      <c r="J1681" s="2">
        <v>2.5</v>
      </c>
      <c r="K1681" s="2" t="s">
        <v>1268</v>
      </c>
      <c r="L1681" s="2" t="str">
        <f t="shared" si="156"/>
        <v>Profitable</v>
      </c>
      <c r="M1681" s="2" t="str">
        <f t="shared" si="157"/>
        <v>Stable Earnings</v>
      </c>
      <c r="N1681" s="2" t="str">
        <f t="shared" si="158"/>
        <v>Low Quality</v>
      </c>
      <c r="O1681" s="4" t="str">
        <f t="shared" si="159"/>
        <v>Accounting Risk</v>
      </c>
      <c r="P1681" s="4" t="str">
        <f t="shared" si="160"/>
        <v>Low Quality</v>
      </c>
      <c r="Q1681" s="4" t="str">
        <f t="shared" si="161"/>
        <v>Strong Long-Term Growth</v>
      </c>
    </row>
    <row r="1682" spans="1:17" x14ac:dyDescent="0.35">
      <c r="A1682" s="2" t="s">
        <v>1693</v>
      </c>
      <c r="B1682" s="2">
        <v>5</v>
      </c>
      <c r="C1682" s="2">
        <v>397928017.80000001</v>
      </c>
      <c r="D1682" s="2">
        <v>1</v>
      </c>
      <c r="E1682" s="2">
        <v>177936998</v>
      </c>
      <c r="F1682" s="2">
        <v>-39961755.100000001</v>
      </c>
      <c r="G1682" s="2">
        <v>1</v>
      </c>
      <c r="H1682" s="2">
        <v>4</v>
      </c>
      <c r="I1682" s="2">
        <v>4</v>
      </c>
      <c r="J1682" s="2">
        <v>2.5</v>
      </c>
      <c r="K1682" s="2" t="s">
        <v>1268</v>
      </c>
      <c r="L1682" s="2" t="str">
        <f t="shared" si="156"/>
        <v>Profitable</v>
      </c>
      <c r="M1682" s="2" t="str">
        <f t="shared" si="157"/>
        <v>Stable Earnings</v>
      </c>
      <c r="N1682" s="2" t="str">
        <f t="shared" si="158"/>
        <v>Low Quality</v>
      </c>
      <c r="O1682" s="4" t="str">
        <f t="shared" si="159"/>
        <v>Accounting Risk</v>
      </c>
      <c r="P1682" s="4" t="str">
        <f t="shared" si="160"/>
        <v>Low Quality</v>
      </c>
      <c r="Q1682" s="4" t="str">
        <f t="shared" si="161"/>
        <v>Strong Long-Term Growth</v>
      </c>
    </row>
    <row r="1683" spans="1:17" x14ac:dyDescent="0.35">
      <c r="A1683" s="2" t="s">
        <v>1694</v>
      </c>
      <c r="B1683" s="2">
        <v>5</v>
      </c>
      <c r="C1683" s="2">
        <v>96775662.439999998</v>
      </c>
      <c r="D1683" s="2">
        <v>1</v>
      </c>
      <c r="E1683" s="2">
        <v>28945508.25</v>
      </c>
      <c r="F1683" s="2">
        <v>-41190976.200000003</v>
      </c>
      <c r="G1683" s="2">
        <v>2</v>
      </c>
      <c r="H1683" s="2">
        <v>2</v>
      </c>
      <c r="I1683" s="2">
        <v>4</v>
      </c>
      <c r="J1683" s="2">
        <v>2.4</v>
      </c>
      <c r="K1683" s="2" t="s">
        <v>1268</v>
      </c>
      <c r="L1683" s="2" t="str">
        <f t="shared" si="156"/>
        <v>Profitable</v>
      </c>
      <c r="M1683" s="2" t="str">
        <f t="shared" si="157"/>
        <v>Stable Earnings</v>
      </c>
      <c r="N1683" s="2" t="str">
        <f t="shared" si="158"/>
        <v>Low Quality</v>
      </c>
      <c r="O1683" s="4" t="str">
        <f t="shared" si="159"/>
        <v>Accounting Risk</v>
      </c>
      <c r="P1683" s="4" t="str">
        <f t="shared" si="160"/>
        <v>Low Quality</v>
      </c>
      <c r="Q1683" s="4" t="str">
        <f t="shared" si="161"/>
        <v>Strong Long-Term Growth</v>
      </c>
    </row>
    <row r="1684" spans="1:17" x14ac:dyDescent="0.35">
      <c r="A1684" s="2" t="s">
        <v>1695</v>
      </c>
      <c r="B1684" s="2">
        <v>5</v>
      </c>
      <c r="C1684" s="2">
        <v>83012508.260000005</v>
      </c>
      <c r="D1684" s="2">
        <v>1</v>
      </c>
      <c r="E1684" s="2">
        <v>18733736.030000001</v>
      </c>
      <c r="F1684" s="2">
        <v>-43211804.399999999</v>
      </c>
      <c r="G1684" s="2">
        <v>2</v>
      </c>
      <c r="H1684" s="2">
        <v>2</v>
      </c>
      <c r="I1684" s="2">
        <v>4</v>
      </c>
      <c r="J1684" s="2">
        <v>2.4</v>
      </c>
      <c r="K1684" s="2" t="s">
        <v>1268</v>
      </c>
      <c r="L1684" s="2" t="str">
        <f t="shared" si="156"/>
        <v>Profitable</v>
      </c>
      <c r="M1684" s="2" t="str">
        <f t="shared" si="157"/>
        <v>Stable Earnings</v>
      </c>
      <c r="N1684" s="2" t="str">
        <f t="shared" si="158"/>
        <v>Low Quality</v>
      </c>
      <c r="O1684" s="4" t="str">
        <f t="shared" si="159"/>
        <v>Accounting Risk</v>
      </c>
      <c r="P1684" s="4" t="str">
        <f t="shared" si="160"/>
        <v>Low Quality</v>
      </c>
      <c r="Q1684" s="4" t="str">
        <f t="shared" si="161"/>
        <v>Strong Long-Term Growth</v>
      </c>
    </row>
    <row r="1685" spans="1:17" x14ac:dyDescent="0.35">
      <c r="A1685" s="2" t="s">
        <v>1696</v>
      </c>
      <c r="B1685" s="2">
        <v>5</v>
      </c>
      <c r="C1685" s="2">
        <v>121131629.8</v>
      </c>
      <c r="D1685" s="2">
        <v>1</v>
      </c>
      <c r="E1685" s="2">
        <v>28261523.41</v>
      </c>
      <c r="F1685" s="2">
        <v>-51038804.5</v>
      </c>
      <c r="G1685" s="2">
        <v>2</v>
      </c>
      <c r="H1685" s="2">
        <v>2</v>
      </c>
      <c r="I1685" s="2">
        <v>4</v>
      </c>
      <c r="J1685" s="2">
        <v>2.4</v>
      </c>
      <c r="K1685" s="2" t="s">
        <v>1268</v>
      </c>
      <c r="L1685" s="2" t="str">
        <f t="shared" si="156"/>
        <v>Profitable</v>
      </c>
      <c r="M1685" s="2" t="str">
        <f t="shared" si="157"/>
        <v>Stable Earnings</v>
      </c>
      <c r="N1685" s="2" t="str">
        <f t="shared" si="158"/>
        <v>Low Quality</v>
      </c>
      <c r="O1685" s="4" t="str">
        <f t="shared" si="159"/>
        <v>Accounting Risk</v>
      </c>
      <c r="P1685" s="4" t="str">
        <f t="shared" si="160"/>
        <v>Low Quality</v>
      </c>
      <c r="Q1685" s="4" t="str">
        <f t="shared" si="161"/>
        <v>Strong Long-Term Growth</v>
      </c>
    </row>
    <row r="1686" spans="1:17" x14ac:dyDescent="0.35">
      <c r="A1686" s="2" t="s">
        <v>1697</v>
      </c>
      <c r="B1686" s="2">
        <v>5</v>
      </c>
      <c r="C1686" s="2">
        <v>540115291.10000002</v>
      </c>
      <c r="D1686" s="2">
        <v>1</v>
      </c>
      <c r="E1686" s="2">
        <v>45092793.039999999</v>
      </c>
      <c r="F1686" s="2">
        <v>-54714317</v>
      </c>
      <c r="G1686" s="2">
        <v>2</v>
      </c>
      <c r="H1686" s="2">
        <v>2</v>
      </c>
      <c r="I1686" s="2">
        <v>4</v>
      </c>
      <c r="J1686" s="2">
        <v>2.4</v>
      </c>
      <c r="K1686" s="2" t="s">
        <v>1268</v>
      </c>
      <c r="L1686" s="2" t="str">
        <f t="shared" si="156"/>
        <v>Profitable</v>
      </c>
      <c r="M1686" s="2" t="str">
        <f t="shared" si="157"/>
        <v>High Volatility</v>
      </c>
      <c r="N1686" s="2" t="str">
        <f t="shared" si="158"/>
        <v>Low Quality</v>
      </c>
      <c r="O1686" s="4" t="str">
        <f t="shared" si="159"/>
        <v>Accounting Risk</v>
      </c>
      <c r="P1686" s="4" t="str">
        <f t="shared" si="160"/>
        <v>Low Quality</v>
      </c>
      <c r="Q1686" s="4" t="str">
        <f t="shared" si="161"/>
        <v>Strong Long-Term Growth</v>
      </c>
    </row>
    <row r="1687" spans="1:17" x14ac:dyDescent="0.35">
      <c r="A1687" s="2" t="s">
        <v>1698</v>
      </c>
      <c r="B1687" s="2">
        <v>5</v>
      </c>
      <c r="C1687" s="2">
        <v>109429240</v>
      </c>
      <c r="D1687" s="2">
        <v>1</v>
      </c>
      <c r="E1687" s="2">
        <v>41739788.289999999</v>
      </c>
      <c r="F1687" s="2">
        <v>-67173387.5</v>
      </c>
      <c r="G1687" s="2">
        <v>2</v>
      </c>
      <c r="H1687" s="2">
        <v>2</v>
      </c>
      <c r="I1687" s="2">
        <v>4</v>
      </c>
      <c r="J1687" s="2">
        <v>2.4</v>
      </c>
      <c r="K1687" s="2" t="s">
        <v>1268</v>
      </c>
      <c r="L1687" s="2" t="str">
        <f t="shared" si="156"/>
        <v>Profitable</v>
      </c>
      <c r="M1687" s="2" t="str">
        <f t="shared" si="157"/>
        <v>Stable Earnings</v>
      </c>
      <c r="N1687" s="2" t="str">
        <f t="shared" si="158"/>
        <v>Low Quality</v>
      </c>
      <c r="O1687" s="4" t="str">
        <f t="shared" si="159"/>
        <v>Accounting Risk</v>
      </c>
      <c r="P1687" s="4" t="str">
        <f t="shared" si="160"/>
        <v>Low Quality</v>
      </c>
      <c r="Q1687" s="4" t="str">
        <f t="shared" si="161"/>
        <v>Strong Long-Term Growth</v>
      </c>
    </row>
    <row r="1688" spans="1:17" x14ac:dyDescent="0.35">
      <c r="A1688" s="2" t="s">
        <v>1699</v>
      </c>
      <c r="B1688" s="2">
        <v>5</v>
      </c>
      <c r="C1688" s="2">
        <v>399321342</v>
      </c>
      <c r="D1688" s="2">
        <v>1</v>
      </c>
      <c r="E1688" s="2">
        <v>37864095.689999998</v>
      </c>
      <c r="F1688" s="2">
        <v>-71004037.400000006</v>
      </c>
      <c r="G1688" s="2">
        <v>2</v>
      </c>
      <c r="H1688" s="2">
        <v>2</v>
      </c>
      <c r="I1688" s="2">
        <v>4</v>
      </c>
      <c r="J1688" s="2">
        <v>2.4</v>
      </c>
      <c r="K1688" s="2" t="s">
        <v>1268</v>
      </c>
      <c r="L1688" s="2" t="str">
        <f t="shared" si="156"/>
        <v>Profitable</v>
      </c>
      <c r="M1688" s="2" t="str">
        <f t="shared" si="157"/>
        <v>Stable Earnings</v>
      </c>
      <c r="N1688" s="2" t="str">
        <f t="shared" si="158"/>
        <v>Low Quality</v>
      </c>
      <c r="O1688" s="4" t="str">
        <f t="shared" si="159"/>
        <v>Accounting Risk</v>
      </c>
      <c r="P1688" s="4" t="str">
        <f t="shared" si="160"/>
        <v>Low Quality</v>
      </c>
      <c r="Q1688" s="4" t="str">
        <f t="shared" si="161"/>
        <v>Strong Long-Term Growth</v>
      </c>
    </row>
    <row r="1689" spans="1:17" x14ac:dyDescent="0.35">
      <c r="A1689" s="2" t="s">
        <v>1700</v>
      </c>
      <c r="B1689" s="2">
        <v>5</v>
      </c>
      <c r="C1689" s="2">
        <v>201587642.19999999</v>
      </c>
      <c r="D1689" s="2">
        <v>1</v>
      </c>
      <c r="E1689" s="2">
        <v>64110860.609999999</v>
      </c>
      <c r="F1689" s="2">
        <v>-88485279.799999997</v>
      </c>
      <c r="G1689" s="2">
        <v>1</v>
      </c>
      <c r="H1689" s="2">
        <v>3</v>
      </c>
      <c r="I1689" s="2">
        <v>5</v>
      </c>
      <c r="J1689" s="2">
        <v>2.4</v>
      </c>
      <c r="K1689" s="2" t="s">
        <v>1268</v>
      </c>
      <c r="L1689" s="2" t="str">
        <f t="shared" si="156"/>
        <v>Profitable</v>
      </c>
      <c r="M1689" s="2" t="str">
        <f t="shared" si="157"/>
        <v>Stable Earnings</v>
      </c>
      <c r="N1689" s="2" t="str">
        <f t="shared" si="158"/>
        <v>Low Quality</v>
      </c>
      <c r="O1689" s="4" t="str">
        <f t="shared" si="159"/>
        <v>Accounting Risk</v>
      </c>
      <c r="P1689" s="4" t="str">
        <f t="shared" si="160"/>
        <v>Low Quality</v>
      </c>
      <c r="Q1689" s="4" t="str">
        <f t="shared" si="161"/>
        <v>Strong Long-Term Growth</v>
      </c>
    </row>
    <row r="1690" spans="1:17" x14ac:dyDescent="0.35">
      <c r="A1690" s="2" t="s">
        <v>1701</v>
      </c>
      <c r="B1690" s="2">
        <v>5</v>
      </c>
      <c r="C1690" s="2">
        <v>916291485.20000005</v>
      </c>
      <c r="D1690" s="2">
        <v>1</v>
      </c>
      <c r="E1690" s="2">
        <v>50815643.210000001</v>
      </c>
      <c r="F1690" s="2">
        <v>-109511691.3</v>
      </c>
      <c r="G1690" s="2">
        <v>1</v>
      </c>
      <c r="H1690" s="2">
        <v>3</v>
      </c>
      <c r="I1690" s="2">
        <v>5</v>
      </c>
      <c r="J1690" s="2">
        <v>2.4</v>
      </c>
      <c r="K1690" s="2" t="s">
        <v>1268</v>
      </c>
      <c r="L1690" s="2" t="str">
        <f t="shared" si="156"/>
        <v>Profitable</v>
      </c>
      <c r="M1690" s="2" t="str">
        <f t="shared" si="157"/>
        <v>High Volatility</v>
      </c>
      <c r="N1690" s="2" t="str">
        <f t="shared" si="158"/>
        <v>Low Quality</v>
      </c>
      <c r="O1690" s="4" t="str">
        <f t="shared" si="159"/>
        <v>Accounting Risk</v>
      </c>
      <c r="P1690" s="4" t="str">
        <f t="shared" si="160"/>
        <v>Low Quality</v>
      </c>
      <c r="Q1690" s="4" t="str">
        <f t="shared" si="161"/>
        <v>Strong Long-Term Growth</v>
      </c>
    </row>
    <row r="1691" spans="1:17" x14ac:dyDescent="0.35">
      <c r="A1691" s="2" t="s">
        <v>1702</v>
      </c>
      <c r="B1691" s="2">
        <v>5</v>
      </c>
      <c r="C1691" s="2">
        <v>208629446.40000001</v>
      </c>
      <c r="D1691" s="2">
        <v>1</v>
      </c>
      <c r="E1691" s="2">
        <v>76178665.480000004</v>
      </c>
      <c r="F1691" s="2">
        <v>-118924414.40000001</v>
      </c>
      <c r="G1691" s="2">
        <v>1</v>
      </c>
      <c r="H1691" s="2">
        <v>3</v>
      </c>
      <c r="I1691" s="2">
        <v>5</v>
      </c>
      <c r="J1691" s="2">
        <v>2.4</v>
      </c>
      <c r="K1691" s="2" t="s">
        <v>1268</v>
      </c>
      <c r="L1691" s="2" t="str">
        <f t="shared" si="156"/>
        <v>Profitable</v>
      </c>
      <c r="M1691" s="2" t="str">
        <f t="shared" si="157"/>
        <v>Stable Earnings</v>
      </c>
      <c r="N1691" s="2" t="str">
        <f t="shared" si="158"/>
        <v>Low Quality</v>
      </c>
      <c r="O1691" s="4" t="str">
        <f t="shared" si="159"/>
        <v>Accounting Risk</v>
      </c>
      <c r="P1691" s="4" t="str">
        <f t="shared" si="160"/>
        <v>Low Quality</v>
      </c>
      <c r="Q1691" s="4" t="str">
        <f t="shared" si="161"/>
        <v>Strong Long-Term Growth</v>
      </c>
    </row>
    <row r="1692" spans="1:17" x14ac:dyDescent="0.35">
      <c r="A1692" s="2" t="s">
        <v>1703</v>
      </c>
      <c r="B1692" s="2">
        <v>5</v>
      </c>
      <c r="C1692" s="2">
        <v>88327021.140000001</v>
      </c>
      <c r="D1692" s="2">
        <v>1</v>
      </c>
      <c r="E1692" s="2">
        <v>57262872.759999998</v>
      </c>
      <c r="F1692" s="2">
        <v>-107419413.7</v>
      </c>
      <c r="G1692" s="2">
        <v>1</v>
      </c>
      <c r="H1692" s="2">
        <v>3</v>
      </c>
      <c r="I1692" s="2">
        <v>5</v>
      </c>
      <c r="J1692" s="2">
        <v>2.4</v>
      </c>
      <c r="K1692" s="2" t="s">
        <v>1268</v>
      </c>
      <c r="L1692" s="2" t="str">
        <f t="shared" si="156"/>
        <v>Profitable</v>
      </c>
      <c r="M1692" s="2" t="str">
        <f t="shared" si="157"/>
        <v>Stable Earnings</v>
      </c>
      <c r="N1692" s="2" t="str">
        <f t="shared" si="158"/>
        <v>Low Quality</v>
      </c>
      <c r="O1692" s="4" t="str">
        <f t="shared" si="159"/>
        <v>Accounting Risk</v>
      </c>
      <c r="P1692" s="4" t="str">
        <f t="shared" si="160"/>
        <v>Low Quality</v>
      </c>
      <c r="Q1692" s="4" t="str">
        <f t="shared" si="161"/>
        <v>Strong Long-Term Growth</v>
      </c>
    </row>
    <row r="1693" spans="1:17" x14ac:dyDescent="0.35">
      <c r="A1693" s="2" t="s">
        <v>1704</v>
      </c>
      <c r="B1693" s="2">
        <v>5</v>
      </c>
      <c r="C1693" s="2">
        <v>71205213.620000005</v>
      </c>
      <c r="D1693" s="2">
        <v>1</v>
      </c>
      <c r="E1693" s="2">
        <v>62006876.399999999</v>
      </c>
      <c r="F1693" s="2">
        <v>-146625972.80000001</v>
      </c>
      <c r="G1693" s="2">
        <v>1</v>
      </c>
      <c r="H1693" s="2">
        <v>3</v>
      </c>
      <c r="I1693" s="2">
        <v>5</v>
      </c>
      <c r="J1693" s="2">
        <v>2.4</v>
      </c>
      <c r="K1693" s="2" t="s">
        <v>1268</v>
      </c>
      <c r="L1693" s="2" t="str">
        <f t="shared" si="156"/>
        <v>Profitable</v>
      </c>
      <c r="M1693" s="2" t="str">
        <f t="shared" si="157"/>
        <v>Stable Earnings</v>
      </c>
      <c r="N1693" s="2" t="str">
        <f t="shared" si="158"/>
        <v>Low Quality</v>
      </c>
      <c r="O1693" s="4" t="str">
        <f t="shared" si="159"/>
        <v>Accounting Risk</v>
      </c>
      <c r="P1693" s="4" t="str">
        <f t="shared" si="160"/>
        <v>Low Quality</v>
      </c>
      <c r="Q1693" s="4" t="str">
        <f t="shared" si="161"/>
        <v>Strong Long-Term Growth</v>
      </c>
    </row>
    <row r="1694" spans="1:17" x14ac:dyDescent="0.35">
      <c r="A1694" s="2" t="s">
        <v>1705</v>
      </c>
      <c r="B1694" s="2">
        <v>5</v>
      </c>
      <c r="C1694" s="2">
        <v>109242686.59999999</v>
      </c>
      <c r="D1694" s="2">
        <v>1</v>
      </c>
      <c r="E1694" s="2">
        <v>50564141.880000003</v>
      </c>
      <c r="F1694" s="2">
        <v>-132170739.90000001</v>
      </c>
      <c r="G1694" s="2">
        <v>1</v>
      </c>
      <c r="H1694" s="2">
        <v>3</v>
      </c>
      <c r="I1694" s="2">
        <v>5</v>
      </c>
      <c r="J1694" s="2">
        <v>2.4</v>
      </c>
      <c r="K1694" s="2" t="s">
        <v>1268</v>
      </c>
      <c r="L1694" s="2" t="str">
        <f t="shared" si="156"/>
        <v>Profitable</v>
      </c>
      <c r="M1694" s="2" t="str">
        <f t="shared" si="157"/>
        <v>Stable Earnings</v>
      </c>
      <c r="N1694" s="2" t="str">
        <f t="shared" si="158"/>
        <v>Low Quality</v>
      </c>
      <c r="O1694" s="4" t="str">
        <f t="shared" si="159"/>
        <v>Accounting Risk</v>
      </c>
      <c r="P1694" s="4" t="str">
        <f t="shared" si="160"/>
        <v>Low Quality</v>
      </c>
      <c r="Q1694" s="4" t="str">
        <f t="shared" si="161"/>
        <v>Strong Long-Term Growth</v>
      </c>
    </row>
    <row r="1695" spans="1:17" x14ac:dyDescent="0.35">
      <c r="A1695" s="2" t="s">
        <v>1706</v>
      </c>
      <c r="B1695" s="2">
        <v>5</v>
      </c>
      <c r="C1695" s="2">
        <v>271852421.60000002</v>
      </c>
      <c r="D1695" s="2">
        <v>1</v>
      </c>
      <c r="E1695" s="2">
        <v>102082802</v>
      </c>
      <c r="F1695" s="2">
        <v>-137071013.69999999</v>
      </c>
      <c r="G1695" s="2">
        <v>1</v>
      </c>
      <c r="H1695" s="2">
        <v>3</v>
      </c>
      <c r="I1695" s="2">
        <v>5</v>
      </c>
      <c r="J1695" s="2">
        <v>2.4</v>
      </c>
      <c r="K1695" s="2" t="s">
        <v>1268</v>
      </c>
      <c r="L1695" s="2" t="str">
        <f t="shared" si="156"/>
        <v>Profitable</v>
      </c>
      <c r="M1695" s="2" t="str">
        <f t="shared" si="157"/>
        <v>Stable Earnings</v>
      </c>
      <c r="N1695" s="2" t="str">
        <f t="shared" si="158"/>
        <v>Low Quality</v>
      </c>
      <c r="O1695" s="4" t="str">
        <f t="shared" si="159"/>
        <v>Accounting Risk</v>
      </c>
      <c r="P1695" s="4" t="str">
        <f t="shared" si="160"/>
        <v>Low Quality</v>
      </c>
      <c r="Q1695" s="4" t="str">
        <f t="shared" si="161"/>
        <v>Strong Long-Term Growth</v>
      </c>
    </row>
    <row r="1696" spans="1:17" x14ac:dyDescent="0.35">
      <c r="A1696" s="2" t="s">
        <v>1707</v>
      </c>
      <c r="B1696" s="2">
        <v>5</v>
      </c>
      <c r="C1696" s="2">
        <v>1329709.44</v>
      </c>
      <c r="D1696" s="2">
        <v>0.8</v>
      </c>
      <c r="E1696" s="2">
        <v>1377792.15</v>
      </c>
      <c r="F1696" s="2">
        <v>1504256.2</v>
      </c>
      <c r="G1696" s="2">
        <v>3</v>
      </c>
      <c r="H1696" s="2">
        <v>1</v>
      </c>
      <c r="I1696" s="2">
        <v>3</v>
      </c>
      <c r="J1696" s="2">
        <v>2.4</v>
      </c>
      <c r="K1696" s="2" t="s">
        <v>1268</v>
      </c>
      <c r="L1696" s="2" t="str">
        <f t="shared" si="156"/>
        <v>Profitable</v>
      </c>
      <c r="M1696" s="2" t="str">
        <f t="shared" si="157"/>
        <v>Stable Earnings</v>
      </c>
      <c r="N1696" s="2" t="str">
        <f t="shared" si="158"/>
        <v>Low Quality</v>
      </c>
      <c r="O1696" s="4" t="str">
        <f t="shared" si="159"/>
        <v>Operational Growth</v>
      </c>
      <c r="P1696" s="4" t="str">
        <f t="shared" si="160"/>
        <v>Low Quality</v>
      </c>
      <c r="Q1696" s="4" t="str">
        <f t="shared" si="161"/>
        <v>Moderate Growth</v>
      </c>
    </row>
    <row r="1697" spans="1:17" x14ac:dyDescent="0.35">
      <c r="A1697" s="2" t="s">
        <v>1708</v>
      </c>
      <c r="B1697" s="2">
        <v>5</v>
      </c>
      <c r="C1697" s="2">
        <v>-475795.24</v>
      </c>
      <c r="D1697" s="2">
        <v>0.6</v>
      </c>
      <c r="E1697" s="2">
        <v>1113058.2109999999</v>
      </c>
      <c r="F1697" s="2">
        <v>1946381.9</v>
      </c>
      <c r="G1697" s="2">
        <v>3</v>
      </c>
      <c r="H1697" s="2">
        <v>1</v>
      </c>
      <c r="I1697" s="2">
        <v>3</v>
      </c>
      <c r="J1697" s="2">
        <v>2.4</v>
      </c>
      <c r="K1697" s="2" t="s">
        <v>1268</v>
      </c>
      <c r="L1697" s="2" t="str">
        <f t="shared" si="156"/>
        <v>Loss Making</v>
      </c>
      <c r="M1697" s="2" t="str">
        <f t="shared" si="157"/>
        <v>Stable Earnings</v>
      </c>
      <c r="N1697" s="2" t="str">
        <f t="shared" si="158"/>
        <v>Low Quality</v>
      </c>
      <c r="O1697" s="4" t="str">
        <f t="shared" si="159"/>
        <v>Accounting Risk</v>
      </c>
      <c r="P1697" s="4" t="str">
        <f t="shared" si="160"/>
        <v>Low Quality</v>
      </c>
      <c r="Q1697" s="4" t="str">
        <f t="shared" si="161"/>
        <v>Moderate Growth</v>
      </c>
    </row>
    <row r="1698" spans="1:17" x14ac:dyDescent="0.35">
      <c r="A1698" s="2" t="s">
        <v>1709</v>
      </c>
      <c r="B1698" s="2">
        <v>5</v>
      </c>
      <c r="C1698" s="2">
        <v>3433704.56</v>
      </c>
      <c r="D1698" s="2">
        <v>0.6</v>
      </c>
      <c r="E1698" s="2">
        <v>3352314.142</v>
      </c>
      <c r="F1698" s="2">
        <v>1407448.1</v>
      </c>
      <c r="G1698" s="2">
        <v>3</v>
      </c>
      <c r="H1698" s="2">
        <v>1</v>
      </c>
      <c r="I1698" s="2">
        <v>3</v>
      </c>
      <c r="J1698" s="2">
        <v>2.4</v>
      </c>
      <c r="K1698" s="2" t="s">
        <v>1268</v>
      </c>
      <c r="L1698" s="2" t="str">
        <f t="shared" si="156"/>
        <v>Profitable</v>
      </c>
      <c r="M1698" s="2" t="str">
        <f t="shared" si="157"/>
        <v>Stable Earnings</v>
      </c>
      <c r="N1698" s="2" t="str">
        <f t="shared" si="158"/>
        <v>Low Quality</v>
      </c>
      <c r="O1698" s="4" t="str">
        <f t="shared" si="159"/>
        <v>Accounting Risk</v>
      </c>
      <c r="P1698" s="4" t="str">
        <f t="shared" si="160"/>
        <v>Low Quality</v>
      </c>
      <c r="Q1698" s="4" t="str">
        <f t="shared" si="161"/>
        <v>Moderate Growth</v>
      </c>
    </row>
    <row r="1699" spans="1:17" x14ac:dyDescent="0.35">
      <c r="A1699" s="2" t="s">
        <v>1710</v>
      </c>
      <c r="B1699" s="2">
        <v>5</v>
      </c>
      <c r="C1699" s="2">
        <v>1663410.32</v>
      </c>
      <c r="D1699" s="2">
        <v>0.8</v>
      </c>
      <c r="E1699" s="2">
        <v>1437822.693</v>
      </c>
      <c r="F1699" s="2">
        <v>1365570.1</v>
      </c>
      <c r="G1699" s="2">
        <v>3</v>
      </c>
      <c r="H1699" s="2">
        <v>1</v>
      </c>
      <c r="I1699" s="2">
        <v>3</v>
      </c>
      <c r="J1699" s="2">
        <v>2.4</v>
      </c>
      <c r="K1699" s="2" t="s">
        <v>1268</v>
      </c>
      <c r="L1699" s="2" t="str">
        <f t="shared" si="156"/>
        <v>Profitable</v>
      </c>
      <c r="M1699" s="2" t="str">
        <f t="shared" si="157"/>
        <v>Stable Earnings</v>
      </c>
      <c r="N1699" s="2" t="str">
        <f t="shared" si="158"/>
        <v>Low Quality</v>
      </c>
      <c r="O1699" s="4" t="str">
        <f t="shared" si="159"/>
        <v>Operational Growth</v>
      </c>
      <c r="P1699" s="4" t="str">
        <f t="shared" si="160"/>
        <v>Low Quality</v>
      </c>
      <c r="Q1699" s="4" t="str">
        <f t="shared" si="161"/>
        <v>Moderate Growth</v>
      </c>
    </row>
    <row r="1700" spans="1:17" x14ac:dyDescent="0.35">
      <c r="A1700" s="2" t="s">
        <v>1711</v>
      </c>
      <c r="B1700" s="2">
        <v>5</v>
      </c>
      <c r="C1700" s="2">
        <v>-3694847.36</v>
      </c>
      <c r="D1700" s="2">
        <v>0.4</v>
      </c>
      <c r="E1700" s="2">
        <v>9957521.3210000005</v>
      </c>
      <c r="F1700" s="2">
        <v>890306.3</v>
      </c>
      <c r="G1700" s="2">
        <v>3</v>
      </c>
      <c r="H1700" s="2">
        <v>1</v>
      </c>
      <c r="I1700" s="2">
        <v>3</v>
      </c>
      <c r="J1700" s="2">
        <v>2.4</v>
      </c>
      <c r="K1700" s="2" t="s">
        <v>1268</v>
      </c>
      <c r="L1700" s="2" t="str">
        <f t="shared" si="156"/>
        <v>Loss Making</v>
      </c>
      <c r="M1700" s="2" t="str">
        <f t="shared" si="157"/>
        <v>Stable Earnings</v>
      </c>
      <c r="N1700" s="2" t="str">
        <f t="shared" si="158"/>
        <v>Low Quality</v>
      </c>
      <c r="O1700" s="4" t="str">
        <f t="shared" si="159"/>
        <v>Accounting Risk</v>
      </c>
      <c r="P1700" s="4" t="str">
        <f t="shared" si="160"/>
        <v>Low Quality</v>
      </c>
      <c r="Q1700" s="4" t="str">
        <f t="shared" si="161"/>
        <v>Moderate Growth</v>
      </c>
    </row>
    <row r="1701" spans="1:17" x14ac:dyDescent="0.35">
      <c r="A1701" s="2" t="s">
        <v>1712</v>
      </c>
      <c r="B1701" s="2">
        <v>5</v>
      </c>
      <c r="C1701" s="2">
        <v>4305590.0199999996</v>
      </c>
      <c r="D1701" s="2">
        <v>0.6</v>
      </c>
      <c r="E1701" s="2">
        <v>12232455.939999999</v>
      </c>
      <c r="F1701" s="2">
        <v>2208902.5</v>
      </c>
      <c r="G1701" s="2">
        <v>3</v>
      </c>
      <c r="H1701" s="2">
        <v>1</v>
      </c>
      <c r="I1701" s="2">
        <v>3</v>
      </c>
      <c r="J1701" s="2">
        <v>2.4</v>
      </c>
      <c r="K1701" s="2" t="s">
        <v>1268</v>
      </c>
      <c r="L1701" s="2" t="str">
        <f t="shared" si="156"/>
        <v>Profitable</v>
      </c>
      <c r="M1701" s="2" t="str">
        <f t="shared" si="157"/>
        <v>Stable Earnings</v>
      </c>
      <c r="N1701" s="2" t="str">
        <f t="shared" si="158"/>
        <v>Low Quality</v>
      </c>
      <c r="O1701" s="4" t="str">
        <f t="shared" si="159"/>
        <v>Accounting Risk</v>
      </c>
      <c r="P1701" s="4" t="str">
        <f t="shared" si="160"/>
        <v>Low Quality</v>
      </c>
      <c r="Q1701" s="4" t="str">
        <f t="shared" si="161"/>
        <v>Moderate Growth</v>
      </c>
    </row>
    <row r="1702" spans="1:17" x14ac:dyDescent="0.35">
      <c r="A1702" s="2" t="s">
        <v>1713</v>
      </c>
      <c r="B1702" s="2">
        <v>5</v>
      </c>
      <c r="C1702" s="2">
        <v>1297315.5</v>
      </c>
      <c r="D1702" s="2">
        <v>0.6</v>
      </c>
      <c r="E1702" s="2">
        <v>4613498.1500000004</v>
      </c>
      <c r="F1702" s="2">
        <v>2401463.7000000002</v>
      </c>
      <c r="G1702" s="2">
        <v>3</v>
      </c>
      <c r="H1702" s="2">
        <v>1</v>
      </c>
      <c r="I1702" s="2">
        <v>3</v>
      </c>
      <c r="J1702" s="2">
        <v>2.4</v>
      </c>
      <c r="K1702" s="2" t="s">
        <v>1268</v>
      </c>
      <c r="L1702" s="2" t="str">
        <f t="shared" si="156"/>
        <v>Profitable</v>
      </c>
      <c r="M1702" s="2" t="str">
        <f t="shared" si="157"/>
        <v>Stable Earnings</v>
      </c>
      <c r="N1702" s="2" t="str">
        <f t="shared" si="158"/>
        <v>Low Quality</v>
      </c>
      <c r="O1702" s="4" t="str">
        <f t="shared" si="159"/>
        <v>Accounting Risk</v>
      </c>
      <c r="P1702" s="4" t="str">
        <f t="shared" si="160"/>
        <v>Low Quality</v>
      </c>
      <c r="Q1702" s="4" t="str">
        <f t="shared" si="161"/>
        <v>Moderate Growth</v>
      </c>
    </row>
    <row r="1703" spans="1:17" x14ac:dyDescent="0.35">
      <c r="A1703" s="2" t="s">
        <v>1714</v>
      </c>
      <c r="B1703" s="2">
        <v>5</v>
      </c>
      <c r="C1703" s="2">
        <v>12603852.82</v>
      </c>
      <c r="D1703" s="2">
        <v>0.6</v>
      </c>
      <c r="E1703" s="2">
        <v>15125207.449999999</v>
      </c>
      <c r="F1703" s="2">
        <v>3876710.7</v>
      </c>
      <c r="G1703" s="2">
        <v>3</v>
      </c>
      <c r="H1703" s="2">
        <v>1</v>
      </c>
      <c r="I1703" s="2">
        <v>3</v>
      </c>
      <c r="J1703" s="2">
        <v>2.4</v>
      </c>
      <c r="K1703" s="2" t="s">
        <v>1268</v>
      </c>
      <c r="L1703" s="2" t="str">
        <f t="shared" si="156"/>
        <v>Profitable</v>
      </c>
      <c r="M1703" s="2" t="str">
        <f t="shared" si="157"/>
        <v>Stable Earnings</v>
      </c>
      <c r="N1703" s="2" t="str">
        <f t="shared" si="158"/>
        <v>Low Quality</v>
      </c>
      <c r="O1703" s="4" t="str">
        <f t="shared" si="159"/>
        <v>Accounting Risk</v>
      </c>
      <c r="P1703" s="4" t="str">
        <f t="shared" si="160"/>
        <v>Low Quality</v>
      </c>
      <c r="Q1703" s="4" t="str">
        <f t="shared" si="161"/>
        <v>Moderate Growth</v>
      </c>
    </row>
    <row r="1704" spans="1:17" x14ac:dyDescent="0.35">
      <c r="A1704" s="2" t="s">
        <v>1715</v>
      </c>
      <c r="B1704" s="2">
        <v>5</v>
      </c>
      <c r="C1704" s="2">
        <v>2073026</v>
      </c>
      <c r="D1704" s="2">
        <v>0.6</v>
      </c>
      <c r="E1704" s="2">
        <v>3436140.7710000002</v>
      </c>
      <c r="F1704" s="2">
        <v>3082887.3</v>
      </c>
      <c r="G1704" s="2">
        <v>3</v>
      </c>
      <c r="H1704" s="2">
        <v>1</v>
      </c>
      <c r="I1704" s="2">
        <v>3</v>
      </c>
      <c r="J1704" s="2">
        <v>2.4</v>
      </c>
      <c r="K1704" s="2" t="s">
        <v>1268</v>
      </c>
      <c r="L1704" s="2" t="str">
        <f t="shared" si="156"/>
        <v>Profitable</v>
      </c>
      <c r="M1704" s="2" t="str">
        <f t="shared" si="157"/>
        <v>Stable Earnings</v>
      </c>
      <c r="N1704" s="2" t="str">
        <f t="shared" si="158"/>
        <v>Low Quality</v>
      </c>
      <c r="O1704" s="4" t="str">
        <f t="shared" si="159"/>
        <v>Accounting Risk</v>
      </c>
      <c r="P1704" s="4" t="str">
        <f t="shared" si="160"/>
        <v>Low Quality</v>
      </c>
      <c r="Q1704" s="4" t="str">
        <f t="shared" si="161"/>
        <v>Moderate Growth</v>
      </c>
    </row>
    <row r="1705" spans="1:17" x14ac:dyDescent="0.35">
      <c r="A1705" s="2" t="s">
        <v>1716</v>
      </c>
      <c r="B1705" s="2">
        <v>5</v>
      </c>
      <c r="C1705" s="2">
        <v>1092204.1200000001</v>
      </c>
      <c r="D1705" s="2">
        <v>0.4</v>
      </c>
      <c r="E1705" s="2">
        <v>3369112.6979999999</v>
      </c>
      <c r="F1705" s="2">
        <v>3045848.9</v>
      </c>
      <c r="G1705" s="2">
        <v>3</v>
      </c>
      <c r="H1705" s="2">
        <v>1</v>
      </c>
      <c r="I1705" s="2">
        <v>3</v>
      </c>
      <c r="J1705" s="2">
        <v>2.4</v>
      </c>
      <c r="K1705" s="2" t="s">
        <v>1268</v>
      </c>
      <c r="L1705" s="2" t="str">
        <f t="shared" si="156"/>
        <v>Profitable</v>
      </c>
      <c r="M1705" s="2" t="str">
        <f t="shared" si="157"/>
        <v>Stable Earnings</v>
      </c>
      <c r="N1705" s="2" t="str">
        <f t="shared" si="158"/>
        <v>Low Quality</v>
      </c>
      <c r="O1705" s="4" t="str">
        <f t="shared" si="159"/>
        <v>Accounting Risk</v>
      </c>
      <c r="P1705" s="4" t="str">
        <f t="shared" si="160"/>
        <v>Low Quality</v>
      </c>
      <c r="Q1705" s="4" t="str">
        <f t="shared" si="161"/>
        <v>Moderate Growth</v>
      </c>
    </row>
    <row r="1706" spans="1:17" x14ac:dyDescent="0.35">
      <c r="A1706" s="2" t="s">
        <v>1717</v>
      </c>
      <c r="B1706" s="2">
        <v>5</v>
      </c>
      <c r="C1706" s="2">
        <v>-56914.400000000001</v>
      </c>
      <c r="D1706" s="2">
        <v>0.6</v>
      </c>
      <c r="E1706" s="2">
        <v>3525693.9950000001</v>
      </c>
      <c r="F1706" s="2">
        <v>7431848.0999999996</v>
      </c>
      <c r="G1706" s="2">
        <v>3</v>
      </c>
      <c r="H1706" s="2">
        <v>1</v>
      </c>
      <c r="I1706" s="2">
        <v>3</v>
      </c>
      <c r="J1706" s="2">
        <v>2.4</v>
      </c>
      <c r="K1706" s="2" t="s">
        <v>1268</v>
      </c>
      <c r="L1706" s="2" t="str">
        <f t="shared" si="156"/>
        <v>Loss Making</v>
      </c>
      <c r="M1706" s="2" t="str">
        <f t="shared" si="157"/>
        <v>Stable Earnings</v>
      </c>
      <c r="N1706" s="2" t="str">
        <f t="shared" si="158"/>
        <v>Low Quality</v>
      </c>
      <c r="O1706" s="4" t="str">
        <f t="shared" si="159"/>
        <v>Accounting Risk</v>
      </c>
      <c r="P1706" s="4" t="str">
        <f t="shared" si="160"/>
        <v>Low Quality</v>
      </c>
      <c r="Q1706" s="4" t="str">
        <f t="shared" si="161"/>
        <v>Moderate Growth</v>
      </c>
    </row>
    <row r="1707" spans="1:17" x14ac:dyDescent="0.35">
      <c r="A1707" s="2" t="s">
        <v>1718</v>
      </c>
      <c r="B1707" s="2">
        <v>5</v>
      </c>
      <c r="C1707" s="2">
        <v>5316011.04</v>
      </c>
      <c r="D1707" s="2">
        <v>0.8</v>
      </c>
      <c r="E1707" s="2">
        <v>4448865.8720000004</v>
      </c>
      <c r="F1707" s="2">
        <v>7183466.5</v>
      </c>
      <c r="G1707" s="2">
        <v>3</v>
      </c>
      <c r="H1707" s="2">
        <v>1</v>
      </c>
      <c r="I1707" s="2">
        <v>3</v>
      </c>
      <c r="J1707" s="2">
        <v>2.4</v>
      </c>
      <c r="K1707" s="2" t="s">
        <v>1268</v>
      </c>
      <c r="L1707" s="2" t="str">
        <f t="shared" si="156"/>
        <v>Profitable</v>
      </c>
      <c r="M1707" s="2" t="str">
        <f t="shared" si="157"/>
        <v>Stable Earnings</v>
      </c>
      <c r="N1707" s="2" t="str">
        <f t="shared" si="158"/>
        <v>Low Quality</v>
      </c>
      <c r="O1707" s="4" t="str">
        <f t="shared" si="159"/>
        <v>Operational Growth</v>
      </c>
      <c r="P1707" s="4" t="str">
        <f t="shared" si="160"/>
        <v>Low Quality</v>
      </c>
      <c r="Q1707" s="4" t="str">
        <f t="shared" si="161"/>
        <v>Moderate Growth</v>
      </c>
    </row>
    <row r="1708" spans="1:17" x14ac:dyDescent="0.35">
      <c r="A1708" s="2" t="s">
        <v>1719</v>
      </c>
      <c r="B1708" s="2">
        <v>5</v>
      </c>
      <c r="C1708" s="2">
        <v>7264785.5800000001</v>
      </c>
      <c r="D1708" s="2">
        <v>0.8</v>
      </c>
      <c r="E1708" s="2">
        <v>5389469.1919999998</v>
      </c>
      <c r="F1708" s="2">
        <v>6500242</v>
      </c>
      <c r="G1708" s="2">
        <v>3</v>
      </c>
      <c r="H1708" s="2">
        <v>1</v>
      </c>
      <c r="I1708" s="2">
        <v>3</v>
      </c>
      <c r="J1708" s="2">
        <v>2.4</v>
      </c>
      <c r="K1708" s="2" t="s">
        <v>1268</v>
      </c>
      <c r="L1708" s="2" t="str">
        <f t="shared" si="156"/>
        <v>Profitable</v>
      </c>
      <c r="M1708" s="2" t="str">
        <f t="shared" si="157"/>
        <v>Stable Earnings</v>
      </c>
      <c r="N1708" s="2" t="str">
        <f t="shared" si="158"/>
        <v>Low Quality</v>
      </c>
      <c r="O1708" s="4" t="str">
        <f t="shared" si="159"/>
        <v>Operational Growth</v>
      </c>
      <c r="P1708" s="4" t="str">
        <f t="shared" si="160"/>
        <v>Low Quality</v>
      </c>
      <c r="Q1708" s="4" t="str">
        <f t="shared" si="161"/>
        <v>Moderate Growth</v>
      </c>
    </row>
    <row r="1709" spans="1:17" x14ac:dyDescent="0.35">
      <c r="A1709" s="2" t="s">
        <v>1720</v>
      </c>
      <c r="B1709" s="2">
        <v>5</v>
      </c>
      <c r="C1709" s="2">
        <v>3647478.26</v>
      </c>
      <c r="D1709" s="2">
        <v>0.8</v>
      </c>
      <c r="E1709" s="2">
        <v>4722876.2300000004</v>
      </c>
      <c r="F1709" s="2">
        <v>6598283.2000000002</v>
      </c>
      <c r="G1709" s="2">
        <v>3</v>
      </c>
      <c r="H1709" s="2">
        <v>1</v>
      </c>
      <c r="I1709" s="2">
        <v>3</v>
      </c>
      <c r="J1709" s="2">
        <v>2.4</v>
      </c>
      <c r="K1709" s="2" t="s">
        <v>1268</v>
      </c>
      <c r="L1709" s="2" t="str">
        <f t="shared" si="156"/>
        <v>Profitable</v>
      </c>
      <c r="M1709" s="2" t="str">
        <f t="shared" si="157"/>
        <v>Stable Earnings</v>
      </c>
      <c r="N1709" s="2" t="str">
        <f t="shared" si="158"/>
        <v>Low Quality</v>
      </c>
      <c r="O1709" s="4" t="str">
        <f t="shared" si="159"/>
        <v>Operational Growth</v>
      </c>
      <c r="P1709" s="4" t="str">
        <f t="shared" si="160"/>
        <v>Low Quality</v>
      </c>
      <c r="Q1709" s="4" t="str">
        <f t="shared" si="161"/>
        <v>Moderate Growth</v>
      </c>
    </row>
    <row r="1710" spans="1:17" x14ac:dyDescent="0.35">
      <c r="A1710" s="2" t="s">
        <v>1721</v>
      </c>
      <c r="B1710" s="2">
        <v>5</v>
      </c>
      <c r="C1710" s="2">
        <v>-33541.24</v>
      </c>
      <c r="D1710" s="2">
        <v>0.6</v>
      </c>
      <c r="E1710" s="2">
        <v>3262556.3420000002</v>
      </c>
      <c r="F1710" s="2">
        <v>5553963.5</v>
      </c>
      <c r="G1710" s="2">
        <v>3</v>
      </c>
      <c r="H1710" s="2">
        <v>1</v>
      </c>
      <c r="I1710" s="2">
        <v>3</v>
      </c>
      <c r="J1710" s="2">
        <v>2.4</v>
      </c>
      <c r="K1710" s="2" t="s">
        <v>1268</v>
      </c>
      <c r="L1710" s="2" t="str">
        <f t="shared" si="156"/>
        <v>Loss Making</v>
      </c>
      <c r="M1710" s="2" t="str">
        <f t="shared" si="157"/>
        <v>Stable Earnings</v>
      </c>
      <c r="N1710" s="2" t="str">
        <f t="shared" si="158"/>
        <v>Low Quality</v>
      </c>
      <c r="O1710" s="4" t="str">
        <f t="shared" si="159"/>
        <v>Accounting Risk</v>
      </c>
      <c r="P1710" s="4" t="str">
        <f t="shared" si="160"/>
        <v>Low Quality</v>
      </c>
      <c r="Q1710" s="4" t="str">
        <f t="shared" si="161"/>
        <v>Moderate Growth</v>
      </c>
    </row>
    <row r="1711" spans="1:17" x14ac:dyDescent="0.35">
      <c r="A1711" s="2" t="s">
        <v>1722</v>
      </c>
      <c r="B1711" s="2">
        <v>5</v>
      </c>
      <c r="C1711" s="2">
        <v>-3079387.98</v>
      </c>
      <c r="D1711" s="2">
        <v>0.4</v>
      </c>
      <c r="E1711" s="2">
        <v>10299294.289999999</v>
      </c>
      <c r="F1711" s="2">
        <v>5420949.7000000002</v>
      </c>
      <c r="G1711" s="2">
        <v>3</v>
      </c>
      <c r="H1711" s="2">
        <v>1</v>
      </c>
      <c r="I1711" s="2">
        <v>3</v>
      </c>
      <c r="J1711" s="2">
        <v>2.4</v>
      </c>
      <c r="K1711" s="2" t="s">
        <v>1268</v>
      </c>
      <c r="L1711" s="2" t="str">
        <f t="shared" si="156"/>
        <v>Loss Making</v>
      </c>
      <c r="M1711" s="2" t="str">
        <f t="shared" si="157"/>
        <v>Stable Earnings</v>
      </c>
      <c r="N1711" s="2" t="str">
        <f t="shared" si="158"/>
        <v>Low Quality</v>
      </c>
      <c r="O1711" s="4" t="str">
        <f t="shared" si="159"/>
        <v>Accounting Risk</v>
      </c>
      <c r="P1711" s="4" t="str">
        <f t="shared" si="160"/>
        <v>Low Quality</v>
      </c>
      <c r="Q1711" s="4" t="str">
        <f t="shared" si="161"/>
        <v>Moderate Growth</v>
      </c>
    </row>
    <row r="1712" spans="1:17" x14ac:dyDescent="0.35">
      <c r="A1712" s="2" t="s">
        <v>1723</v>
      </c>
      <c r="B1712" s="2">
        <v>5</v>
      </c>
      <c r="C1712" s="2">
        <v>1555826</v>
      </c>
      <c r="D1712" s="2">
        <v>0.6</v>
      </c>
      <c r="E1712" s="2">
        <v>2397928.449</v>
      </c>
      <c r="F1712" s="2">
        <v>5340063.3</v>
      </c>
      <c r="G1712" s="2">
        <v>3</v>
      </c>
      <c r="H1712" s="2">
        <v>1</v>
      </c>
      <c r="I1712" s="2">
        <v>3</v>
      </c>
      <c r="J1712" s="2">
        <v>2.4</v>
      </c>
      <c r="K1712" s="2" t="s">
        <v>1268</v>
      </c>
      <c r="L1712" s="2" t="str">
        <f t="shared" si="156"/>
        <v>Profitable</v>
      </c>
      <c r="M1712" s="2" t="str">
        <f t="shared" si="157"/>
        <v>Stable Earnings</v>
      </c>
      <c r="N1712" s="2" t="str">
        <f t="shared" si="158"/>
        <v>Low Quality</v>
      </c>
      <c r="O1712" s="4" t="str">
        <f t="shared" si="159"/>
        <v>Accounting Risk</v>
      </c>
      <c r="P1712" s="4" t="str">
        <f t="shared" si="160"/>
        <v>Low Quality</v>
      </c>
      <c r="Q1712" s="4" t="str">
        <f t="shared" si="161"/>
        <v>Moderate Growth</v>
      </c>
    </row>
    <row r="1713" spans="1:17" x14ac:dyDescent="0.35">
      <c r="A1713" s="2" t="s">
        <v>1724</v>
      </c>
      <c r="B1713" s="2">
        <v>5</v>
      </c>
      <c r="C1713" s="2">
        <v>-2085127.22</v>
      </c>
      <c r="D1713" s="2">
        <v>0.4</v>
      </c>
      <c r="E1713" s="2">
        <v>4566767.4720000001</v>
      </c>
      <c r="F1713" s="2">
        <v>4115866.4</v>
      </c>
      <c r="G1713" s="2">
        <v>3</v>
      </c>
      <c r="H1713" s="2">
        <v>1</v>
      </c>
      <c r="I1713" s="2">
        <v>3</v>
      </c>
      <c r="J1713" s="2">
        <v>2.4</v>
      </c>
      <c r="K1713" s="2" t="s">
        <v>1268</v>
      </c>
      <c r="L1713" s="2" t="str">
        <f t="shared" si="156"/>
        <v>Loss Making</v>
      </c>
      <c r="M1713" s="2" t="str">
        <f t="shared" si="157"/>
        <v>Stable Earnings</v>
      </c>
      <c r="N1713" s="2" t="str">
        <f t="shared" si="158"/>
        <v>Low Quality</v>
      </c>
      <c r="O1713" s="4" t="str">
        <f t="shared" si="159"/>
        <v>Accounting Risk</v>
      </c>
      <c r="P1713" s="4" t="str">
        <f t="shared" si="160"/>
        <v>Low Quality</v>
      </c>
      <c r="Q1713" s="4" t="str">
        <f t="shared" si="161"/>
        <v>Moderate Growth</v>
      </c>
    </row>
    <row r="1714" spans="1:17" x14ac:dyDescent="0.35">
      <c r="A1714" s="2" t="s">
        <v>1725</v>
      </c>
      <c r="B1714" s="2">
        <v>5</v>
      </c>
      <c r="C1714" s="2">
        <v>2513030.44</v>
      </c>
      <c r="D1714" s="2">
        <v>0.6</v>
      </c>
      <c r="E1714" s="2">
        <v>8806655.1319999993</v>
      </c>
      <c r="F1714" s="2">
        <v>4266571.3</v>
      </c>
      <c r="G1714" s="2">
        <v>3</v>
      </c>
      <c r="H1714" s="2">
        <v>1</v>
      </c>
      <c r="I1714" s="2">
        <v>3</v>
      </c>
      <c r="J1714" s="2">
        <v>2.4</v>
      </c>
      <c r="K1714" s="2" t="s">
        <v>1268</v>
      </c>
      <c r="L1714" s="2" t="str">
        <f t="shared" si="156"/>
        <v>Profitable</v>
      </c>
      <c r="M1714" s="2" t="str">
        <f t="shared" si="157"/>
        <v>Stable Earnings</v>
      </c>
      <c r="N1714" s="2" t="str">
        <f t="shared" si="158"/>
        <v>Low Quality</v>
      </c>
      <c r="O1714" s="4" t="str">
        <f t="shared" si="159"/>
        <v>Accounting Risk</v>
      </c>
      <c r="P1714" s="4" t="str">
        <f t="shared" si="160"/>
        <v>Low Quality</v>
      </c>
      <c r="Q1714" s="4" t="str">
        <f t="shared" si="161"/>
        <v>Moderate Growth</v>
      </c>
    </row>
    <row r="1715" spans="1:17" x14ac:dyDescent="0.35">
      <c r="A1715" s="2" t="s">
        <v>1726</v>
      </c>
      <c r="B1715" s="2">
        <v>5</v>
      </c>
      <c r="C1715" s="2">
        <v>2805915.78</v>
      </c>
      <c r="D1715" s="2">
        <v>0.8</v>
      </c>
      <c r="E1715" s="2">
        <v>2478795.4559999998</v>
      </c>
      <c r="F1715" s="2">
        <v>4671842.5999999996</v>
      </c>
      <c r="G1715" s="2">
        <v>3</v>
      </c>
      <c r="H1715" s="2">
        <v>1</v>
      </c>
      <c r="I1715" s="2">
        <v>3</v>
      </c>
      <c r="J1715" s="2">
        <v>2.4</v>
      </c>
      <c r="K1715" s="2" t="s">
        <v>1268</v>
      </c>
      <c r="L1715" s="2" t="str">
        <f t="shared" si="156"/>
        <v>Profitable</v>
      </c>
      <c r="M1715" s="2" t="str">
        <f t="shared" si="157"/>
        <v>Stable Earnings</v>
      </c>
      <c r="N1715" s="2" t="str">
        <f t="shared" si="158"/>
        <v>Low Quality</v>
      </c>
      <c r="O1715" s="4" t="str">
        <f t="shared" si="159"/>
        <v>Operational Growth</v>
      </c>
      <c r="P1715" s="4" t="str">
        <f t="shared" si="160"/>
        <v>Low Quality</v>
      </c>
      <c r="Q1715" s="4" t="str">
        <f t="shared" si="161"/>
        <v>Moderate Growth</v>
      </c>
    </row>
    <row r="1716" spans="1:17" x14ac:dyDescent="0.35">
      <c r="A1716" s="2" t="s">
        <v>1727</v>
      </c>
      <c r="B1716" s="2">
        <v>5</v>
      </c>
      <c r="C1716" s="2">
        <v>7282013.3799999999</v>
      </c>
      <c r="D1716" s="2">
        <v>0.8</v>
      </c>
      <c r="E1716" s="2">
        <v>5775287.9230000004</v>
      </c>
      <c r="F1716" s="2">
        <v>4664033.5999999996</v>
      </c>
      <c r="G1716" s="2">
        <v>3</v>
      </c>
      <c r="H1716" s="2">
        <v>1</v>
      </c>
      <c r="I1716" s="2">
        <v>3</v>
      </c>
      <c r="J1716" s="2">
        <v>2.4</v>
      </c>
      <c r="K1716" s="2" t="s">
        <v>1268</v>
      </c>
      <c r="L1716" s="2" t="str">
        <f t="shared" si="156"/>
        <v>Profitable</v>
      </c>
      <c r="M1716" s="2" t="str">
        <f t="shared" si="157"/>
        <v>Stable Earnings</v>
      </c>
      <c r="N1716" s="2" t="str">
        <f t="shared" si="158"/>
        <v>Low Quality</v>
      </c>
      <c r="O1716" s="4" t="str">
        <f t="shared" si="159"/>
        <v>Operational Growth</v>
      </c>
      <c r="P1716" s="4" t="str">
        <f t="shared" si="160"/>
        <v>Low Quality</v>
      </c>
      <c r="Q1716" s="4" t="str">
        <f t="shared" si="161"/>
        <v>Moderate Growth</v>
      </c>
    </row>
    <row r="1717" spans="1:17" x14ac:dyDescent="0.35">
      <c r="A1717" s="2" t="s">
        <v>1728</v>
      </c>
      <c r="B1717" s="2">
        <v>5</v>
      </c>
      <c r="C1717" s="2">
        <v>426054.5</v>
      </c>
      <c r="D1717" s="2">
        <v>0.6</v>
      </c>
      <c r="E1717" s="2">
        <v>4205629.4390000002</v>
      </c>
      <c r="F1717" s="2">
        <v>-4611736.7</v>
      </c>
      <c r="G1717" s="2">
        <v>3</v>
      </c>
      <c r="H1717" s="2">
        <v>1</v>
      </c>
      <c r="I1717" s="2">
        <v>3</v>
      </c>
      <c r="J1717" s="2">
        <v>2.4</v>
      </c>
      <c r="K1717" s="2" t="s">
        <v>1268</v>
      </c>
      <c r="L1717" s="2" t="str">
        <f t="shared" si="156"/>
        <v>Profitable</v>
      </c>
      <c r="M1717" s="2" t="str">
        <f t="shared" si="157"/>
        <v>Stable Earnings</v>
      </c>
      <c r="N1717" s="2" t="str">
        <f t="shared" si="158"/>
        <v>Low Quality</v>
      </c>
      <c r="O1717" s="4" t="str">
        <f t="shared" si="159"/>
        <v>Accounting Risk</v>
      </c>
      <c r="P1717" s="4" t="str">
        <f t="shared" si="160"/>
        <v>Low Quality</v>
      </c>
      <c r="Q1717" s="4" t="str">
        <f t="shared" si="161"/>
        <v>Moderate Growth</v>
      </c>
    </row>
    <row r="1718" spans="1:17" x14ac:dyDescent="0.35">
      <c r="A1718" s="2" t="s">
        <v>1729</v>
      </c>
      <c r="B1718" s="2">
        <v>5</v>
      </c>
      <c r="C1718" s="2">
        <v>2502748.2599999998</v>
      </c>
      <c r="D1718" s="2">
        <v>0.6</v>
      </c>
      <c r="E1718" s="2">
        <v>6488685.3219999997</v>
      </c>
      <c r="F1718" s="2">
        <v>-4618709.3</v>
      </c>
      <c r="G1718" s="2">
        <v>3</v>
      </c>
      <c r="H1718" s="2">
        <v>1</v>
      </c>
      <c r="I1718" s="2">
        <v>3</v>
      </c>
      <c r="J1718" s="2">
        <v>2.4</v>
      </c>
      <c r="K1718" s="2" t="s">
        <v>1268</v>
      </c>
      <c r="L1718" s="2" t="str">
        <f t="shared" si="156"/>
        <v>Profitable</v>
      </c>
      <c r="M1718" s="2" t="str">
        <f t="shared" si="157"/>
        <v>Stable Earnings</v>
      </c>
      <c r="N1718" s="2" t="str">
        <f t="shared" si="158"/>
        <v>Low Quality</v>
      </c>
      <c r="O1718" s="4" t="str">
        <f t="shared" si="159"/>
        <v>Accounting Risk</v>
      </c>
      <c r="P1718" s="4" t="str">
        <f t="shared" si="160"/>
        <v>Low Quality</v>
      </c>
      <c r="Q1718" s="4" t="str">
        <f t="shared" si="161"/>
        <v>Moderate Growth</v>
      </c>
    </row>
    <row r="1719" spans="1:17" x14ac:dyDescent="0.35">
      <c r="A1719" s="2" t="s">
        <v>1730</v>
      </c>
      <c r="B1719" s="2">
        <v>5</v>
      </c>
      <c r="C1719" s="2">
        <v>656186.6</v>
      </c>
      <c r="D1719" s="2">
        <v>0.6</v>
      </c>
      <c r="E1719" s="2">
        <v>6753807.4210000001</v>
      </c>
      <c r="F1719" s="2">
        <v>-1542346.5</v>
      </c>
      <c r="G1719" s="2">
        <v>3</v>
      </c>
      <c r="H1719" s="2">
        <v>1</v>
      </c>
      <c r="I1719" s="2">
        <v>3</v>
      </c>
      <c r="J1719" s="2">
        <v>2.4</v>
      </c>
      <c r="K1719" s="2" t="s">
        <v>1268</v>
      </c>
      <c r="L1719" s="2" t="str">
        <f t="shared" si="156"/>
        <v>Profitable</v>
      </c>
      <c r="M1719" s="2" t="str">
        <f t="shared" si="157"/>
        <v>Stable Earnings</v>
      </c>
      <c r="N1719" s="2" t="str">
        <f t="shared" si="158"/>
        <v>Low Quality</v>
      </c>
      <c r="O1719" s="4" t="str">
        <f t="shared" si="159"/>
        <v>Accounting Risk</v>
      </c>
      <c r="P1719" s="4" t="str">
        <f t="shared" si="160"/>
        <v>Low Quality</v>
      </c>
      <c r="Q1719" s="4" t="str">
        <f t="shared" si="161"/>
        <v>Moderate Growth</v>
      </c>
    </row>
    <row r="1720" spans="1:17" x14ac:dyDescent="0.35">
      <c r="A1720" s="2" t="s">
        <v>1731</v>
      </c>
      <c r="B1720" s="2">
        <v>5</v>
      </c>
      <c r="C1720" s="2">
        <v>1518889</v>
      </c>
      <c r="D1720" s="2">
        <v>0.4</v>
      </c>
      <c r="E1720" s="2">
        <v>7038375.2680000002</v>
      </c>
      <c r="F1720" s="2">
        <v>-2799399.7</v>
      </c>
      <c r="G1720" s="2">
        <v>3</v>
      </c>
      <c r="H1720" s="2">
        <v>1</v>
      </c>
      <c r="I1720" s="2">
        <v>3</v>
      </c>
      <c r="J1720" s="2">
        <v>2.4</v>
      </c>
      <c r="K1720" s="2" t="s">
        <v>1268</v>
      </c>
      <c r="L1720" s="2" t="str">
        <f t="shared" si="156"/>
        <v>Profitable</v>
      </c>
      <c r="M1720" s="2" t="str">
        <f t="shared" si="157"/>
        <v>Stable Earnings</v>
      </c>
      <c r="N1720" s="2" t="str">
        <f t="shared" si="158"/>
        <v>Low Quality</v>
      </c>
      <c r="O1720" s="4" t="str">
        <f t="shared" si="159"/>
        <v>Accounting Risk</v>
      </c>
      <c r="P1720" s="4" t="str">
        <f t="shared" si="160"/>
        <v>Low Quality</v>
      </c>
      <c r="Q1720" s="4" t="str">
        <f t="shared" si="161"/>
        <v>Moderate Growth</v>
      </c>
    </row>
    <row r="1721" spans="1:17" x14ac:dyDescent="0.35">
      <c r="A1721" s="2" t="s">
        <v>1732</v>
      </c>
      <c r="B1721" s="2">
        <v>5</v>
      </c>
      <c r="C1721" s="2">
        <v>3557852.16</v>
      </c>
      <c r="D1721" s="2">
        <v>0.8</v>
      </c>
      <c r="E1721" s="2">
        <v>3938333.8849999998</v>
      </c>
      <c r="F1721" s="2">
        <v>-1939895.4</v>
      </c>
      <c r="G1721" s="2">
        <v>3</v>
      </c>
      <c r="H1721" s="2">
        <v>1</v>
      </c>
      <c r="I1721" s="2">
        <v>3</v>
      </c>
      <c r="J1721" s="2">
        <v>2.4</v>
      </c>
      <c r="K1721" s="2" t="s">
        <v>1268</v>
      </c>
      <c r="L1721" s="2" t="str">
        <f t="shared" si="156"/>
        <v>Profitable</v>
      </c>
      <c r="M1721" s="2" t="str">
        <f t="shared" si="157"/>
        <v>Stable Earnings</v>
      </c>
      <c r="N1721" s="2" t="str">
        <f t="shared" si="158"/>
        <v>Low Quality</v>
      </c>
      <c r="O1721" s="4" t="str">
        <f t="shared" si="159"/>
        <v>Accounting Risk</v>
      </c>
      <c r="P1721" s="4" t="str">
        <f t="shared" si="160"/>
        <v>Low Quality</v>
      </c>
      <c r="Q1721" s="4" t="str">
        <f t="shared" si="161"/>
        <v>Moderate Growth</v>
      </c>
    </row>
    <row r="1722" spans="1:17" x14ac:dyDescent="0.35">
      <c r="A1722" s="2" t="s">
        <v>1733</v>
      </c>
      <c r="B1722" s="2">
        <v>5</v>
      </c>
      <c r="C1722" s="2">
        <v>-18931.34</v>
      </c>
      <c r="D1722" s="2">
        <v>0.6</v>
      </c>
      <c r="E1722" s="2">
        <v>2938475.7179999999</v>
      </c>
      <c r="F1722" s="2">
        <v>-2188858.1</v>
      </c>
      <c r="G1722" s="2">
        <v>3</v>
      </c>
      <c r="H1722" s="2">
        <v>1</v>
      </c>
      <c r="I1722" s="2">
        <v>3</v>
      </c>
      <c r="J1722" s="2">
        <v>2.4</v>
      </c>
      <c r="K1722" s="2" t="s">
        <v>1268</v>
      </c>
      <c r="L1722" s="2" t="str">
        <f t="shared" si="156"/>
        <v>Loss Making</v>
      </c>
      <c r="M1722" s="2" t="str">
        <f t="shared" si="157"/>
        <v>Stable Earnings</v>
      </c>
      <c r="N1722" s="2" t="str">
        <f t="shared" si="158"/>
        <v>Low Quality</v>
      </c>
      <c r="O1722" s="4" t="str">
        <f t="shared" si="159"/>
        <v>Accounting Risk</v>
      </c>
      <c r="P1722" s="4" t="str">
        <f t="shared" si="160"/>
        <v>Low Quality</v>
      </c>
      <c r="Q1722" s="4" t="str">
        <f t="shared" si="161"/>
        <v>Moderate Growth</v>
      </c>
    </row>
    <row r="1723" spans="1:17" x14ac:dyDescent="0.35">
      <c r="A1723" s="2" t="s">
        <v>1734</v>
      </c>
      <c r="B1723" s="2">
        <v>5</v>
      </c>
      <c r="C1723" s="2">
        <v>-3224.42</v>
      </c>
      <c r="D1723" s="2">
        <v>0.4</v>
      </c>
      <c r="E1723" s="2">
        <v>46862.900300000001</v>
      </c>
      <c r="F1723" s="2">
        <v>113949.6</v>
      </c>
      <c r="G1723" s="2">
        <v>3</v>
      </c>
      <c r="H1723" s="2">
        <v>1</v>
      </c>
      <c r="I1723" s="2">
        <v>3</v>
      </c>
      <c r="J1723" s="2">
        <v>2.4</v>
      </c>
      <c r="K1723" s="2" t="s">
        <v>1268</v>
      </c>
      <c r="L1723" s="2" t="str">
        <f t="shared" si="156"/>
        <v>Loss Making</v>
      </c>
      <c r="M1723" s="2" t="str">
        <f t="shared" si="157"/>
        <v>Stable Earnings</v>
      </c>
      <c r="N1723" s="2" t="str">
        <f t="shared" si="158"/>
        <v>Low Quality</v>
      </c>
      <c r="O1723" s="4" t="str">
        <f t="shared" si="159"/>
        <v>Accounting Risk</v>
      </c>
      <c r="P1723" s="4" t="str">
        <f t="shared" si="160"/>
        <v>Low Quality</v>
      </c>
      <c r="Q1723" s="4" t="str">
        <f t="shared" si="161"/>
        <v>Moderate Growth</v>
      </c>
    </row>
    <row r="1724" spans="1:17" x14ac:dyDescent="0.35">
      <c r="A1724" s="2" t="s">
        <v>1735</v>
      </c>
      <c r="B1724" s="2">
        <v>5</v>
      </c>
      <c r="C1724" s="2">
        <v>170429</v>
      </c>
      <c r="D1724" s="2">
        <v>0.8</v>
      </c>
      <c r="E1724" s="2">
        <v>206946.42360000001</v>
      </c>
      <c r="F1724" s="2">
        <v>78420.7</v>
      </c>
      <c r="G1724" s="2">
        <v>3</v>
      </c>
      <c r="H1724" s="2">
        <v>1</v>
      </c>
      <c r="I1724" s="2">
        <v>3</v>
      </c>
      <c r="J1724" s="2">
        <v>2.4</v>
      </c>
      <c r="K1724" s="2" t="s">
        <v>1268</v>
      </c>
      <c r="L1724" s="2" t="str">
        <f t="shared" si="156"/>
        <v>Profitable</v>
      </c>
      <c r="M1724" s="2" t="str">
        <f t="shared" si="157"/>
        <v>Stable Earnings</v>
      </c>
      <c r="N1724" s="2" t="str">
        <f t="shared" si="158"/>
        <v>Low Quality</v>
      </c>
      <c r="O1724" s="4" t="str">
        <f t="shared" si="159"/>
        <v>Operational Growth</v>
      </c>
      <c r="P1724" s="4" t="str">
        <f t="shared" si="160"/>
        <v>Low Quality</v>
      </c>
      <c r="Q1724" s="4" t="str">
        <f t="shared" si="161"/>
        <v>Moderate Growth</v>
      </c>
    </row>
    <row r="1725" spans="1:17" x14ac:dyDescent="0.35">
      <c r="A1725" s="2" t="s">
        <v>1736</v>
      </c>
      <c r="B1725" s="2">
        <v>5</v>
      </c>
      <c r="C1725" s="2">
        <v>-204924.08</v>
      </c>
      <c r="D1725" s="2">
        <v>0.6</v>
      </c>
      <c r="E1725" s="2">
        <v>579288.80920000002</v>
      </c>
      <c r="F1725" s="2">
        <v>-49690.5</v>
      </c>
      <c r="G1725" s="2">
        <v>3</v>
      </c>
      <c r="H1725" s="2">
        <v>1</v>
      </c>
      <c r="I1725" s="2">
        <v>3</v>
      </c>
      <c r="J1725" s="2">
        <v>2.4</v>
      </c>
      <c r="K1725" s="2" t="s">
        <v>1268</v>
      </c>
      <c r="L1725" s="2" t="str">
        <f t="shared" si="156"/>
        <v>Loss Making</v>
      </c>
      <c r="M1725" s="2" t="str">
        <f t="shared" si="157"/>
        <v>Stable Earnings</v>
      </c>
      <c r="N1725" s="2" t="str">
        <f t="shared" si="158"/>
        <v>Low Quality</v>
      </c>
      <c r="O1725" s="4" t="str">
        <f t="shared" si="159"/>
        <v>Accounting Risk</v>
      </c>
      <c r="P1725" s="4" t="str">
        <f t="shared" si="160"/>
        <v>Low Quality</v>
      </c>
      <c r="Q1725" s="4" t="str">
        <f t="shared" si="161"/>
        <v>Moderate Growth</v>
      </c>
    </row>
    <row r="1726" spans="1:17" x14ac:dyDescent="0.35">
      <c r="A1726" s="2" t="s">
        <v>1737</v>
      </c>
      <c r="B1726" s="2">
        <v>5</v>
      </c>
      <c r="C1726" s="2">
        <v>101957015.09999999</v>
      </c>
      <c r="D1726" s="2">
        <v>1</v>
      </c>
      <c r="E1726" s="2">
        <v>21707618.91</v>
      </c>
      <c r="F1726" s="2">
        <v>-14592642.4</v>
      </c>
      <c r="G1726" s="2">
        <v>2</v>
      </c>
      <c r="H1726" s="2">
        <v>2</v>
      </c>
      <c r="I1726" s="2">
        <v>4</v>
      </c>
      <c r="J1726" s="2">
        <v>2.4</v>
      </c>
      <c r="K1726" s="2" t="s">
        <v>1268</v>
      </c>
      <c r="L1726" s="2" t="str">
        <f t="shared" si="156"/>
        <v>Profitable</v>
      </c>
      <c r="M1726" s="2" t="str">
        <f t="shared" si="157"/>
        <v>Stable Earnings</v>
      </c>
      <c r="N1726" s="2" t="str">
        <f t="shared" si="158"/>
        <v>Low Quality</v>
      </c>
      <c r="O1726" s="4" t="str">
        <f t="shared" si="159"/>
        <v>Accounting Risk</v>
      </c>
      <c r="P1726" s="4" t="str">
        <f t="shared" si="160"/>
        <v>Low Quality</v>
      </c>
      <c r="Q1726" s="4" t="str">
        <f t="shared" si="161"/>
        <v>Strong Long-Term Growth</v>
      </c>
    </row>
    <row r="1727" spans="1:17" x14ac:dyDescent="0.35">
      <c r="A1727" s="2" t="s">
        <v>1738</v>
      </c>
      <c r="B1727" s="2">
        <v>5</v>
      </c>
      <c r="C1727" s="2">
        <v>11981752.82</v>
      </c>
      <c r="D1727" s="2">
        <v>0.8</v>
      </c>
      <c r="E1727" s="2">
        <v>17071762.949999999</v>
      </c>
      <c r="F1727" s="2">
        <v>-17084958.899999999</v>
      </c>
      <c r="G1727" s="2">
        <v>2</v>
      </c>
      <c r="H1727" s="2">
        <v>2</v>
      </c>
      <c r="I1727" s="2">
        <v>4</v>
      </c>
      <c r="J1727" s="2">
        <v>2.4</v>
      </c>
      <c r="K1727" s="2" t="s">
        <v>1268</v>
      </c>
      <c r="L1727" s="2" t="str">
        <f t="shared" si="156"/>
        <v>Profitable</v>
      </c>
      <c r="M1727" s="2" t="str">
        <f t="shared" si="157"/>
        <v>Stable Earnings</v>
      </c>
      <c r="N1727" s="2" t="str">
        <f t="shared" si="158"/>
        <v>Low Quality</v>
      </c>
      <c r="O1727" s="4" t="str">
        <f t="shared" si="159"/>
        <v>Accounting Risk</v>
      </c>
      <c r="P1727" s="4" t="str">
        <f t="shared" si="160"/>
        <v>Low Quality</v>
      </c>
      <c r="Q1727" s="4" t="str">
        <f t="shared" si="161"/>
        <v>Strong Long-Term Growth</v>
      </c>
    </row>
    <row r="1728" spans="1:17" x14ac:dyDescent="0.35">
      <c r="A1728" s="2" t="s">
        <v>1739</v>
      </c>
      <c r="B1728" s="2">
        <v>5</v>
      </c>
      <c r="C1728" s="2">
        <v>52458259.520000003</v>
      </c>
      <c r="D1728" s="2">
        <v>1</v>
      </c>
      <c r="E1728" s="2">
        <v>24737567.27</v>
      </c>
      <c r="F1728" s="2">
        <v>-7080699.2999999998</v>
      </c>
      <c r="G1728" s="2">
        <v>2</v>
      </c>
      <c r="H1728" s="2">
        <v>2</v>
      </c>
      <c r="I1728" s="2">
        <v>4</v>
      </c>
      <c r="J1728" s="2">
        <v>2.4</v>
      </c>
      <c r="K1728" s="2" t="s">
        <v>1268</v>
      </c>
      <c r="L1728" s="2" t="str">
        <f t="shared" si="156"/>
        <v>Profitable</v>
      </c>
      <c r="M1728" s="2" t="str">
        <f t="shared" si="157"/>
        <v>Stable Earnings</v>
      </c>
      <c r="N1728" s="2" t="str">
        <f t="shared" si="158"/>
        <v>Low Quality</v>
      </c>
      <c r="O1728" s="4" t="str">
        <f t="shared" si="159"/>
        <v>Accounting Risk</v>
      </c>
      <c r="P1728" s="4" t="str">
        <f t="shared" si="160"/>
        <v>Low Quality</v>
      </c>
      <c r="Q1728" s="4" t="str">
        <f t="shared" si="161"/>
        <v>Strong Long-Term Growth</v>
      </c>
    </row>
    <row r="1729" spans="1:17" x14ac:dyDescent="0.35">
      <c r="A1729" s="2" t="s">
        <v>1740</v>
      </c>
      <c r="B1729" s="2">
        <v>5</v>
      </c>
      <c r="C1729" s="2">
        <v>69016556.079999998</v>
      </c>
      <c r="D1729" s="2">
        <v>1</v>
      </c>
      <c r="E1729" s="2">
        <v>17557633.82</v>
      </c>
      <c r="F1729" s="2">
        <v>-7278999.7000000002</v>
      </c>
      <c r="G1729" s="2">
        <v>2</v>
      </c>
      <c r="H1729" s="2">
        <v>2</v>
      </c>
      <c r="I1729" s="2">
        <v>4</v>
      </c>
      <c r="J1729" s="2">
        <v>2.4</v>
      </c>
      <c r="K1729" s="2" t="s">
        <v>1268</v>
      </c>
      <c r="L1729" s="2" t="str">
        <f t="shared" si="156"/>
        <v>Profitable</v>
      </c>
      <c r="M1729" s="2" t="str">
        <f t="shared" si="157"/>
        <v>Stable Earnings</v>
      </c>
      <c r="N1729" s="2" t="str">
        <f t="shared" si="158"/>
        <v>Low Quality</v>
      </c>
      <c r="O1729" s="4" t="str">
        <f t="shared" si="159"/>
        <v>Accounting Risk</v>
      </c>
      <c r="P1729" s="4" t="str">
        <f t="shared" si="160"/>
        <v>Low Quality</v>
      </c>
      <c r="Q1729" s="4" t="str">
        <f t="shared" si="161"/>
        <v>Strong Long-Term Growth</v>
      </c>
    </row>
    <row r="1730" spans="1:17" x14ac:dyDescent="0.35">
      <c r="A1730" s="2" t="s">
        <v>1741</v>
      </c>
      <c r="B1730" s="2">
        <v>5</v>
      </c>
      <c r="C1730" s="2">
        <v>-2578660.42</v>
      </c>
      <c r="D1730" s="2">
        <v>0.8</v>
      </c>
      <c r="E1730" s="2">
        <v>33233261.149999999</v>
      </c>
      <c r="F1730" s="2">
        <v>-7666687</v>
      </c>
      <c r="G1730" s="2">
        <v>2</v>
      </c>
      <c r="H1730" s="2">
        <v>2</v>
      </c>
      <c r="I1730" s="2">
        <v>4</v>
      </c>
      <c r="J1730" s="2">
        <v>2.4</v>
      </c>
      <c r="K1730" s="2" t="s">
        <v>1268</v>
      </c>
      <c r="L1730" s="2" t="str">
        <f t="shared" ref="L1730:L1793" si="162">IF(C1730&gt;0,"Profitable","Loss Making")</f>
        <v>Loss Making</v>
      </c>
      <c r="M1730" s="2" t="str">
        <f t="shared" ref="M1730:M1793" si="163">IF(C1730&gt;500000000,"High Volatility","Stable Earnings")</f>
        <v>Stable Earnings</v>
      </c>
      <c r="N1730" s="2" t="str">
        <f t="shared" ref="N1730:N1793" si="164">IF(G1730&gt;=7,"High Quality",IF(G1730&gt;=4,"Moderate","Low Quality"))</f>
        <v>Low Quality</v>
      </c>
      <c r="O1730" s="4" t="str">
        <f t="shared" ref="O1730:O1793" si="165">IF(AND(F1730&gt;0,D1730&gt;0.6),"Operational Growth","Accounting Risk")</f>
        <v>Accounting Risk</v>
      </c>
      <c r="P1730" s="4" t="str">
        <f t="shared" ref="P1730:P1793" si="166">IF(G1730&gt;=7,"High Quality", IF(G1730&gt;=4,"Moderate","Low Quality"))</f>
        <v>Low Quality</v>
      </c>
      <c r="Q1730" s="4" t="str">
        <f t="shared" ref="Q1730:Q1793" si="167">IF(I1730&gt;=4,"Strong Long-Term Growth",IF(I1730&gt;=2,"Moderate Growth","Weak Growth"))</f>
        <v>Strong Long-Term Growth</v>
      </c>
    </row>
    <row r="1731" spans="1:17" x14ac:dyDescent="0.35">
      <c r="A1731" s="2" t="s">
        <v>1742</v>
      </c>
      <c r="B1731" s="2">
        <v>5</v>
      </c>
      <c r="C1731" s="2">
        <v>55944532.159999996</v>
      </c>
      <c r="D1731" s="2">
        <v>1</v>
      </c>
      <c r="E1731" s="2">
        <v>28437484.02</v>
      </c>
      <c r="F1731" s="2">
        <v>-8703403.9000000004</v>
      </c>
      <c r="G1731" s="2">
        <v>2</v>
      </c>
      <c r="H1731" s="2">
        <v>2</v>
      </c>
      <c r="I1731" s="2">
        <v>4</v>
      </c>
      <c r="J1731" s="2">
        <v>2.4</v>
      </c>
      <c r="K1731" s="2" t="s">
        <v>1268</v>
      </c>
      <c r="L1731" s="2" t="str">
        <f t="shared" si="162"/>
        <v>Profitable</v>
      </c>
      <c r="M1731" s="2" t="str">
        <f t="shared" si="163"/>
        <v>Stable Earnings</v>
      </c>
      <c r="N1731" s="2" t="str">
        <f t="shared" si="164"/>
        <v>Low Quality</v>
      </c>
      <c r="O1731" s="4" t="str">
        <f t="shared" si="165"/>
        <v>Accounting Risk</v>
      </c>
      <c r="P1731" s="4" t="str">
        <f t="shared" si="166"/>
        <v>Low Quality</v>
      </c>
      <c r="Q1731" s="4" t="str">
        <f t="shared" si="167"/>
        <v>Strong Long-Term Growth</v>
      </c>
    </row>
    <row r="1732" spans="1:17" x14ac:dyDescent="0.35">
      <c r="A1732" s="2" t="s">
        <v>1743</v>
      </c>
      <c r="B1732" s="2">
        <v>5</v>
      </c>
      <c r="C1732" s="2">
        <v>46045820.520000003</v>
      </c>
      <c r="D1732" s="2">
        <v>1</v>
      </c>
      <c r="E1732" s="2">
        <v>28991154.800000001</v>
      </c>
      <c r="F1732" s="2">
        <v>-29461477.300000001</v>
      </c>
      <c r="G1732" s="2">
        <v>2</v>
      </c>
      <c r="H1732" s="2">
        <v>2</v>
      </c>
      <c r="I1732" s="2">
        <v>4</v>
      </c>
      <c r="J1732" s="2">
        <v>2.4</v>
      </c>
      <c r="K1732" s="2" t="s">
        <v>1268</v>
      </c>
      <c r="L1732" s="2" t="str">
        <f t="shared" si="162"/>
        <v>Profitable</v>
      </c>
      <c r="M1732" s="2" t="str">
        <f t="shared" si="163"/>
        <v>Stable Earnings</v>
      </c>
      <c r="N1732" s="2" t="str">
        <f t="shared" si="164"/>
        <v>Low Quality</v>
      </c>
      <c r="O1732" s="4" t="str">
        <f t="shared" si="165"/>
        <v>Accounting Risk</v>
      </c>
      <c r="P1732" s="4" t="str">
        <f t="shared" si="166"/>
        <v>Low Quality</v>
      </c>
      <c r="Q1732" s="4" t="str">
        <f t="shared" si="167"/>
        <v>Strong Long-Term Growth</v>
      </c>
    </row>
    <row r="1733" spans="1:17" x14ac:dyDescent="0.35">
      <c r="A1733" s="2" t="s">
        <v>1744</v>
      </c>
      <c r="B1733" s="2">
        <v>5</v>
      </c>
      <c r="C1733" s="2">
        <v>226358497.19999999</v>
      </c>
      <c r="D1733" s="2">
        <v>1</v>
      </c>
      <c r="E1733" s="2">
        <v>40358118.950000003</v>
      </c>
      <c r="F1733" s="2">
        <v>-32241666.899999999</v>
      </c>
      <c r="G1733" s="2">
        <v>2</v>
      </c>
      <c r="H1733" s="2">
        <v>2</v>
      </c>
      <c r="I1733" s="2">
        <v>4</v>
      </c>
      <c r="J1733" s="2">
        <v>2.4</v>
      </c>
      <c r="K1733" s="2" t="s">
        <v>1268</v>
      </c>
      <c r="L1733" s="2" t="str">
        <f t="shared" si="162"/>
        <v>Profitable</v>
      </c>
      <c r="M1733" s="2" t="str">
        <f t="shared" si="163"/>
        <v>Stable Earnings</v>
      </c>
      <c r="N1733" s="2" t="str">
        <f t="shared" si="164"/>
        <v>Low Quality</v>
      </c>
      <c r="O1733" s="4" t="str">
        <f t="shared" si="165"/>
        <v>Accounting Risk</v>
      </c>
      <c r="P1733" s="4" t="str">
        <f t="shared" si="166"/>
        <v>Low Quality</v>
      </c>
      <c r="Q1733" s="4" t="str">
        <f t="shared" si="167"/>
        <v>Strong Long-Term Growth</v>
      </c>
    </row>
    <row r="1734" spans="1:17" x14ac:dyDescent="0.35">
      <c r="A1734" s="2" t="s">
        <v>1745</v>
      </c>
      <c r="B1734" s="2">
        <v>5</v>
      </c>
      <c r="C1734" s="2">
        <v>724968442.10000002</v>
      </c>
      <c r="D1734" s="2">
        <v>1</v>
      </c>
      <c r="E1734" s="2">
        <v>30430035.620000001</v>
      </c>
      <c r="F1734" s="2">
        <v>-17982555.699999999</v>
      </c>
      <c r="G1734" s="2">
        <v>2</v>
      </c>
      <c r="H1734" s="2">
        <v>2</v>
      </c>
      <c r="I1734" s="2">
        <v>4</v>
      </c>
      <c r="J1734" s="2">
        <v>2.4</v>
      </c>
      <c r="K1734" s="2" t="s">
        <v>1268</v>
      </c>
      <c r="L1734" s="2" t="str">
        <f t="shared" si="162"/>
        <v>Profitable</v>
      </c>
      <c r="M1734" s="2" t="str">
        <f t="shared" si="163"/>
        <v>High Volatility</v>
      </c>
      <c r="N1734" s="2" t="str">
        <f t="shared" si="164"/>
        <v>Low Quality</v>
      </c>
      <c r="O1734" s="4" t="str">
        <f t="shared" si="165"/>
        <v>Accounting Risk</v>
      </c>
      <c r="P1734" s="4" t="str">
        <f t="shared" si="166"/>
        <v>Low Quality</v>
      </c>
      <c r="Q1734" s="4" t="str">
        <f t="shared" si="167"/>
        <v>Strong Long-Term Growth</v>
      </c>
    </row>
    <row r="1735" spans="1:17" x14ac:dyDescent="0.35">
      <c r="A1735" s="2" t="s">
        <v>1746</v>
      </c>
      <c r="B1735" s="2">
        <v>5</v>
      </c>
      <c r="C1735" s="2">
        <v>25689770.260000002</v>
      </c>
      <c r="D1735" s="2">
        <v>1</v>
      </c>
      <c r="E1735" s="2">
        <v>27967438.66</v>
      </c>
      <c r="F1735" s="2">
        <v>-23290335</v>
      </c>
      <c r="G1735" s="2">
        <v>2</v>
      </c>
      <c r="H1735" s="2">
        <v>2</v>
      </c>
      <c r="I1735" s="2">
        <v>4</v>
      </c>
      <c r="J1735" s="2">
        <v>2.4</v>
      </c>
      <c r="K1735" s="2" t="s">
        <v>1268</v>
      </c>
      <c r="L1735" s="2" t="str">
        <f t="shared" si="162"/>
        <v>Profitable</v>
      </c>
      <c r="M1735" s="2" t="str">
        <f t="shared" si="163"/>
        <v>Stable Earnings</v>
      </c>
      <c r="N1735" s="2" t="str">
        <f t="shared" si="164"/>
        <v>Low Quality</v>
      </c>
      <c r="O1735" s="4" t="str">
        <f t="shared" si="165"/>
        <v>Accounting Risk</v>
      </c>
      <c r="P1735" s="4" t="str">
        <f t="shared" si="166"/>
        <v>Low Quality</v>
      </c>
      <c r="Q1735" s="4" t="str">
        <f t="shared" si="167"/>
        <v>Strong Long-Term Growth</v>
      </c>
    </row>
    <row r="1736" spans="1:17" x14ac:dyDescent="0.35">
      <c r="A1736" s="2" t="s">
        <v>1747</v>
      </c>
      <c r="B1736" s="2">
        <v>5</v>
      </c>
      <c r="C1736" s="2">
        <v>60833956.520000003</v>
      </c>
      <c r="D1736" s="2">
        <v>1</v>
      </c>
      <c r="E1736" s="2">
        <v>21443694.120000001</v>
      </c>
      <c r="F1736" s="2">
        <v>-23789820.100000001</v>
      </c>
      <c r="G1736" s="2">
        <v>2</v>
      </c>
      <c r="H1736" s="2">
        <v>2</v>
      </c>
      <c r="I1736" s="2">
        <v>4</v>
      </c>
      <c r="J1736" s="2">
        <v>2.4</v>
      </c>
      <c r="K1736" s="2" t="s">
        <v>1268</v>
      </c>
      <c r="L1736" s="2" t="str">
        <f t="shared" si="162"/>
        <v>Profitable</v>
      </c>
      <c r="M1736" s="2" t="str">
        <f t="shared" si="163"/>
        <v>Stable Earnings</v>
      </c>
      <c r="N1736" s="2" t="str">
        <f t="shared" si="164"/>
        <v>Low Quality</v>
      </c>
      <c r="O1736" s="4" t="str">
        <f t="shared" si="165"/>
        <v>Accounting Risk</v>
      </c>
      <c r="P1736" s="4" t="str">
        <f t="shared" si="166"/>
        <v>Low Quality</v>
      </c>
      <c r="Q1736" s="4" t="str">
        <f t="shared" si="167"/>
        <v>Strong Long-Term Growth</v>
      </c>
    </row>
    <row r="1737" spans="1:17" x14ac:dyDescent="0.35">
      <c r="A1737" s="2" t="s">
        <v>1748</v>
      </c>
      <c r="B1737" s="2">
        <v>5</v>
      </c>
      <c r="C1737" s="2">
        <v>14169916.560000001</v>
      </c>
      <c r="D1737" s="2">
        <v>0.8</v>
      </c>
      <c r="E1737" s="2">
        <v>11525917.65</v>
      </c>
      <c r="F1737" s="2">
        <v>7548059.2999999998</v>
      </c>
      <c r="G1737" s="2">
        <v>3</v>
      </c>
      <c r="H1737" s="2">
        <v>1</v>
      </c>
      <c r="I1737" s="2">
        <v>3</v>
      </c>
      <c r="J1737" s="2">
        <v>2.4</v>
      </c>
      <c r="K1737" s="2" t="s">
        <v>1268</v>
      </c>
      <c r="L1737" s="2" t="str">
        <f t="shared" si="162"/>
        <v>Profitable</v>
      </c>
      <c r="M1737" s="2" t="str">
        <f t="shared" si="163"/>
        <v>Stable Earnings</v>
      </c>
      <c r="N1737" s="2" t="str">
        <f t="shared" si="164"/>
        <v>Low Quality</v>
      </c>
      <c r="O1737" s="4" t="str">
        <f t="shared" si="165"/>
        <v>Operational Growth</v>
      </c>
      <c r="P1737" s="4" t="str">
        <f t="shared" si="166"/>
        <v>Low Quality</v>
      </c>
      <c r="Q1737" s="4" t="str">
        <f t="shared" si="167"/>
        <v>Moderate Growth</v>
      </c>
    </row>
    <row r="1738" spans="1:17" x14ac:dyDescent="0.35">
      <c r="A1738" s="2" t="s">
        <v>1749</v>
      </c>
      <c r="B1738" s="2">
        <v>5</v>
      </c>
      <c r="C1738" s="2">
        <v>5281512.4800000004</v>
      </c>
      <c r="D1738" s="2">
        <v>0.8</v>
      </c>
      <c r="E1738" s="2">
        <v>3788267.625</v>
      </c>
      <c r="F1738" s="2">
        <v>8469437.0999999996</v>
      </c>
      <c r="G1738" s="2">
        <v>3</v>
      </c>
      <c r="H1738" s="2">
        <v>1</v>
      </c>
      <c r="I1738" s="2">
        <v>3</v>
      </c>
      <c r="J1738" s="2">
        <v>2.4</v>
      </c>
      <c r="K1738" s="2" t="s">
        <v>1268</v>
      </c>
      <c r="L1738" s="2" t="str">
        <f t="shared" si="162"/>
        <v>Profitable</v>
      </c>
      <c r="M1738" s="2" t="str">
        <f t="shared" si="163"/>
        <v>Stable Earnings</v>
      </c>
      <c r="N1738" s="2" t="str">
        <f t="shared" si="164"/>
        <v>Low Quality</v>
      </c>
      <c r="O1738" s="4" t="str">
        <f t="shared" si="165"/>
        <v>Operational Growth</v>
      </c>
      <c r="P1738" s="4" t="str">
        <f t="shared" si="166"/>
        <v>Low Quality</v>
      </c>
      <c r="Q1738" s="4" t="str">
        <f t="shared" si="167"/>
        <v>Moderate Growth</v>
      </c>
    </row>
    <row r="1739" spans="1:17" x14ac:dyDescent="0.35">
      <c r="A1739" s="2" t="s">
        <v>1750</v>
      </c>
      <c r="B1739" s="2">
        <v>5</v>
      </c>
      <c r="C1739" s="2">
        <v>-917531.36</v>
      </c>
      <c r="D1739" s="2">
        <v>0.6</v>
      </c>
      <c r="E1739" s="2">
        <v>4599121.551</v>
      </c>
      <c r="F1739" s="2">
        <v>8622045.1999999993</v>
      </c>
      <c r="G1739" s="2">
        <v>3</v>
      </c>
      <c r="H1739" s="2">
        <v>1</v>
      </c>
      <c r="I1739" s="2">
        <v>3</v>
      </c>
      <c r="J1739" s="2">
        <v>2.4</v>
      </c>
      <c r="K1739" s="2" t="s">
        <v>1268</v>
      </c>
      <c r="L1739" s="2" t="str">
        <f t="shared" si="162"/>
        <v>Loss Making</v>
      </c>
      <c r="M1739" s="2" t="str">
        <f t="shared" si="163"/>
        <v>Stable Earnings</v>
      </c>
      <c r="N1739" s="2" t="str">
        <f t="shared" si="164"/>
        <v>Low Quality</v>
      </c>
      <c r="O1739" s="4" t="str">
        <f t="shared" si="165"/>
        <v>Accounting Risk</v>
      </c>
      <c r="P1739" s="4" t="str">
        <f t="shared" si="166"/>
        <v>Low Quality</v>
      </c>
      <c r="Q1739" s="4" t="str">
        <f t="shared" si="167"/>
        <v>Moderate Growth</v>
      </c>
    </row>
    <row r="1740" spans="1:17" x14ac:dyDescent="0.35">
      <c r="A1740" s="2" t="s">
        <v>1751</v>
      </c>
      <c r="B1740" s="2">
        <v>5</v>
      </c>
      <c r="C1740" s="2">
        <v>11072696.24</v>
      </c>
      <c r="D1740" s="2">
        <v>0.8</v>
      </c>
      <c r="E1740" s="2">
        <v>14677772.77</v>
      </c>
      <c r="F1740" s="2">
        <v>9699157.3000000007</v>
      </c>
      <c r="G1740" s="2">
        <v>3</v>
      </c>
      <c r="H1740" s="2">
        <v>1</v>
      </c>
      <c r="I1740" s="2">
        <v>3</v>
      </c>
      <c r="J1740" s="2">
        <v>2.4</v>
      </c>
      <c r="K1740" s="2" t="s">
        <v>1268</v>
      </c>
      <c r="L1740" s="2" t="str">
        <f t="shared" si="162"/>
        <v>Profitable</v>
      </c>
      <c r="M1740" s="2" t="str">
        <f t="shared" si="163"/>
        <v>Stable Earnings</v>
      </c>
      <c r="N1740" s="2" t="str">
        <f t="shared" si="164"/>
        <v>Low Quality</v>
      </c>
      <c r="O1740" s="4" t="str">
        <f t="shared" si="165"/>
        <v>Operational Growth</v>
      </c>
      <c r="P1740" s="4" t="str">
        <f t="shared" si="166"/>
        <v>Low Quality</v>
      </c>
      <c r="Q1740" s="4" t="str">
        <f t="shared" si="167"/>
        <v>Moderate Growth</v>
      </c>
    </row>
    <row r="1741" spans="1:17" x14ac:dyDescent="0.35">
      <c r="A1741" s="2" t="s">
        <v>1752</v>
      </c>
      <c r="B1741" s="2">
        <v>5</v>
      </c>
      <c r="C1741" s="2">
        <v>2783745.92</v>
      </c>
      <c r="D1741" s="2">
        <v>0.6</v>
      </c>
      <c r="E1741" s="2">
        <v>5326876.1519999998</v>
      </c>
      <c r="F1741" s="2">
        <v>9330461.1999999993</v>
      </c>
      <c r="G1741" s="2">
        <v>3</v>
      </c>
      <c r="H1741" s="2">
        <v>1</v>
      </c>
      <c r="I1741" s="2">
        <v>3</v>
      </c>
      <c r="J1741" s="2">
        <v>2.4</v>
      </c>
      <c r="K1741" s="2" t="s">
        <v>1268</v>
      </c>
      <c r="L1741" s="2" t="str">
        <f t="shared" si="162"/>
        <v>Profitable</v>
      </c>
      <c r="M1741" s="2" t="str">
        <f t="shared" si="163"/>
        <v>Stable Earnings</v>
      </c>
      <c r="N1741" s="2" t="str">
        <f t="shared" si="164"/>
        <v>Low Quality</v>
      </c>
      <c r="O1741" s="4" t="str">
        <f t="shared" si="165"/>
        <v>Accounting Risk</v>
      </c>
      <c r="P1741" s="4" t="str">
        <f t="shared" si="166"/>
        <v>Low Quality</v>
      </c>
      <c r="Q1741" s="4" t="str">
        <f t="shared" si="167"/>
        <v>Moderate Growth</v>
      </c>
    </row>
    <row r="1742" spans="1:17" x14ac:dyDescent="0.35">
      <c r="A1742" s="2" t="s">
        <v>1753</v>
      </c>
      <c r="B1742" s="2">
        <v>5</v>
      </c>
      <c r="C1742" s="2">
        <v>13074579.92</v>
      </c>
      <c r="D1742" s="2">
        <v>0.8</v>
      </c>
      <c r="E1742" s="2">
        <v>9620475.0299999993</v>
      </c>
      <c r="F1742" s="2">
        <v>12354862.300000001</v>
      </c>
      <c r="G1742" s="2">
        <v>3</v>
      </c>
      <c r="H1742" s="2">
        <v>1</v>
      </c>
      <c r="I1742" s="2">
        <v>3</v>
      </c>
      <c r="J1742" s="2">
        <v>2.4</v>
      </c>
      <c r="K1742" s="2" t="s">
        <v>1268</v>
      </c>
      <c r="L1742" s="2" t="str">
        <f t="shared" si="162"/>
        <v>Profitable</v>
      </c>
      <c r="M1742" s="2" t="str">
        <f t="shared" si="163"/>
        <v>Stable Earnings</v>
      </c>
      <c r="N1742" s="2" t="str">
        <f t="shared" si="164"/>
        <v>Low Quality</v>
      </c>
      <c r="O1742" s="4" t="str">
        <f t="shared" si="165"/>
        <v>Operational Growth</v>
      </c>
      <c r="P1742" s="4" t="str">
        <f t="shared" si="166"/>
        <v>Low Quality</v>
      </c>
      <c r="Q1742" s="4" t="str">
        <f t="shared" si="167"/>
        <v>Moderate Growth</v>
      </c>
    </row>
    <row r="1743" spans="1:17" x14ac:dyDescent="0.35">
      <c r="A1743" s="2" t="s">
        <v>1754</v>
      </c>
      <c r="B1743" s="2">
        <v>5</v>
      </c>
      <c r="C1743" s="2">
        <v>7826119.5</v>
      </c>
      <c r="D1743" s="2">
        <v>0.6</v>
      </c>
      <c r="E1743" s="2">
        <v>12654932.02</v>
      </c>
      <c r="F1743" s="2">
        <v>19161928.600000001</v>
      </c>
      <c r="G1743" s="2">
        <v>3</v>
      </c>
      <c r="H1743" s="2">
        <v>1</v>
      </c>
      <c r="I1743" s="2">
        <v>3</v>
      </c>
      <c r="J1743" s="2">
        <v>2.4</v>
      </c>
      <c r="K1743" s="2" t="s">
        <v>1268</v>
      </c>
      <c r="L1743" s="2" t="str">
        <f t="shared" si="162"/>
        <v>Profitable</v>
      </c>
      <c r="M1743" s="2" t="str">
        <f t="shared" si="163"/>
        <v>Stable Earnings</v>
      </c>
      <c r="N1743" s="2" t="str">
        <f t="shared" si="164"/>
        <v>Low Quality</v>
      </c>
      <c r="O1743" s="4" t="str">
        <f t="shared" si="165"/>
        <v>Accounting Risk</v>
      </c>
      <c r="P1743" s="4" t="str">
        <f t="shared" si="166"/>
        <v>Low Quality</v>
      </c>
      <c r="Q1743" s="4" t="str">
        <f t="shared" si="167"/>
        <v>Moderate Growth</v>
      </c>
    </row>
    <row r="1744" spans="1:17" x14ac:dyDescent="0.35">
      <c r="A1744" s="2" t="s">
        <v>1755</v>
      </c>
      <c r="B1744" s="2">
        <v>5</v>
      </c>
      <c r="C1744" s="2">
        <v>11622299.32</v>
      </c>
      <c r="D1744" s="2">
        <v>0.8</v>
      </c>
      <c r="E1744" s="2">
        <v>9398179.8120000008</v>
      </c>
      <c r="F1744" s="2">
        <v>13363826.1</v>
      </c>
      <c r="G1744" s="2">
        <v>3</v>
      </c>
      <c r="H1744" s="2">
        <v>1</v>
      </c>
      <c r="I1744" s="2">
        <v>3</v>
      </c>
      <c r="J1744" s="2">
        <v>2.4</v>
      </c>
      <c r="K1744" s="2" t="s">
        <v>1268</v>
      </c>
      <c r="L1744" s="2" t="str">
        <f t="shared" si="162"/>
        <v>Profitable</v>
      </c>
      <c r="M1744" s="2" t="str">
        <f t="shared" si="163"/>
        <v>Stable Earnings</v>
      </c>
      <c r="N1744" s="2" t="str">
        <f t="shared" si="164"/>
        <v>Low Quality</v>
      </c>
      <c r="O1744" s="4" t="str">
        <f t="shared" si="165"/>
        <v>Operational Growth</v>
      </c>
      <c r="P1744" s="4" t="str">
        <f t="shared" si="166"/>
        <v>Low Quality</v>
      </c>
      <c r="Q1744" s="4" t="str">
        <f t="shared" si="167"/>
        <v>Moderate Growth</v>
      </c>
    </row>
    <row r="1745" spans="1:17" x14ac:dyDescent="0.35">
      <c r="A1745" s="2" t="s">
        <v>1756</v>
      </c>
      <c r="B1745" s="2">
        <v>5</v>
      </c>
      <c r="C1745" s="2">
        <v>10000193.68</v>
      </c>
      <c r="D1745" s="2">
        <v>0.8</v>
      </c>
      <c r="E1745" s="2">
        <v>14112548.369999999</v>
      </c>
      <c r="F1745" s="2">
        <v>12696753.800000001</v>
      </c>
      <c r="G1745" s="2">
        <v>3</v>
      </c>
      <c r="H1745" s="2">
        <v>1</v>
      </c>
      <c r="I1745" s="2">
        <v>3</v>
      </c>
      <c r="J1745" s="2">
        <v>2.4</v>
      </c>
      <c r="K1745" s="2" t="s">
        <v>1268</v>
      </c>
      <c r="L1745" s="2" t="str">
        <f t="shared" si="162"/>
        <v>Profitable</v>
      </c>
      <c r="M1745" s="2" t="str">
        <f t="shared" si="163"/>
        <v>Stable Earnings</v>
      </c>
      <c r="N1745" s="2" t="str">
        <f t="shared" si="164"/>
        <v>Low Quality</v>
      </c>
      <c r="O1745" s="4" t="str">
        <f t="shared" si="165"/>
        <v>Operational Growth</v>
      </c>
      <c r="P1745" s="4" t="str">
        <f t="shared" si="166"/>
        <v>Low Quality</v>
      </c>
      <c r="Q1745" s="4" t="str">
        <f t="shared" si="167"/>
        <v>Moderate Growth</v>
      </c>
    </row>
    <row r="1746" spans="1:17" x14ac:dyDescent="0.35">
      <c r="A1746" s="2" t="s">
        <v>1757</v>
      </c>
      <c r="B1746" s="2">
        <v>5</v>
      </c>
      <c r="C1746" s="2">
        <v>-671968.34</v>
      </c>
      <c r="D1746" s="2">
        <v>0.6</v>
      </c>
      <c r="E1746" s="2">
        <v>9317737.8609999996</v>
      </c>
      <c r="F1746" s="2">
        <v>24574842.399999999</v>
      </c>
      <c r="G1746" s="2">
        <v>3</v>
      </c>
      <c r="H1746" s="2">
        <v>1</v>
      </c>
      <c r="I1746" s="2">
        <v>3</v>
      </c>
      <c r="J1746" s="2">
        <v>2.4</v>
      </c>
      <c r="K1746" s="2" t="s">
        <v>1268</v>
      </c>
      <c r="L1746" s="2" t="str">
        <f t="shared" si="162"/>
        <v>Loss Making</v>
      </c>
      <c r="M1746" s="2" t="str">
        <f t="shared" si="163"/>
        <v>Stable Earnings</v>
      </c>
      <c r="N1746" s="2" t="str">
        <f t="shared" si="164"/>
        <v>Low Quality</v>
      </c>
      <c r="O1746" s="4" t="str">
        <f t="shared" si="165"/>
        <v>Accounting Risk</v>
      </c>
      <c r="P1746" s="4" t="str">
        <f t="shared" si="166"/>
        <v>Low Quality</v>
      </c>
      <c r="Q1746" s="4" t="str">
        <f t="shared" si="167"/>
        <v>Moderate Growth</v>
      </c>
    </row>
    <row r="1747" spans="1:17" x14ac:dyDescent="0.35">
      <c r="A1747" s="2" t="s">
        <v>1758</v>
      </c>
      <c r="B1747" s="2">
        <v>5</v>
      </c>
      <c r="C1747" s="2">
        <v>16911436.899999999</v>
      </c>
      <c r="D1747" s="2">
        <v>0.8</v>
      </c>
      <c r="E1747" s="2">
        <v>15173384.939999999</v>
      </c>
      <c r="F1747" s="2">
        <v>25839623.5</v>
      </c>
      <c r="G1747" s="2">
        <v>3</v>
      </c>
      <c r="H1747" s="2">
        <v>1</v>
      </c>
      <c r="I1747" s="2">
        <v>3</v>
      </c>
      <c r="J1747" s="2">
        <v>2.4</v>
      </c>
      <c r="K1747" s="2" t="s">
        <v>1268</v>
      </c>
      <c r="L1747" s="2" t="str">
        <f t="shared" si="162"/>
        <v>Profitable</v>
      </c>
      <c r="M1747" s="2" t="str">
        <f t="shared" si="163"/>
        <v>Stable Earnings</v>
      </c>
      <c r="N1747" s="2" t="str">
        <f t="shared" si="164"/>
        <v>Low Quality</v>
      </c>
      <c r="O1747" s="4" t="str">
        <f t="shared" si="165"/>
        <v>Operational Growth</v>
      </c>
      <c r="P1747" s="4" t="str">
        <f t="shared" si="166"/>
        <v>Low Quality</v>
      </c>
      <c r="Q1747" s="4" t="str">
        <f t="shared" si="167"/>
        <v>Moderate Growth</v>
      </c>
    </row>
    <row r="1748" spans="1:17" x14ac:dyDescent="0.35">
      <c r="A1748" s="2" t="s">
        <v>1759</v>
      </c>
      <c r="B1748" s="2">
        <v>5</v>
      </c>
      <c r="C1748" s="2">
        <v>11260854.24</v>
      </c>
      <c r="D1748" s="2">
        <v>0.8</v>
      </c>
      <c r="E1748" s="2">
        <v>8511661.8550000004</v>
      </c>
      <c r="F1748" s="2">
        <v>19383748.699999999</v>
      </c>
      <c r="G1748" s="2">
        <v>3</v>
      </c>
      <c r="H1748" s="2">
        <v>1</v>
      </c>
      <c r="I1748" s="2">
        <v>3</v>
      </c>
      <c r="J1748" s="2">
        <v>2.4</v>
      </c>
      <c r="K1748" s="2" t="s">
        <v>1268</v>
      </c>
      <c r="L1748" s="2" t="str">
        <f t="shared" si="162"/>
        <v>Profitable</v>
      </c>
      <c r="M1748" s="2" t="str">
        <f t="shared" si="163"/>
        <v>Stable Earnings</v>
      </c>
      <c r="N1748" s="2" t="str">
        <f t="shared" si="164"/>
        <v>Low Quality</v>
      </c>
      <c r="O1748" s="4" t="str">
        <f t="shared" si="165"/>
        <v>Operational Growth</v>
      </c>
      <c r="P1748" s="4" t="str">
        <f t="shared" si="166"/>
        <v>Low Quality</v>
      </c>
      <c r="Q1748" s="4" t="str">
        <f t="shared" si="167"/>
        <v>Moderate Growth</v>
      </c>
    </row>
    <row r="1749" spans="1:17" x14ac:dyDescent="0.35">
      <c r="A1749" s="2" t="s">
        <v>1760</v>
      </c>
      <c r="B1749" s="2">
        <v>5</v>
      </c>
      <c r="C1749" s="2">
        <v>1765463886</v>
      </c>
      <c r="D1749" s="2">
        <v>1</v>
      </c>
      <c r="E1749" s="2">
        <v>962791453.10000002</v>
      </c>
      <c r="F1749" s="2">
        <v>31951724</v>
      </c>
      <c r="G1749" s="2">
        <v>1</v>
      </c>
      <c r="H1749" s="2">
        <v>5</v>
      </c>
      <c r="I1749" s="2">
        <v>2</v>
      </c>
      <c r="J1749" s="2">
        <v>2.4</v>
      </c>
      <c r="K1749" s="2" t="s">
        <v>1268</v>
      </c>
      <c r="L1749" s="2" t="str">
        <f t="shared" si="162"/>
        <v>Profitable</v>
      </c>
      <c r="M1749" s="2" t="str">
        <f t="shared" si="163"/>
        <v>High Volatility</v>
      </c>
      <c r="N1749" s="2" t="str">
        <f t="shared" si="164"/>
        <v>Low Quality</v>
      </c>
      <c r="O1749" s="4" t="str">
        <f t="shared" si="165"/>
        <v>Operational Growth</v>
      </c>
      <c r="P1749" s="4" t="str">
        <f t="shared" si="166"/>
        <v>Low Quality</v>
      </c>
      <c r="Q1749" s="4" t="str">
        <f t="shared" si="167"/>
        <v>Moderate Growth</v>
      </c>
    </row>
    <row r="1750" spans="1:17" x14ac:dyDescent="0.35">
      <c r="A1750" s="2" t="s">
        <v>1761</v>
      </c>
      <c r="B1750" s="2">
        <v>5</v>
      </c>
      <c r="C1750" s="2">
        <v>4514779.74</v>
      </c>
      <c r="D1750" s="2">
        <v>0.8</v>
      </c>
      <c r="E1750" s="2">
        <v>14047340.449999999</v>
      </c>
      <c r="F1750" s="2">
        <v>26606283.399999999</v>
      </c>
      <c r="G1750" s="2">
        <v>3</v>
      </c>
      <c r="H1750" s="2">
        <v>1</v>
      </c>
      <c r="I1750" s="2">
        <v>3</v>
      </c>
      <c r="J1750" s="2">
        <v>2.4</v>
      </c>
      <c r="K1750" s="2" t="s">
        <v>1268</v>
      </c>
      <c r="L1750" s="2" t="str">
        <f t="shared" si="162"/>
        <v>Profitable</v>
      </c>
      <c r="M1750" s="2" t="str">
        <f t="shared" si="163"/>
        <v>Stable Earnings</v>
      </c>
      <c r="N1750" s="2" t="str">
        <f t="shared" si="164"/>
        <v>Low Quality</v>
      </c>
      <c r="O1750" s="4" t="str">
        <f t="shared" si="165"/>
        <v>Operational Growth</v>
      </c>
      <c r="P1750" s="4" t="str">
        <f t="shared" si="166"/>
        <v>Low Quality</v>
      </c>
      <c r="Q1750" s="4" t="str">
        <f t="shared" si="167"/>
        <v>Moderate Growth</v>
      </c>
    </row>
    <row r="1751" spans="1:17" x14ac:dyDescent="0.35">
      <c r="A1751" s="2" t="s">
        <v>1762</v>
      </c>
      <c r="B1751" s="2">
        <v>5</v>
      </c>
      <c r="C1751" s="2">
        <v>889413664.20000005</v>
      </c>
      <c r="D1751" s="2">
        <v>1</v>
      </c>
      <c r="E1751" s="2">
        <v>381608179</v>
      </c>
      <c r="F1751" s="2">
        <v>154688704.40000001</v>
      </c>
      <c r="G1751" s="2">
        <v>1</v>
      </c>
      <c r="H1751" s="2">
        <v>5</v>
      </c>
      <c r="I1751" s="2">
        <v>2</v>
      </c>
      <c r="J1751" s="2">
        <v>2.4</v>
      </c>
      <c r="K1751" s="2" t="s">
        <v>1268</v>
      </c>
      <c r="L1751" s="2" t="str">
        <f t="shared" si="162"/>
        <v>Profitable</v>
      </c>
      <c r="M1751" s="2" t="str">
        <f t="shared" si="163"/>
        <v>High Volatility</v>
      </c>
      <c r="N1751" s="2" t="str">
        <f t="shared" si="164"/>
        <v>Low Quality</v>
      </c>
      <c r="O1751" s="4" t="str">
        <f t="shared" si="165"/>
        <v>Operational Growth</v>
      </c>
      <c r="P1751" s="4" t="str">
        <f t="shared" si="166"/>
        <v>Low Quality</v>
      </c>
      <c r="Q1751" s="4" t="str">
        <f t="shared" si="167"/>
        <v>Moderate Growth</v>
      </c>
    </row>
    <row r="1752" spans="1:17" x14ac:dyDescent="0.35">
      <c r="A1752" s="2" t="s">
        <v>1763</v>
      </c>
      <c r="B1752" s="2">
        <v>5</v>
      </c>
      <c r="C1752" s="2">
        <v>964633137.39999998</v>
      </c>
      <c r="D1752" s="2">
        <v>1</v>
      </c>
      <c r="E1752" s="2">
        <v>396384571.89999998</v>
      </c>
      <c r="F1752" s="2">
        <v>191098319.80000001</v>
      </c>
      <c r="G1752" s="2">
        <v>1</v>
      </c>
      <c r="H1752" s="2">
        <v>5</v>
      </c>
      <c r="I1752" s="2">
        <v>2</v>
      </c>
      <c r="J1752" s="2">
        <v>2.4</v>
      </c>
      <c r="K1752" s="2" t="s">
        <v>1268</v>
      </c>
      <c r="L1752" s="2" t="str">
        <f t="shared" si="162"/>
        <v>Profitable</v>
      </c>
      <c r="M1752" s="2" t="str">
        <f t="shared" si="163"/>
        <v>High Volatility</v>
      </c>
      <c r="N1752" s="2" t="str">
        <f t="shared" si="164"/>
        <v>Low Quality</v>
      </c>
      <c r="O1752" s="4" t="str">
        <f t="shared" si="165"/>
        <v>Operational Growth</v>
      </c>
      <c r="P1752" s="4" t="str">
        <f t="shared" si="166"/>
        <v>Low Quality</v>
      </c>
      <c r="Q1752" s="4" t="str">
        <f t="shared" si="167"/>
        <v>Moderate Growth</v>
      </c>
    </row>
    <row r="1753" spans="1:17" x14ac:dyDescent="0.35">
      <c r="A1753" s="2" t="s">
        <v>1764</v>
      </c>
      <c r="B1753" s="2">
        <v>5</v>
      </c>
      <c r="C1753" s="2">
        <v>409428925.5</v>
      </c>
      <c r="D1753" s="2">
        <v>1</v>
      </c>
      <c r="E1753" s="2">
        <v>113982136.7</v>
      </c>
      <c r="F1753" s="2">
        <v>199264126.69999999</v>
      </c>
      <c r="G1753" s="2">
        <v>2</v>
      </c>
      <c r="H1753" s="2">
        <v>4</v>
      </c>
      <c r="I1753" s="2">
        <v>1</v>
      </c>
      <c r="J1753" s="2">
        <v>2.4</v>
      </c>
      <c r="K1753" s="2" t="s">
        <v>1268</v>
      </c>
      <c r="L1753" s="2" t="str">
        <f t="shared" si="162"/>
        <v>Profitable</v>
      </c>
      <c r="M1753" s="2" t="str">
        <f t="shared" si="163"/>
        <v>Stable Earnings</v>
      </c>
      <c r="N1753" s="2" t="str">
        <f t="shared" si="164"/>
        <v>Low Quality</v>
      </c>
      <c r="O1753" s="4" t="str">
        <f t="shared" si="165"/>
        <v>Operational Growth</v>
      </c>
      <c r="P1753" s="4" t="str">
        <f t="shared" si="166"/>
        <v>Low Quality</v>
      </c>
      <c r="Q1753" s="4" t="str">
        <f t="shared" si="167"/>
        <v>Weak Growth</v>
      </c>
    </row>
    <row r="1754" spans="1:17" x14ac:dyDescent="0.35">
      <c r="A1754" s="2" t="s">
        <v>1765</v>
      </c>
      <c r="B1754" s="2">
        <v>5</v>
      </c>
      <c r="C1754" s="2">
        <v>182412631.40000001</v>
      </c>
      <c r="D1754" s="2">
        <v>1</v>
      </c>
      <c r="E1754" s="2">
        <v>138551886.40000001</v>
      </c>
      <c r="F1754" s="2">
        <v>204798833.09999999</v>
      </c>
      <c r="G1754" s="2">
        <v>2</v>
      </c>
      <c r="H1754" s="2">
        <v>4</v>
      </c>
      <c r="I1754" s="2">
        <v>1</v>
      </c>
      <c r="J1754" s="2">
        <v>2.4</v>
      </c>
      <c r="K1754" s="2" t="s">
        <v>1268</v>
      </c>
      <c r="L1754" s="2" t="str">
        <f t="shared" si="162"/>
        <v>Profitable</v>
      </c>
      <c r="M1754" s="2" t="str">
        <f t="shared" si="163"/>
        <v>Stable Earnings</v>
      </c>
      <c r="N1754" s="2" t="str">
        <f t="shared" si="164"/>
        <v>Low Quality</v>
      </c>
      <c r="O1754" s="4" t="str">
        <f t="shared" si="165"/>
        <v>Operational Growth</v>
      </c>
      <c r="P1754" s="4" t="str">
        <f t="shared" si="166"/>
        <v>Low Quality</v>
      </c>
      <c r="Q1754" s="4" t="str">
        <f t="shared" si="167"/>
        <v>Weak Growth</v>
      </c>
    </row>
    <row r="1755" spans="1:17" x14ac:dyDescent="0.35">
      <c r="A1755" s="2" t="s">
        <v>1766</v>
      </c>
      <c r="B1755" s="2">
        <v>5</v>
      </c>
      <c r="C1755" s="2">
        <v>420203075.19999999</v>
      </c>
      <c r="D1755" s="2">
        <v>1</v>
      </c>
      <c r="E1755" s="2">
        <v>132604142.40000001</v>
      </c>
      <c r="F1755" s="2">
        <v>215673693</v>
      </c>
      <c r="G1755" s="2">
        <v>2</v>
      </c>
      <c r="H1755" s="2">
        <v>4</v>
      </c>
      <c r="I1755" s="2">
        <v>1</v>
      </c>
      <c r="J1755" s="2">
        <v>2.4</v>
      </c>
      <c r="K1755" s="2" t="s">
        <v>1268</v>
      </c>
      <c r="L1755" s="2" t="str">
        <f t="shared" si="162"/>
        <v>Profitable</v>
      </c>
      <c r="M1755" s="2" t="str">
        <f t="shared" si="163"/>
        <v>Stable Earnings</v>
      </c>
      <c r="N1755" s="2" t="str">
        <f t="shared" si="164"/>
        <v>Low Quality</v>
      </c>
      <c r="O1755" s="4" t="str">
        <f t="shared" si="165"/>
        <v>Operational Growth</v>
      </c>
      <c r="P1755" s="4" t="str">
        <f t="shared" si="166"/>
        <v>Low Quality</v>
      </c>
      <c r="Q1755" s="4" t="str">
        <f t="shared" si="167"/>
        <v>Weak Growth</v>
      </c>
    </row>
    <row r="1756" spans="1:17" x14ac:dyDescent="0.35">
      <c r="A1756" s="2" t="s">
        <v>1767</v>
      </c>
      <c r="B1756" s="2">
        <v>5</v>
      </c>
      <c r="C1756" s="2">
        <v>299393741.69999999</v>
      </c>
      <c r="D1756" s="2">
        <v>0.8</v>
      </c>
      <c r="E1756" s="2">
        <v>278944101.19999999</v>
      </c>
      <c r="F1756" s="2">
        <v>205569353.09999999</v>
      </c>
      <c r="G1756" s="2">
        <v>2</v>
      </c>
      <c r="H1756" s="2">
        <v>4</v>
      </c>
      <c r="I1756" s="2">
        <v>1</v>
      </c>
      <c r="J1756" s="2">
        <v>2.4</v>
      </c>
      <c r="K1756" s="2" t="s">
        <v>1268</v>
      </c>
      <c r="L1756" s="2" t="str">
        <f t="shared" si="162"/>
        <v>Profitable</v>
      </c>
      <c r="M1756" s="2" t="str">
        <f t="shared" si="163"/>
        <v>Stable Earnings</v>
      </c>
      <c r="N1756" s="2" t="str">
        <f t="shared" si="164"/>
        <v>Low Quality</v>
      </c>
      <c r="O1756" s="4" t="str">
        <f t="shared" si="165"/>
        <v>Operational Growth</v>
      </c>
      <c r="P1756" s="4" t="str">
        <f t="shared" si="166"/>
        <v>Low Quality</v>
      </c>
      <c r="Q1756" s="4" t="str">
        <f t="shared" si="167"/>
        <v>Weak Growth</v>
      </c>
    </row>
    <row r="1757" spans="1:17" x14ac:dyDescent="0.35">
      <c r="A1757" s="2" t="s">
        <v>1768</v>
      </c>
      <c r="B1757" s="2">
        <v>5</v>
      </c>
      <c r="C1757" s="2">
        <v>251972597.69999999</v>
      </c>
      <c r="D1757" s="2">
        <v>1</v>
      </c>
      <c r="E1757" s="2">
        <v>130548308.40000001</v>
      </c>
      <c r="F1757" s="2">
        <v>224773951.69999999</v>
      </c>
      <c r="G1757" s="2">
        <v>2</v>
      </c>
      <c r="H1757" s="2">
        <v>4</v>
      </c>
      <c r="I1757" s="2">
        <v>1</v>
      </c>
      <c r="J1757" s="2">
        <v>2.4</v>
      </c>
      <c r="K1757" s="2" t="s">
        <v>1268</v>
      </c>
      <c r="L1757" s="2" t="str">
        <f t="shared" si="162"/>
        <v>Profitable</v>
      </c>
      <c r="M1757" s="2" t="str">
        <f t="shared" si="163"/>
        <v>Stable Earnings</v>
      </c>
      <c r="N1757" s="2" t="str">
        <f t="shared" si="164"/>
        <v>Low Quality</v>
      </c>
      <c r="O1757" s="4" t="str">
        <f t="shared" si="165"/>
        <v>Operational Growth</v>
      </c>
      <c r="P1757" s="4" t="str">
        <f t="shared" si="166"/>
        <v>Low Quality</v>
      </c>
      <c r="Q1757" s="4" t="str">
        <f t="shared" si="167"/>
        <v>Weak Growth</v>
      </c>
    </row>
    <row r="1758" spans="1:17" x14ac:dyDescent="0.35">
      <c r="A1758" s="2" t="s">
        <v>1769</v>
      </c>
      <c r="B1758" s="2">
        <v>5</v>
      </c>
      <c r="C1758" s="2">
        <v>383424419.39999998</v>
      </c>
      <c r="D1758" s="2">
        <v>1</v>
      </c>
      <c r="E1758" s="2">
        <v>195205485.5</v>
      </c>
      <c r="F1758" s="2">
        <v>228487701.5</v>
      </c>
      <c r="G1758" s="2">
        <v>2</v>
      </c>
      <c r="H1758" s="2">
        <v>4</v>
      </c>
      <c r="I1758" s="2">
        <v>1</v>
      </c>
      <c r="J1758" s="2">
        <v>2.4</v>
      </c>
      <c r="K1758" s="2" t="s">
        <v>1268</v>
      </c>
      <c r="L1758" s="2" t="str">
        <f t="shared" si="162"/>
        <v>Profitable</v>
      </c>
      <c r="M1758" s="2" t="str">
        <f t="shared" si="163"/>
        <v>Stable Earnings</v>
      </c>
      <c r="N1758" s="2" t="str">
        <f t="shared" si="164"/>
        <v>Low Quality</v>
      </c>
      <c r="O1758" s="4" t="str">
        <f t="shared" si="165"/>
        <v>Operational Growth</v>
      </c>
      <c r="P1758" s="4" t="str">
        <f t="shared" si="166"/>
        <v>Low Quality</v>
      </c>
      <c r="Q1758" s="4" t="str">
        <f t="shared" si="167"/>
        <v>Weak Growth</v>
      </c>
    </row>
    <row r="1759" spans="1:17" x14ac:dyDescent="0.35">
      <c r="A1759" s="2" t="s">
        <v>1770</v>
      </c>
      <c r="B1759" s="2">
        <v>5</v>
      </c>
      <c r="C1759" s="2">
        <v>1371464372</v>
      </c>
      <c r="D1759" s="2">
        <v>1</v>
      </c>
      <c r="E1759" s="2">
        <v>294111320.69999999</v>
      </c>
      <c r="F1759" s="2">
        <v>327767810</v>
      </c>
      <c r="G1759" s="2">
        <v>2</v>
      </c>
      <c r="H1759" s="2">
        <v>4</v>
      </c>
      <c r="I1759" s="2">
        <v>1</v>
      </c>
      <c r="J1759" s="2">
        <v>2.4</v>
      </c>
      <c r="K1759" s="2" t="s">
        <v>1268</v>
      </c>
      <c r="L1759" s="2" t="str">
        <f t="shared" si="162"/>
        <v>Profitable</v>
      </c>
      <c r="M1759" s="2" t="str">
        <f t="shared" si="163"/>
        <v>High Volatility</v>
      </c>
      <c r="N1759" s="2" t="str">
        <f t="shared" si="164"/>
        <v>Low Quality</v>
      </c>
      <c r="O1759" s="4" t="str">
        <f t="shared" si="165"/>
        <v>Operational Growth</v>
      </c>
      <c r="P1759" s="4" t="str">
        <f t="shared" si="166"/>
        <v>Low Quality</v>
      </c>
      <c r="Q1759" s="4" t="str">
        <f t="shared" si="167"/>
        <v>Weak Growth</v>
      </c>
    </row>
    <row r="1760" spans="1:17" x14ac:dyDescent="0.35">
      <c r="A1760" s="2" t="s">
        <v>1771</v>
      </c>
      <c r="B1760" s="2">
        <v>5</v>
      </c>
      <c r="C1760" s="2">
        <v>788863852.60000002</v>
      </c>
      <c r="D1760" s="2">
        <v>1</v>
      </c>
      <c r="E1760" s="2">
        <v>151600291.40000001</v>
      </c>
      <c r="F1760" s="2">
        <v>304182573.10000002</v>
      </c>
      <c r="G1760" s="2">
        <v>2</v>
      </c>
      <c r="H1760" s="2">
        <v>4</v>
      </c>
      <c r="I1760" s="2">
        <v>1</v>
      </c>
      <c r="J1760" s="2">
        <v>2.4</v>
      </c>
      <c r="K1760" s="2" t="s">
        <v>1268</v>
      </c>
      <c r="L1760" s="2" t="str">
        <f t="shared" si="162"/>
        <v>Profitable</v>
      </c>
      <c r="M1760" s="2" t="str">
        <f t="shared" si="163"/>
        <v>High Volatility</v>
      </c>
      <c r="N1760" s="2" t="str">
        <f t="shared" si="164"/>
        <v>Low Quality</v>
      </c>
      <c r="O1760" s="4" t="str">
        <f t="shared" si="165"/>
        <v>Operational Growth</v>
      </c>
      <c r="P1760" s="4" t="str">
        <f t="shared" si="166"/>
        <v>Low Quality</v>
      </c>
      <c r="Q1760" s="4" t="str">
        <f t="shared" si="167"/>
        <v>Weak Growth</v>
      </c>
    </row>
    <row r="1761" spans="1:17" x14ac:dyDescent="0.35">
      <c r="A1761" s="2" t="s">
        <v>1772</v>
      </c>
      <c r="B1761" s="2">
        <v>5</v>
      </c>
      <c r="C1761" s="2">
        <v>234479824.80000001</v>
      </c>
      <c r="D1761" s="2">
        <v>1</v>
      </c>
      <c r="E1761" s="2">
        <v>158134402.90000001</v>
      </c>
      <c r="F1761" s="2">
        <v>294803998.69999999</v>
      </c>
      <c r="G1761" s="2">
        <v>2</v>
      </c>
      <c r="H1761" s="2">
        <v>4</v>
      </c>
      <c r="I1761" s="2">
        <v>1</v>
      </c>
      <c r="J1761" s="2">
        <v>2.4</v>
      </c>
      <c r="K1761" s="2" t="s">
        <v>1268</v>
      </c>
      <c r="L1761" s="2" t="str">
        <f t="shared" si="162"/>
        <v>Profitable</v>
      </c>
      <c r="M1761" s="2" t="str">
        <f t="shared" si="163"/>
        <v>Stable Earnings</v>
      </c>
      <c r="N1761" s="2" t="str">
        <f t="shared" si="164"/>
        <v>Low Quality</v>
      </c>
      <c r="O1761" s="4" t="str">
        <f t="shared" si="165"/>
        <v>Operational Growth</v>
      </c>
      <c r="P1761" s="4" t="str">
        <f t="shared" si="166"/>
        <v>Low Quality</v>
      </c>
      <c r="Q1761" s="4" t="str">
        <f t="shared" si="167"/>
        <v>Weak Growth</v>
      </c>
    </row>
    <row r="1762" spans="1:17" x14ac:dyDescent="0.35">
      <c r="A1762" s="2" t="s">
        <v>1773</v>
      </c>
      <c r="B1762" s="2">
        <v>5</v>
      </c>
      <c r="C1762" s="2">
        <v>473992374.5</v>
      </c>
      <c r="D1762" s="2">
        <v>1</v>
      </c>
      <c r="E1762" s="2">
        <v>116308977</v>
      </c>
      <c r="F1762" s="2">
        <v>270978367.69999999</v>
      </c>
      <c r="G1762" s="2">
        <v>2</v>
      </c>
      <c r="H1762" s="2">
        <v>4</v>
      </c>
      <c r="I1762" s="2">
        <v>1</v>
      </c>
      <c r="J1762" s="2">
        <v>2.4</v>
      </c>
      <c r="K1762" s="2" t="s">
        <v>1268</v>
      </c>
      <c r="L1762" s="2" t="str">
        <f t="shared" si="162"/>
        <v>Profitable</v>
      </c>
      <c r="M1762" s="2" t="str">
        <f t="shared" si="163"/>
        <v>Stable Earnings</v>
      </c>
      <c r="N1762" s="2" t="str">
        <f t="shared" si="164"/>
        <v>Low Quality</v>
      </c>
      <c r="O1762" s="4" t="str">
        <f t="shared" si="165"/>
        <v>Operational Growth</v>
      </c>
      <c r="P1762" s="4" t="str">
        <f t="shared" si="166"/>
        <v>Low Quality</v>
      </c>
      <c r="Q1762" s="4" t="str">
        <f t="shared" si="167"/>
        <v>Weak Growth</v>
      </c>
    </row>
    <row r="1763" spans="1:17" x14ac:dyDescent="0.35">
      <c r="A1763" s="2" t="s">
        <v>1774</v>
      </c>
      <c r="B1763" s="2">
        <v>5</v>
      </c>
      <c r="C1763" s="2">
        <v>357705411.80000001</v>
      </c>
      <c r="D1763" s="2">
        <v>1</v>
      </c>
      <c r="E1763" s="2">
        <v>194455279.40000001</v>
      </c>
      <c r="F1763" s="2">
        <v>255913655.40000001</v>
      </c>
      <c r="G1763" s="2">
        <v>2</v>
      </c>
      <c r="H1763" s="2">
        <v>4</v>
      </c>
      <c r="I1763" s="2">
        <v>1</v>
      </c>
      <c r="J1763" s="2">
        <v>2.4</v>
      </c>
      <c r="K1763" s="2" t="s">
        <v>1268</v>
      </c>
      <c r="L1763" s="2" t="str">
        <f t="shared" si="162"/>
        <v>Profitable</v>
      </c>
      <c r="M1763" s="2" t="str">
        <f t="shared" si="163"/>
        <v>Stable Earnings</v>
      </c>
      <c r="N1763" s="2" t="str">
        <f t="shared" si="164"/>
        <v>Low Quality</v>
      </c>
      <c r="O1763" s="4" t="str">
        <f t="shared" si="165"/>
        <v>Operational Growth</v>
      </c>
      <c r="P1763" s="4" t="str">
        <f t="shared" si="166"/>
        <v>Low Quality</v>
      </c>
      <c r="Q1763" s="4" t="str">
        <f t="shared" si="167"/>
        <v>Weak Growth</v>
      </c>
    </row>
    <row r="1764" spans="1:17" x14ac:dyDescent="0.35">
      <c r="A1764" s="2" t="s">
        <v>1775</v>
      </c>
      <c r="B1764" s="2">
        <v>5</v>
      </c>
      <c r="C1764" s="2">
        <v>228037584.69999999</v>
      </c>
      <c r="D1764" s="2">
        <v>0.8</v>
      </c>
      <c r="E1764" s="2">
        <v>195733158.80000001</v>
      </c>
      <c r="F1764" s="2">
        <v>267153498.30000001</v>
      </c>
      <c r="G1764" s="2">
        <v>2</v>
      </c>
      <c r="H1764" s="2">
        <v>4</v>
      </c>
      <c r="I1764" s="2">
        <v>1</v>
      </c>
      <c r="J1764" s="2">
        <v>2.4</v>
      </c>
      <c r="K1764" s="2" t="s">
        <v>1268</v>
      </c>
      <c r="L1764" s="2" t="str">
        <f t="shared" si="162"/>
        <v>Profitable</v>
      </c>
      <c r="M1764" s="2" t="str">
        <f t="shared" si="163"/>
        <v>Stable Earnings</v>
      </c>
      <c r="N1764" s="2" t="str">
        <f t="shared" si="164"/>
        <v>Low Quality</v>
      </c>
      <c r="O1764" s="4" t="str">
        <f t="shared" si="165"/>
        <v>Operational Growth</v>
      </c>
      <c r="P1764" s="4" t="str">
        <f t="shared" si="166"/>
        <v>Low Quality</v>
      </c>
      <c r="Q1764" s="4" t="str">
        <f t="shared" si="167"/>
        <v>Weak Growth</v>
      </c>
    </row>
    <row r="1765" spans="1:17" x14ac:dyDescent="0.35">
      <c r="A1765" s="2" t="s">
        <v>1776</v>
      </c>
      <c r="B1765" s="2">
        <v>5</v>
      </c>
      <c r="C1765" s="2">
        <v>190344312.90000001</v>
      </c>
      <c r="D1765" s="2">
        <v>1</v>
      </c>
      <c r="E1765" s="2">
        <v>155159962.69999999</v>
      </c>
      <c r="F1765" s="2">
        <v>261714649</v>
      </c>
      <c r="G1765" s="2">
        <v>2</v>
      </c>
      <c r="H1765" s="2">
        <v>4</v>
      </c>
      <c r="I1765" s="2">
        <v>1</v>
      </c>
      <c r="J1765" s="2">
        <v>2.4</v>
      </c>
      <c r="K1765" s="2" t="s">
        <v>1268</v>
      </c>
      <c r="L1765" s="2" t="str">
        <f t="shared" si="162"/>
        <v>Profitable</v>
      </c>
      <c r="M1765" s="2" t="str">
        <f t="shared" si="163"/>
        <v>Stable Earnings</v>
      </c>
      <c r="N1765" s="2" t="str">
        <f t="shared" si="164"/>
        <v>Low Quality</v>
      </c>
      <c r="O1765" s="4" t="str">
        <f t="shared" si="165"/>
        <v>Operational Growth</v>
      </c>
      <c r="P1765" s="4" t="str">
        <f t="shared" si="166"/>
        <v>Low Quality</v>
      </c>
      <c r="Q1765" s="4" t="str">
        <f t="shared" si="167"/>
        <v>Weak Growth</v>
      </c>
    </row>
    <row r="1766" spans="1:17" x14ac:dyDescent="0.35">
      <c r="A1766" s="2" t="s">
        <v>1777</v>
      </c>
      <c r="B1766" s="2">
        <v>5</v>
      </c>
      <c r="C1766" s="2">
        <v>247306227.80000001</v>
      </c>
      <c r="D1766" s="2">
        <v>1</v>
      </c>
      <c r="E1766" s="2">
        <v>114986538.7</v>
      </c>
      <c r="F1766" s="2">
        <v>254110661.19999999</v>
      </c>
      <c r="G1766" s="2">
        <v>2</v>
      </c>
      <c r="H1766" s="2">
        <v>4</v>
      </c>
      <c r="I1766" s="2">
        <v>1</v>
      </c>
      <c r="J1766" s="2">
        <v>2.4</v>
      </c>
      <c r="K1766" s="2" t="s">
        <v>1268</v>
      </c>
      <c r="L1766" s="2" t="str">
        <f t="shared" si="162"/>
        <v>Profitable</v>
      </c>
      <c r="M1766" s="2" t="str">
        <f t="shared" si="163"/>
        <v>Stable Earnings</v>
      </c>
      <c r="N1766" s="2" t="str">
        <f t="shared" si="164"/>
        <v>Low Quality</v>
      </c>
      <c r="O1766" s="4" t="str">
        <f t="shared" si="165"/>
        <v>Operational Growth</v>
      </c>
      <c r="P1766" s="4" t="str">
        <f t="shared" si="166"/>
        <v>Low Quality</v>
      </c>
      <c r="Q1766" s="4" t="str">
        <f t="shared" si="167"/>
        <v>Weak Growth</v>
      </c>
    </row>
    <row r="1767" spans="1:17" x14ac:dyDescent="0.35">
      <c r="A1767" s="2" t="s">
        <v>1778</v>
      </c>
      <c r="B1767" s="2">
        <v>5</v>
      </c>
      <c r="C1767" s="2">
        <v>1620763952</v>
      </c>
      <c r="D1767" s="2">
        <v>1</v>
      </c>
      <c r="E1767" s="2">
        <v>131546193.5</v>
      </c>
      <c r="F1767" s="2">
        <v>251415093</v>
      </c>
      <c r="G1767" s="2">
        <v>2</v>
      </c>
      <c r="H1767" s="2">
        <v>4</v>
      </c>
      <c r="I1767" s="2">
        <v>1</v>
      </c>
      <c r="J1767" s="2">
        <v>2.4</v>
      </c>
      <c r="K1767" s="2" t="s">
        <v>1268</v>
      </c>
      <c r="L1767" s="2" t="str">
        <f t="shared" si="162"/>
        <v>Profitable</v>
      </c>
      <c r="M1767" s="2" t="str">
        <f t="shared" si="163"/>
        <v>High Volatility</v>
      </c>
      <c r="N1767" s="2" t="str">
        <f t="shared" si="164"/>
        <v>Low Quality</v>
      </c>
      <c r="O1767" s="4" t="str">
        <f t="shared" si="165"/>
        <v>Operational Growth</v>
      </c>
      <c r="P1767" s="4" t="str">
        <f t="shared" si="166"/>
        <v>Low Quality</v>
      </c>
      <c r="Q1767" s="4" t="str">
        <f t="shared" si="167"/>
        <v>Weak Growth</v>
      </c>
    </row>
    <row r="1768" spans="1:17" x14ac:dyDescent="0.35">
      <c r="A1768" s="2" t="s">
        <v>1779</v>
      </c>
      <c r="B1768" s="2">
        <v>5</v>
      </c>
      <c r="C1768" s="2">
        <v>507066812.5</v>
      </c>
      <c r="D1768" s="2">
        <v>1</v>
      </c>
      <c r="E1768" s="2">
        <v>213847241.80000001</v>
      </c>
      <c r="F1768" s="2">
        <v>249423925.5</v>
      </c>
      <c r="G1768" s="2">
        <v>2</v>
      </c>
      <c r="H1768" s="2">
        <v>4</v>
      </c>
      <c r="I1768" s="2">
        <v>1</v>
      </c>
      <c r="J1768" s="2">
        <v>2.4</v>
      </c>
      <c r="K1768" s="2" t="s">
        <v>1268</v>
      </c>
      <c r="L1768" s="2" t="str">
        <f t="shared" si="162"/>
        <v>Profitable</v>
      </c>
      <c r="M1768" s="2" t="str">
        <f t="shared" si="163"/>
        <v>High Volatility</v>
      </c>
      <c r="N1768" s="2" t="str">
        <f t="shared" si="164"/>
        <v>Low Quality</v>
      </c>
      <c r="O1768" s="4" t="str">
        <f t="shared" si="165"/>
        <v>Operational Growth</v>
      </c>
      <c r="P1768" s="4" t="str">
        <f t="shared" si="166"/>
        <v>Low Quality</v>
      </c>
      <c r="Q1768" s="4" t="str">
        <f t="shared" si="167"/>
        <v>Weak Growth</v>
      </c>
    </row>
    <row r="1769" spans="1:17" x14ac:dyDescent="0.35">
      <c r="A1769" s="2" t="s">
        <v>1780</v>
      </c>
      <c r="B1769" s="2">
        <v>5</v>
      </c>
      <c r="C1769" s="2">
        <v>125950721.40000001</v>
      </c>
      <c r="D1769" s="2">
        <v>0.8</v>
      </c>
      <c r="E1769" s="2">
        <v>193201915.69999999</v>
      </c>
      <c r="F1769" s="2">
        <v>246210070.5</v>
      </c>
      <c r="G1769" s="2">
        <v>2</v>
      </c>
      <c r="H1769" s="2">
        <v>4</v>
      </c>
      <c r="I1769" s="2">
        <v>1</v>
      </c>
      <c r="J1769" s="2">
        <v>2.4</v>
      </c>
      <c r="K1769" s="2" t="s">
        <v>1268</v>
      </c>
      <c r="L1769" s="2" t="str">
        <f t="shared" si="162"/>
        <v>Profitable</v>
      </c>
      <c r="M1769" s="2" t="str">
        <f t="shared" si="163"/>
        <v>Stable Earnings</v>
      </c>
      <c r="N1769" s="2" t="str">
        <f t="shared" si="164"/>
        <v>Low Quality</v>
      </c>
      <c r="O1769" s="4" t="str">
        <f t="shared" si="165"/>
        <v>Operational Growth</v>
      </c>
      <c r="P1769" s="4" t="str">
        <f t="shared" si="166"/>
        <v>Low Quality</v>
      </c>
      <c r="Q1769" s="4" t="str">
        <f t="shared" si="167"/>
        <v>Weak Growth</v>
      </c>
    </row>
    <row r="1770" spans="1:17" x14ac:dyDescent="0.35">
      <c r="A1770" s="2" t="s">
        <v>1781</v>
      </c>
      <c r="B1770" s="2">
        <v>5</v>
      </c>
      <c r="C1770" s="2">
        <v>1001806712</v>
      </c>
      <c r="D1770" s="2">
        <v>1</v>
      </c>
      <c r="E1770" s="2">
        <v>144271344.69999999</v>
      </c>
      <c r="F1770" s="2">
        <v>235976958.5</v>
      </c>
      <c r="G1770" s="2">
        <v>2</v>
      </c>
      <c r="H1770" s="2">
        <v>4</v>
      </c>
      <c r="I1770" s="2">
        <v>1</v>
      </c>
      <c r="J1770" s="2">
        <v>2.4</v>
      </c>
      <c r="K1770" s="2" t="s">
        <v>1268</v>
      </c>
      <c r="L1770" s="2" t="str">
        <f t="shared" si="162"/>
        <v>Profitable</v>
      </c>
      <c r="M1770" s="2" t="str">
        <f t="shared" si="163"/>
        <v>High Volatility</v>
      </c>
      <c r="N1770" s="2" t="str">
        <f t="shared" si="164"/>
        <v>Low Quality</v>
      </c>
      <c r="O1770" s="4" t="str">
        <f t="shared" si="165"/>
        <v>Operational Growth</v>
      </c>
      <c r="P1770" s="4" t="str">
        <f t="shared" si="166"/>
        <v>Low Quality</v>
      </c>
      <c r="Q1770" s="4" t="str">
        <f t="shared" si="167"/>
        <v>Weak Growth</v>
      </c>
    </row>
    <row r="1771" spans="1:17" x14ac:dyDescent="0.35">
      <c r="A1771" s="2" t="s">
        <v>1782</v>
      </c>
      <c r="B1771" s="2">
        <v>5</v>
      </c>
      <c r="C1771" s="2">
        <v>129507635.40000001</v>
      </c>
      <c r="D1771" s="2">
        <v>0.8</v>
      </c>
      <c r="E1771" s="2">
        <v>200337349.59999999</v>
      </c>
      <c r="F1771" s="2">
        <v>399423325.5</v>
      </c>
      <c r="G1771" s="2">
        <v>2</v>
      </c>
      <c r="H1771" s="2">
        <v>4</v>
      </c>
      <c r="I1771" s="2">
        <v>1</v>
      </c>
      <c r="J1771" s="2">
        <v>2.4</v>
      </c>
      <c r="K1771" s="2" t="s">
        <v>1268</v>
      </c>
      <c r="L1771" s="2" t="str">
        <f t="shared" si="162"/>
        <v>Profitable</v>
      </c>
      <c r="M1771" s="2" t="str">
        <f t="shared" si="163"/>
        <v>Stable Earnings</v>
      </c>
      <c r="N1771" s="2" t="str">
        <f t="shared" si="164"/>
        <v>Low Quality</v>
      </c>
      <c r="O1771" s="4" t="str">
        <f t="shared" si="165"/>
        <v>Operational Growth</v>
      </c>
      <c r="P1771" s="4" t="str">
        <f t="shared" si="166"/>
        <v>Low Quality</v>
      </c>
      <c r="Q1771" s="4" t="str">
        <f t="shared" si="167"/>
        <v>Weak Growth</v>
      </c>
    </row>
    <row r="1772" spans="1:17" x14ac:dyDescent="0.35">
      <c r="A1772" s="2" t="s">
        <v>1783</v>
      </c>
      <c r="B1772" s="2">
        <v>5</v>
      </c>
      <c r="C1772" s="2">
        <v>1190917783</v>
      </c>
      <c r="D1772" s="2">
        <v>1</v>
      </c>
      <c r="E1772" s="2">
        <v>195423563.80000001</v>
      </c>
      <c r="F1772" s="2">
        <v>382635036</v>
      </c>
      <c r="G1772" s="2">
        <v>2</v>
      </c>
      <c r="H1772" s="2">
        <v>4</v>
      </c>
      <c r="I1772" s="2">
        <v>1</v>
      </c>
      <c r="J1772" s="2">
        <v>2.4</v>
      </c>
      <c r="K1772" s="2" t="s">
        <v>1268</v>
      </c>
      <c r="L1772" s="2" t="str">
        <f t="shared" si="162"/>
        <v>Profitable</v>
      </c>
      <c r="M1772" s="2" t="str">
        <f t="shared" si="163"/>
        <v>High Volatility</v>
      </c>
      <c r="N1772" s="2" t="str">
        <f t="shared" si="164"/>
        <v>Low Quality</v>
      </c>
      <c r="O1772" s="4" t="str">
        <f t="shared" si="165"/>
        <v>Operational Growth</v>
      </c>
      <c r="P1772" s="4" t="str">
        <f t="shared" si="166"/>
        <v>Low Quality</v>
      </c>
      <c r="Q1772" s="4" t="str">
        <f t="shared" si="167"/>
        <v>Weak Growth</v>
      </c>
    </row>
    <row r="1773" spans="1:17" x14ac:dyDescent="0.35">
      <c r="A1773" s="2" t="s">
        <v>1784</v>
      </c>
      <c r="B1773" s="2">
        <v>5</v>
      </c>
      <c r="C1773" s="2">
        <v>271954708.60000002</v>
      </c>
      <c r="D1773" s="2">
        <v>1</v>
      </c>
      <c r="E1773" s="2">
        <v>203999713.19999999</v>
      </c>
      <c r="F1773" s="2">
        <v>372478209.60000002</v>
      </c>
      <c r="G1773" s="2">
        <v>2</v>
      </c>
      <c r="H1773" s="2">
        <v>4</v>
      </c>
      <c r="I1773" s="2">
        <v>1</v>
      </c>
      <c r="J1773" s="2">
        <v>2.4</v>
      </c>
      <c r="K1773" s="2" t="s">
        <v>1268</v>
      </c>
      <c r="L1773" s="2" t="str">
        <f t="shared" si="162"/>
        <v>Profitable</v>
      </c>
      <c r="M1773" s="2" t="str">
        <f t="shared" si="163"/>
        <v>Stable Earnings</v>
      </c>
      <c r="N1773" s="2" t="str">
        <f t="shared" si="164"/>
        <v>Low Quality</v>
      </c>
      <c r="O1773" s="4" t="str">
        <f t="shared" si="165"/>
        <v>Operational Growth</v>
      </c>
      <c r="P1773" s="4" t="str">
        <f t="shared" si="166"/>
        <v>Low Quality</v>
      </c>
      <c r="Q1773" s="4" t="str">
        <f t="shared" si="167"/>
        <v>Weak Growth</v>
      </c>
    </row>
    <row r="1774" spans="1:17" x14ac:dyDescent="0.35">
      <c r="A1774" s="2" t="s">
        <v>1785</v>
      </c>
      <c r="B1774" s="2">
        <v>5</v>
      </c>
      <c r="C1774" s="2">
        <v>679909168.29999995</v>
      </c>
      <c r="D1774" s="2">
        <v>1</v>
      </c>
      <c r="E1774" s="2">
        <v>160974859.30000001</v>
      </c>
      <c r="F1774" s="2">
        <v>371496435</v>
      </c>
      <c r="G1774" s="2">
        <v>2</v>
      </c>
      <c r="H1774" s="2">
        <v>4</v>
      </c>
      <c r="I1774" s="2">
        <v>1</v>
      </c>
      <c r="J1774" s="2">
        <v>2.4</v>
      </c>
      <c r="K1774" s="2" t="s">
        <v>1268</v>
      </c>
      <c r="L1774" s="2" t="str">
        <f t="shared" si="162"/>
        <v>Profitable</v>
      </c>
      <c r="M1774" s="2" t="str">
        <f t="shared" si="163"/>
        <v>High Volatility</v>
      </c>
      <c r="N1774" s="2" t="str">
        <f t="shared" si="164"/>
        <v>Low Quality</v>
      </c>
      <c r="O1774" s="4" t="str">
        <f t="shared" si="165"/>
        <v>Operational Growth</v>
      </c>
      <c r="P1774" s="4" t="str">
        <f t="shared" si="166"/>
        <v>Low Quality</v>
      </c>
      <c r="Q1774" s="4" t="str">
        <f t="shared" si="167"/>
        <v>Weak Growth</v>
      </c>
    </row>
    <row r="1775" spans="1:17" x14ac:dyDescent="0.35">
      <c r="A1775" s="2" t="s">
        <v>1786</v>
      </c>
      <c r="B1775" s="2">
        <v>5</v>
      </c>
      <c r="C1775" s="2">
        <v>496052120.39999998</v>
      </c>
      <c r="D1775" s="2">
        <v>1</v>
      </c>
      <c r="E1775" s="2">
        <v>177289751.30000001</v>
      </c>
      <c r="F1775" s="2">
        <v>438104170.69999999</v>
      </c>
      <c r="G1775" s="2">
        <v>2</v>
      </c>
      <c r="H1775" s="2">
        <v>4</v>
      </c>
      <c r="I1775" s="2">
        <v>1</v>
      </c>
      <c r="J1775" s="2">
        <v>2.4</v>
      </c>
      <c r="K1775" s="2" t="s">
        <v>1268</v>
      </c>
      <c r="L1775" s="2" t="str">
        <f t="shared" si="162"/>
        <v>Profitable</v>
      </c>
      <c r="M1775" s="2" t="str">
        <f t="shared" si="163"/>
        <v>Stable Earnings</v>
      </c>
      <c r="N1775" s="2" t="str">
        <f t="shared" si="164"/>
        <v>Low Quality</v>
      </c>
      <c r="O1775" s="4" t="str">
        <f t="shared" si="165"/>
        <v>Operational Growth</v>
      </c>
      <c r="P1775" s="4" t="str">
        <f t="shared" si="166"/>
        <v>Low Quality</v>
      </c>
      <c r="Q1775" s="4" t="str">
        <f t="shared" si="167"/>
        <v>Weak Growth</v>
      </c>
    </row>
    <row r="1776" spans="1:17" x14ac:dyDescent="0.35">
      <c r="A1776" s="2" t="s">
        <v>1787</v>
      </c>
      <c r="B1776" s="2">
        <v>5</v>
      </c>
      <c r="C1776" s="2">
        <v>287534413.60000002</v>
      </c>
      <c r="D1776" s="2">
        <v>0.8</v>
      </c>
      <c r="E1776" s="2">
        <v>227097991.19999999</v>
      </c>
      <c r="F1776" s="2">
        <v>329776116.19999999</v>
      </c>
      <c r="G1776" s="2">
        <v>2</v>
      </c>
      <c r="H1776" s="2">
        <v>4</v>
      </c>
      <c r="I1776" s="2">
        <v>1</v>
      </c>
      <c r="J1776" s="2">
        <v>2.4</v>
      </c>
      <c r="K1776" s="2" t="s">
        <v>1268</v>
      </c>
      <c r="L1776" s="2" t="str">
        <f t="shared" si="162"/>
        <v>Profitable</v>
      </c>
      <c r="M1776" s="2" t="str">
        <f t="shared" si="163"/>
        <v>Stable Earnings</v>
      </c>
      <c r="N1776" s="2" t="str">
        <f t="shared" si="164"/>
        <v>Low Quality</v>
      </c>
      <c r="O1776" s="4" t="str">
        <f t="shared" si="165"/>
        <v>Operational Growth</v>
      </c>
      <c r="P1776" s="4" t="str">
        <f t="shared" si="166"/>
        <v>Low Quality</v>
      </c>
      <c r="Q1776" s="4" t="str">
        <f t="shared" si="167"/>
        <v>Weak Growth</v>
      </c>
    </row>
    <row r="1777" spans="1:17" x14ac:dyDescent="0.35">
      <c r="A1777" s="2" t="s">
        <v>1788</v>
      </c>
      <c r="B1777" s="2">
        <v>5</v>
      </c>
      <c r="C1777" s="2">
        <v>870451732.5</v>
      </c>
      <c r="D1777" s="2">
        <v>1</v>
      </c>
      <c r="E1777" s="2">
        <v>290153851.60000002</v>
      </c>
      <c r="F1777" s="2">
        <v>321617977.60000002</v>
      </c>
      <c r="G1777" s="2">
        <v>2</v>
      </c>
      <c r="H1777" s="2">
        <v>4</v>
      </c>
      <c r="I1777" s="2">
        <v>1</v>
      </c>
      <c r="J1777" s="2">
        <v>2.4</v>
      </c>
      <c r="K1777" s="2" t="s">
        <v>1268</v>
      </c>
      <c r="L1777" s="2" t="str">
        <f t="shared" si="162"/>
        <v>Profitable</v>
      </c>
      <c r="M1777" s="2" t="str">
        <f t="shared" si="163"/>
        <v>High Volatility</v>
      </c>
      <c r="N1777" s="2" t="str">
        <f t="shared" si="164"/>
        <v>Low Quality</v>
      </c>
      <c r="O1777" s="4" t="str">
        <f t="shared" si="165"/>
        <v>Operational Growth</v>
      </c>
      <c r="P1777" s="4" t="str">
        <f t="shared" si="166"/>
        <v>Low Quality</v>
      </c>
      <c r="Q1777" s="4" t="str">
        <f t="shared" si="167"/>
        <v>Weak Growth</v>
      </c>
    </row>
    <row r="1778" spans="1:17" x14ac:dyDescent="0.35">
      <c r="A1778" s="2" t="s">
        <v>1789</v>
      </c>
      <c r="B1778" s="2">
        <v>5</v>
      </c>
      <c r="C1778" s="2">
        <v>352321580.5</v>
      </c>
      <c r="D1778" s="2">
        <v>1</v>
      </c>
      <c r="E1778" s="2">
        <v>282143765.89999998</v>
      </c>
      <c r="F1778" s="2">
        <v>319455594.5</v>
      </c>
      <c r="G1778" s="2">
        <v>2</v>
      </c>
      <c r="H1778" s="2">
        <v>4</v>
      </c>
      <c r="I1778" s="2">
        <v>1</v>
      </c>
      <c r="J1778" s="2">
        <v>2.4</v>
      </c>
      <c r="K1778" s="2" t="s">
        <v>1268</v>
      </c>
      <c r="L1778" s="2" t="str">
        <f t="shared" si="162"/>
        <v>Profitable</v>
      </c>
      <c r="M1778" s="2" t="str">
        <f t="shared" si="163"/>
        <v>Stable Earnings</v>
      </c>
      <c r="N1778" s="2" t="str">
        <f t="shared" si="164"/>
        <v>Low Quality</v>
      </c>
      <c r="O1778" s="4" t="str">
        <f t="shared" si="165"/>
        <v>Operational Growth</v>
      </c>
      <c r="P1778" s="4" t="str">
        <f t="shared" si="166"/>
        <v>Low Quality</v>
      </c>
      <c r="Q1778" s="4" t="str">
        <f t="shared" si="167"/>
        <v>Weak Growth</v>
      </c>
    </row>
    <row r="1779" spans="1:17" x14ac:dyDescent="0.35">
      <c r="A1779" s="2" t="s">
        <v>1790</v>
      </c>
      <c r="B1779" s="2">
        <v>5</v>
      </c>
      <c r="C1779" s="2">
        <v>799765402.20000005</v>
      </c>
      <c r="D1779" s="2">
        <v>1</v>
      </c>
      <c r="E1779" s="2">
        <v>160228809.09999999</v>
      </c>
      <c r="F1779" s="2">
        <v>358889822.89999998</v>
      </c>
      <c r="G1779" s="2">
        <v>2</v>
      </c>
      <c r="H1779" s="2">
        <v>4</v>
      </c>
      <c r="I1779" s="2">
        <v>1</v>
      </c>
      <c r="J1779" s="2">
        <v>2.4</v>
      </c>
      <c r="K1779" s="2" t="s">
        <v>1268</v>
      </c>
      <c r="L1779" s="2" t="str">
        <f t="shared" si="162"/>
        <v>Profitable</v>
      </c>
      <c r="M1779" s="2" t="str">
        <f t="shared" si="163"/>
        <v>High Volatility</v>
      </c>
      <c r="N1779" s="2" t="str">
        <f t="shared" si="164"/>
        <v>Low Quality</v>
      </c>
      <c r="O1779" s="4" t="str">
        <f t="shared" si="165"/>
        <v>Operational Growth</v>
      </c>
      <c r="P1779" s="4" t="str">
        <f t="shared" si="166"/>
        <v>Low Quality</v>
      </c>
      <c r="Q1779" s="4" t="str">
        <f t="shared" si="167"/>
        <v>Weak Growth</v>
      </c>
    </row>
    <row r="1780" spans="1:17" x14ac:dyDescent="0.35">
      <c r="A1780" s="2" t="s">
        <v>1791</v>
      </c>
      <c r="B1780" s="2">
        <v>5</v>
      </c>
      <c r="C1780" s="2">
        <v>352416808.5</v>
      </c>
      <c r="D1780" s="2">
        <v>1</v>
      </c>
      <c r="E1780" s="2">
        <v>158564347.90000001</v>
      </c>
      <c r="F1780" s="2">
        <v>354801551.89999998</v>
      </c>
      <c r="G1780" s="2">
        <v>2</v>
      </c>
      <c r="H1780" s="2">
        <v>4</v>
      </c>
      <c r="I1780" s="2">
        <v>1</v>
      </c>
      <c r="J1780" s="2">
        <v>2.4</v>
      </c>
      <c r="K1780" s="2" t="s">
        <v>1268</v>
      </c>
      <c r="L1780" s="2" t="str">
        <f t="shared" si="162"/>
        <v>Profitable</v>
      </c>
      <c r="M1780" s="2" t="str">
        <f t="shared" si="163"/>
        <v>Stable Earnings</v>
      </c>
      <c r="N1780" s="2" t="str">
        <f t="shared" si="164"/>
        <v>Low Quality</v>
      </c>
      <c r="O1780" s="4" t="str">
        <f t="shared" si="165"/>
        <v>Operational Growth</v>
      </c>
      <c r="P1780" s="4" t="str">
        <f t="shared" si="166"/>
        <v>Low Quality</v>
      </c>
      <c r="Q1780" s="4" t="str">
        <f t="shared" si="167"/>
        <v>Weak Growth</v>
      </c>
    </row>
    <row r="1781" spans="1:17" x14ac:dyDescent="0.35">
      <c r="A1781" s="2" t="s">
        <v>1792</v>
      </c>
      <c r="B1781" s="2">
        <v>5</v>
      </c>
      <c r="C1781" s="2">
        <v>479809744.30000001</v>
      </c>
      <c r="D1781" s="2">
        <v>1</v>
      </c>
      <c r="E1781" s="2">
        <v>176611256.90000001</v>
      </c>
      <c r="F1781" s="2">
        <v>336352574.89999998</v>
      </c>
      <c r="G1781" s="2">
        <v>2</v>
      </c>
      <c r="H1781" s="2">
        <v>4</v>
      </c>
      <c r="I1781" s="2">
        <v>1</v>
      </c>
      <c r="J1781" s="2">
        <v>2.4</v>
      </c>
      <c r="K1781" s="2" t="s">
        <v>1268</v>
      </c>
      <c r="L1781" s="2" t="str">
        <f t="shared" si="162"/>
        <v>Profitable</v>
      </c>
      <c r="M1781" s="2" t="str">
        <f t="shared" si="163"/>
        <v>Stable Earnings</v>
      </c>
      <c r="N1781" s="2" t="str">
        <f t="shared" si="164"/>
        <v>Low Quality</v>
      </c>
      <c r="O1781" s="4" t="str">
        <f t="shared" si="165"/>
        <v>Operational Growth</v>
      </c>
      <c r="P1781" s="4" t="str">
        <f t="shared" si="166"/>
        <v>Low Quality</v>
      </c>
      <c r="Q1781" s="4" t="str">
        <f t="shared" si="167"/>
        <v>Weak Growth</v>
      </c>
    </row>
    <row r="1782" spans="1:17" x14ac:dyDescent="0.35">
      <c r="A1782" s="2" t="s">
        <v>1793</v>
      </c>
      <c r="B1782" s="2">
        <v>5</v>
      </c>
      <c r="C1782" s="2">
        <v>440738909.60000002</v>
      </c>
      <c r="D1782" s="2">
        <v>1</v>
      </c>
      <c r="E1782" s="2">
        <v>223368876.59999999</v>
      </c>
      <c r="F1782" s="2">
        <v>334612971</v>
      </c>
      <c r="G1782" s="2">
        <v>2</v>
      </c>
      <c r="H1782" s="2">
        <v>4</v>
      </c>
      <c r="I1782" s="2">
        <v>1</v>
      </c>
      <c r="J1782" s="2">
        <v>2.4</v>
      </c>
      <c r="K1782" s="2" t="s">
        <v>1268</v>
      </c>
      <c r="L1782" s="2" t="str">
        <f t="shared" si="162"/>
        <v>Profitable</v>
      </c>
      <c r="M1782" s="2" t="str">
        <f t="shared" si="163"/>
        <v>Stable Earnings</v>
      </c>
      <c r="N1782" s="2" t="str">
        <f t="shared" si="164"/>
        <v>Low Quality</v>
      </c>
      <c r="O1782" s="4" t="str">
        <f t="shared" si="165"/>
        <v>Operational Growth</v>
      </c>
      <c r="P1782" s="4" t="str">
        <f t="shared" si="166"/>
        <v>Low Quality</v>
      </c>
      <c r="Q1782" s="4" t="str">
        <f t="shared" si="167"/>
        <v>Weak Growth</v>
      </c>
    </row>
    <row r="1783" spans="1:17" x14ac:dyDescent="0.35">
      <c r="A1783" s="2" t="s">
        <v>1794</v>
      </c>
      <c r="B1783" s="2">
        <v>5</v>
      </c>
      <c r="C1783" s="2">
        <v>506239634.5</v>
      </c>
      <c r="D1783" s="2">
        <v>1</v>
      </c>
      <c r="E1783" s="2">
        <v>129778837.59999999</v>
      </c>
      <c r="F1783" s="2">
        <v>332563016.69999999</v>
      </c>
      <c r="G1783" s="2">
        <v>2</v>
      </c>
      <c r="H1783" s="2">
        <v>4</v>
      </c>
      <c r="I1783" s="2">
        <v>1</v>
      </c>
      <c r="J1783" s="2">
        <v>2.4</v>
      </c>
      <c r="K1783" s="2" t="s">
        <v>1268</v>
      </c>
      <c r="L1783" s="2" t="str">
        <f t="shared" si="162"/>
        <v>Profitable</v>
      </c>
      <c r="M1783" s="2" t="str">
        <f t="shared" si="163"/>
        <v>High Volatility</v>
      </c>
      <c r="N1783" s="2" t="str">
        <f t="shared" si="164"/>
        <v>Low Quality</v>
      </c>
      <c r="O1783" s="4" t="str">
        <f t="shared" si="165"/>
        <v>Operational Growth</v>
      </c>
      <c r="P1783" s="4" t="str">
        <f t="shared" si="166"/>
        <v>Low Quality</v>
      </c>
      <c r="Q1783" s="4" t="str">
        <f t="shared" si="167"/>
        <v>Weak Growth</v>
      </c>
    </row>
    <row r="1784" spans="1:17" x14ac:dyDescent="0.35">
      <c r="A1784" s="2" t="s">
        <v>1795</v>
      </c>
      <c r="B1784" s="2">
        <v>5</v>
      </c>
      <c r="C1784" s="2">
        <v>423899192</v>
      </c>
      <c r="D1784" s="2">
        <v>1</v>
      </c>
      <c r="E1784" s="2">
        <v>188004594.69999999</v>
      </c>
      <c r="F1784" s="2">
        <v>379020616.5</v>
      </c>
      <c r="G1784" s="2">
        <v>2</v>
      </c>
      <c r="H1784" s="2">
        <v>4</v>
      </c>
      <c r="I1784" s="2">
        <v>1</v>
      </c>
      <c r="J1784" s="2">
        <v>2.4</v>
      </c>
      <c r="K1784" s="2" t="s">
        <v>1268</v>
      </c>
      <c r="L1784" s="2" t="str">
        <f t="shared" si="162"/>
        <v>Profitable</v>
      </c>
      <c r="M1784" s="2" t="str">
        <f t="shared" si="163"/>
        <v>Stable Earnings</v>
      </c>
      <c r="N1784" s="2" t="str">
        <f t="shared" si="164"/>
        <v>Low Quality</v>
      </c>
      <c r="O1784" s="4" t="str">
        <f t="shared" si="165"/>
        <v>Operational Growth</v>
      </c>
      <c r="P1784" s="4" t="str">
        <f t="shared" si="166"/>
        <v>Low Quality</v>
      </c>
      <c r="Q1784" s="4" t="str">
        <f t="shared" si="167"/>
        <v>Weak Growth</v>
      </c>
    </row>
    <row r="1785" spans="1:17" x14ac:dyDescent="0.35">
      <c r="A1785" s="2" t="s">
        <v>1796</v>
      </c>
      <c r="B1785" s="2">
        <v>5</v>
      </c>
      <c r="C1785" s="2">
        <v>865549163.20000005</v>
      </c>
      <c r="D1785" s="2">
        <v>1</v>
      </c>
      <c r="E1785" s="2">
        <v>237438847</v>
      </c>
      <c r="F1785" s="2">
        <v>369843657.60000002</v>
      </c>
      <c r="G1785" s="2">
        <v>2</v>
      </c>
      <c r="H1785" s="2">
        <v>4</v>
      </c>
      <c r="I1785" s="2">
        <v>1</v>
      </c>
      <c r="J1785" s="2">
        <v>2.4</v>
      </c>
      <c r="K1785" s="2" t="s">
        <v>1268</v>
      </c>
      <c r="L1785" s="2" t="str">
        <f t="shared" si="162"/>
        <v>Profitable</v>
      </c>
      <c r="M1785" s="2" t="str">
        <f t="shared" si="163"/>
        <v>High Volatility</v>
      </c>
      <c r="N1785" s="2" t="str">
        <f t="shared" si="164"/>
        <v>Low Quality</v>
      </c>
      <c r="O1785" s="4" t="str">
        <f t="shared" si="165"/>
        <v>Operational Growth</v>
      </c>
      <c r="P1785" s="4" t="str">
        <f t="shared" si="166"/>
        <v>Low Quality</v>
      </c>
      <c r="Q1785" s="4" t="str">
        <f t="shared" si="167"/>
        <v>Weak Growth</v>
      </c>
    </row>
    <row r="1786" spans="1:17" x14ac:dyDescent="0.35">
      <c r="A1786" s="2" t="s">
        <v>1797</v>
      </c>
      <c r="B1786" s="2">
        <v>5</v>
      </c>
      <c r="C1786" s="2">
        <v>832288974.79999995</v>
      </c>
      <c r="D1786" s="2">
        <v>1</v>
      </c>
      <c r="E1786" s="2">
        <v>262342803.30000001</v>
      </c>
      <c r="F1786" s="2">
        <v>655965959.10000002</v>
      </c>
      <c r="G1786" s="2">
        <v>2</v>
      </c>
      <c r="H1786" s="2">
        <v>4</v>
      </c>
      <c r="I1786" s="2">
        <v>1</v>
      </c>
      <c r="J1786" s="2">
        <v>2.4</v>
      </c>
      <c r="K1786" s="2" t="s">
        <v>1268</v>
      </c>
      <c r="L1786" s="2" t="str">
        <f t="shared" si="162"/>
        <v>Profitable</v>
      </c>
      <c r="M1786" s="2" t="str">
        <f t="shared" si="163"/>
        <v>High Volatility</v>
      </c>
      <c r="N1786" s="2" t="str">
        <f t="shared" si="164"/>
        <v>Low Quality</v>
      </c>
      <c r="O1786" s="4" t="str">
        <f t="shared" si="165"/>
        <v>Operational Growth</v>
      </c>
      <c r="P1786" s="4" t="str">
        <f t="shared" si="166"/>
        <v>Low Quality</v>
      </c>
      <c r="Q1786" s="4" t="str">
        <f t="shared" si="167"/>
        <v>Weak Growth</v>
      </c>
    </row>
    <row r="1787" spans="1:17" x14ac:dyDescent="0.35">
      <c r="A1787" s="2" t="s">
        <v>1798</v>
      </c>
      <c r="B1787" s="2">
        <v>5</v>
      </c>
      <c r="C1787" s="2">
        <v>592105488.39999998</v>
      </c>
      <c r="D1787" s="2">
        <v>1</v>
      </c>
      <c r="E1787" s="2">
        <v>245944236.40000001</v>
      </c>
      <c r="F1787" s="2">
        <v>540095834.29999995</v>
      </c>
      <c r="G1787" s="2">
        <v>2</v>
      </c>
      <c r="H1787" s="2">
        <v>4</v>
      </c>
      <c r="I1787" s="2">
        <v>1</v>
      </c>
      <c r="J1787" s="2">
        <v>2.4</v>
      </c>
      <c r="K1787" s="2" t="s">
        <v>1268</v>
      </c>
      <c r="L1787" s="2" t="str">
        <f t="shared" si="162"/>
        <v>Profitable</v>
      </c>
      <c r="M1787" s="2" t="str">
        <f t="shared" si="163"/>
        <v>High Volatility</v>
      </c>
      <c r="N1787" s="2" t="str">
        <f t="shared" si="164"/>
        <v>Low Quality</v>
      </c>
      <c r="O1787" s="4" t="str">
        <f t="shared" si="165"/>
        <v>Operational Growth</v>
      </c>
      <c r="P1787" s="4" t="str">
        <f t="shared" si="166"/>
        <v>Low Quality</v>
      </c>
      <c r="Q1787" s="4" t="str">
        <f t="shared" si="167"/>
        <v>Weak Growth</v>
      </c>
    </row>
    <row r="1788" spans="1:17" x14ac:dyDescent="0.35">
      <c r="A1788" s="2" t="s">
        <v>1799</v>
      </c>
      <c r="B1788" s="2">
        <v>5</v>
      </c>
      <c r="C1788" s="2">
        <v>1228632090</v>
      </c>
      <c r="D1788" s="2">
        <v>1</v>
      </c>
      <c r="E1788" s="2">
        <v>249588262.90000001</v>
      </c>
      <c r="F1788" s="2">
        <v>597187830</v>
      </c>
      <c r="G1788" s="2">
        <v>2</v>
      </c>
      <c r="H1788" s="2">
        <v>4</v>
      </c>
      <c r="I1788" s="2">
        <v>1</v>
      </c>
      <c r="J1788" s="2">
        <v>2.4</v>
      </c>
      <c r="K1788" s="2" t="s">
        <v>1268</v>
      </c>
      <c r="L1788" s="2" t="str">
        <f t="shared" si="162"/>
        <v>Profitable</v>
      </c>
      <c r="M1788" s="2" t="str">
        <f t="shared" si="163"/>
        <v>High Volatility</v>
      </c>
      <c r="N1788" s="2" t="str">
        <f t="shared" si="164"/>
        <v>Low Quality</v>
      </c>
      <c r="O1788" s="4" t="str">
        <f t="shared" si="165"/>
        <v>Operational Growth</v>
      </c>
      <c r="P1788" s="4" t="str">
        <f t="shared" si="166"/>
        <v>Low Quality</v>
      </c>
      <c r="Q1788" s="4" t="str">
        <f t="shared" si="167"/>
        <v>Weak Growth</v>
      </c>
    </row>
    <row r="1789" spans="1:17" x14ac:dyDescent="0.35">
      <c r="A1789" s="2" t="s">
        <v>1800</v>
      </c>
      <c r="B1789" s="2">
        <v>5</v>
      </c>
      <c r="C1789" s="2">
        <v>245452898.19999999</v>
      </c>
      <c r="D1789" s="2">
        <v>1</v>
      </c>
      <c r="E1789" s="2">
        <v>250457317.59999999</v>
      </c>
      <c r="F1789" s="2">
        <v>594800456</v>
      </c>
      <c r="G1789" s="2">
        <v>2</v>
      </c>
      <c r="H1789" s="2">
        <v>4</v>
      </c>
      <c r="I1789" s="2">
        <v>1</v>
      </c>
      <c r="J1789" s="2">
        <v>2.4</v>
      </c>
      <c r="K1789" s="2" t="s">
        <v>1268</v>
      </c>
      <c r="L1789" s="2" t="str">
        <f t="shared" si="162"/>
        <v>Profitable</v>
      </c>
      <c r="M1789" s="2" t="str">
        <f t="shared" si="163"/>
        <v>Stable Earnings</v>
      </c>
      <c r="N1789" s="2" t="str">
        <f t="shared" si="164"/>
        <v>Low Quality</v>
      </c>
      <c r="O1789" s="4" t="str">
        <f t="shared" si="165"/>
        <v>Operational Growth</v>
      </c>
      <c r="P1789" s="4" t="str">
        <f t="shared" si="166"/>
        <v>Low Quality</v>
      </c>
      <c r="Q1789" s="4" t="str">
        <f t="shared" si="167"/>
        <v>Weak Growth</v>
      </c>
    </row>
    <row r="1790" spans="1:17" x14ac:dyDescent="0.35">
      <c r="A1790" s="2" t="s">
        <v>1801</v>
      </c>
      <c r="B1790" s="2">
        <v>5</v>
      </c>
      <c r="C1790" s="2">
        <v>1079183775</v>
      </c>
      <c r="D1790" s="2">
        <v>1</v>
      </c>
      <c r="E1790" s="2">
        <v>280091486.19999999</v>
      </c>
      <c r="F1790" s="2">
        <v>626732309.10000002</v>
      </c>
      <c r="G1790" s="2">
        <v>2</v>
      </c>
      <c r="H1790" s="2">
        <v>4</v>
      </c>
      <c r="I1790" s="2">
        <v>1</v>
      </c>
      <c r="J1790" s="2">
        <v>2.4</v>
      </c>
      <c r="K1790" s="2" t="s">
        <v>1268</v>
      </c>
      <c r="L1790" s="2" t="str">
        <f t="shared" si="162"/>
        <v>Profitable</v>
      </c>
      <c r="M1790" s="2" t="str">
        <f t="shared" si="163"/>
        <v>High Volatility</v>
      </c>
      <c r="N1790" s="2" t="str">
        <f t="shared" si="164"/>
        <v>Low Quality</v>
      </c>
      <c r="O1790" s="4" t="str">
        <f t="shared" si="165"/>
        <v>Operational Growth</v>
      </c>
      <c r="P1790" s="4" t="str">
        <f t="shared" si="166"/>
        <v>Low Quality</v>
      </c>
      <c r="Q1790" s="4" t="str">
        <f t="shared" si="167"/>
        <v>Weak Growth</v>
      </c>
    </row>
    <row r="1791" spans="1:17" x14ac:dyDescent="0.35">
      <c r="A1791" s="2" t="s">
        <v>1802</v>
      </c>
      <c r="B1791" s="2">
        <v>5</v>
      </c>
      <c r="C1791" s="2">
        <v>798658229.79999995</v>
      </c>
      <c r="D1791" s="2">
        <v>1</v>
      </c>
      <c r="E1791" s="2">
        <v>245207090.69999999</v>
      </c>
      <c r="F1791" s="2">
        <v>621680742.60000002</v>
      </c>
      <c r="G1791" s="2">
        <v>2</v>
      </c>
      <c r="H1791" s="2">
        <v>4</v>
      </c>
      <c r="I1791" s="2">
        <v>1</v>
      </c>
      <c r="J1791" s="2">
        <v>2.4</v>
      </c>
      <c r="K1791" s="2" t="s">
        <v>1268</v>
      </c>
      <c r="L1791" s="2" t="str">
        <f t="shared" si="162"/>
        <v>Profitable</v>
      </c>
      <c r="M1791" s="2" t="str">
        <f t="shared" si="163"/>
        <v>High Volatility</v>
      </c>
      <c r="N1791" s="2" t="str">
        <f t="shared" si="164"/>
        <v>Low Quality</v>
      </c>
      <c r="O1791" s="4" t="str">
        <f t="shared" si="165"/>
        <v>Operational Growth</v>
      </c>
      <c r="P1791" s="4" t="str">
        <f t="shared" si="166"/>
        <v>Low Quality</v>
      </c>
      <c r="Q1791" s="4" t="str">
        <f t="shared" si="167"/>
        <v>Weak Growth</v>
      </c>
    </row>
    <row r="1792" spans="1:17" x14ac:dyDescent="0.35">
      <c r="A1792" s="2" t="s">
        <v>1803</v>
      </c>
      <c r="B1792" s="2">
        <v>5</v>
      </c>
      <c r="C1792" s="2">
        <v>1291950193</v>
      </c>
      <c r="D1792" s="2">
        <v>1</v>
      </c>
      <c r="E1792" s="2">
        <v>287844708.5</v>
      </c>
      <c r="F1792" s="2">
        <v>616281792</v>
      </c>
      <c r="G1792" s="2">
        <v>2</v>
      </c>
      <c r="H1792" s="2">
        <v>4</v>
      </c>
      <c r="I1792" s="2">
        <v>1</v>
      </c>
      <c r="J1792" s="2">
        <v>2.4</v>
      </c>
      <c r="K1792" s="2" t="s">
        <v>1268</v>
      </c>
      <c r="L1792" s="2" t="str">
        <f t="shared" si="162"/>
        <v>Profitable</v>
      </c>
      <c r="M1792" s="2" t="str">
        <f t="shared" si="163"/>
        <v>High Volatility</v>
      </c>
      <c r="N1792" s="2" t="str">
        <f t="shared" si="164"/>
        <v>Low Quality</v>
      </c>
      <c r="O1792" s="4" t="str">
        <f t="shared" si="165"/>
        <v>Operational Growth</v>
      </c>
      <c r="P1792" s="4" t="str">
        <f t="shared" si="166"/>
        <v>Low Quality</v>
      </c>
      <c r="Q1792" s="4" t="str">
        <f t="shared" si="167"/>
        <v>Weak Growth</v>
      </c>
    </row>
    <row r="1793" spans="1:17" x14ac:dyDescent="0.35">
      <c r="A1793" s="2" t="s">
        <v>1804</v>
      </c>
      <c r="B1793" s="2">
        <v>5</v>
      </c>
      <c r="C1793" s="2">
        <v>213817920.40000001</v>
      </c>
      <c r="D1793" s="2">
        <v>0.8</v>
      </c>
      <c r="E1793" s="2">
        <v>207634953.5</v>
      </c>
      <c r="F1793" s="2">
        <v>458153733</v>
      </c>
      <c r="G1793" s="2">
        <v>2</v>
      </c>
      <c r="H1793" s="2">
        <v>4</v>
      </c>
      <c r="I1793" s="2">
        <v>1</v>
      </c>
      <c r="J1793" s="2">
        <v>2.4</v>
      </c>
      <c r="K1793" s="2" t="s">
        <v>1268</v>
      </c>
      <c r="L1793" s="2" t="str">
        <f t="shared" si="162"/>
        <v>Profitable</v>
      </c>
      <c r="M1793" s="2" t="str">
        <f t="shared" si="163"/>
        <v>Stable Earnings</v>
      </c>
      <c r="N1793" s="2" t="str">
        <f t="shared" si="164"/>
        <v>Low Quality</v>
      </c>
      <c r="O1793" s="4" t="str">
        <f t="shared" si="165"/>
        <v>Operational Growth</v>
      </c>
      <c r="P1793" s="4" t="str">
        <f t="shared" si="166"/>
        <v>Low Quality</v>
      </c>
      <c r="Q1793" s="4" t="str">
        <f t="shared" si="167"/>
        <v>Weak Growth</v>
      </c>
    </row>
    <row r="1794" spans="1:17" x14ac:dyDescent="0.35">
      <c r="A1794" s="2" t="s">
        <v>1805</v>
      </c>
      <c r="B1794" s="2">
        <v>5</v>
      </c>
      <c r="C1794" s="2">
        <v>1347429001</v>
      </c>
      <c r="D1794" s="2">
        <v>1</v>
      </c>
      <c r="E1794" s="2">
        <v>200959310.5</v>
      </c>
      <c r="F1794" s="2">
        <v>476255065</v>
      </c>
      <c r="G1794" s="2">
        <v>2</v>
      </c>
      <c r="H1794" s="2">
        <v>4</v>
      </c>
      <c r="I1794" s="2">
        <v>1</v>
      </c>
      <c r="J1794" s="2">
        <v>2.4</v>
      </c>
      <c r="K1794" s="2" t="s">
        <v>1268</v>
      </c>
      <c r="L1794" s="2" t="str">
        <f t="shared" ref="L1794:L1857" si="168">IF(C1794&gt;0,"Profitable","Loss Making")</f>
        <v>Profitable</v>
      </c>
      <c r="M1794" s="2" t="str">
        <f t="shared" ref="M1794:M1857" si="169">IF(C1794&gt;500000000,"High Volatility","Stable Earnings")</f>
        <v>High Volatility</v>
      </c>
      <c r="N1794" s="2" t="str">
        <f t="shared" ref="N1794:N1857" si="170">IF(G1794&gt;=7,"High Quality",IF(G1794&gt;=4,"Moderate","Low Quality"))</f>
        <v>Low Quality</v>
      </c>
      <c r="O1794" s="4" t="str">
        <f t="shared" ref="O1794:O1857" si="171">IF(AND(F1794&gt;0,D1794&gt;0.6),"Operational Growth","Accounting Risk")</f>
        <v>Operational Growth</v>
      </c>
      <c r="P1794" s="4" t="str">
        <f t="shared" ref="P1794:P1857" si="172">IF(G1794&gt;=7,"High Quality", IF(G1794&gt;=4,"Moderate","Low Quality"))</f>
        <v>Low Quality</v>
      </c>
      <c r="Q1794" s="4" t="str">
        <f t="shared" ref="Q1794:Q1857" si="173">IF(I1794&gt;=4,"Strong Long-Term Growth",IF(I1794&gt;=2,"Moderate Growth","Weak Growth"))</f>
        <v>Weak Growth</v>
      </c>
    </row>
    <row r="1795" spans="1:17" x14ac:dyDescent="0.35">
      <c r="A1795" s="2" t="s">
        <v>1806</v>
      </c>
      <c r="B1795" s="2">
        <v>5</v>
      </c>
      <c r="C1795" s="2">
        <v>619336303.89999998</v>
      </c>
      <c r="D1795" s="2">
        <v>1</v>
      </c>
      <c r="E1795" s="2">
        <v>300907314.10000002</v>
      </c>
      <c r="F1795" s="2">
        <v>474723551.39999998</v>
      </c>
      <c r="G1795" s="2">
        <v>2</v>
      </c>
      <c r="H1795" s="2">
        <v>4</v>
      </c>
      <c r="I1795" s="2">
        <v>1</v>
      </c>
      <c r="J1795" s="2">
        <v>2.4</v>
      </c>
      <c r="K1795" s="2" t="s">
        <v>1268</v>
      </c>
      <c r="L1795" s="2" t="str">
        <f t="shared" si="168"/>
        <v>Profitable</v>
      </c>
      <c r="M1795" s="2" t="str">
        <f t="shared" si="169"/>
        <v>High Volatility</v>
      </c>
      <c r="N1795" s="2" t="str">
        <f t="shared" si="170"/>
        <v>Low Quality</v>
      </c>
      <c r="O1795" s="4" t="str">
        <f t="shared" si="171"/>
        <v>Operational Growth</v>
      </c>
      <c r="P1795" s="4" t="str">
        <f t="shared" si="172"/>
        <v>Low Quality</v>
      </c>
      <c r="Q1795" s="4" t="str">
        <f t="shared" si="173"/>
        <v>Weak Growth</v>
      </c>
    </row>
    <row r="1796" spans="1:17" x14ac:dyDescent="0.35">
      <c r="A1796" s="2" t="s">
        <v>1807</v>
      </c>
      <c r="B1796" s="2">
        <v>5</v>
      </c>
      <c r="C1796" s="2">
        <v>548610671.60000002</v>
      </c>
      <c r="D1796" s="2">
        <v>1</v>
      </c>
      <c r="E1796" s="2">
        <v>181884178.40000001</v>
      </c>
      <c r="F1796" s="2">
        <v>443209810.69999999</v>
      </c>
      <c r="G1796" s="2">
        <v>2</v>
      </c>
      <c r="H1796" s="2">
        <v>4</v>
      </c>
      <c r="I1796" s="2">
        <v>1</v>
      </c>
      <c r="J1796" s="2">
        <v>2.4</v>
      </c>
      <c r="K1796" s="2" t="s">
        <v>1268</v>
      </c>
      <c r="L1796" s="2" t="str">
        <f t="shared" si="168"/>
        <v>Profitable</v>
      </c>
      <c r="M1796" s="2" t="str">
        <f t="shared" si="169"/>
        <v>High Volatility</v>
      </c>
      <c r="N1796" s="2" t="str">
        <f t="shared" si="170"/>
        <v>Low Quality</v>
      </c>
      <c r="O1796" s="4" t="str">
        <f t="shared" si="171"/>
        <v>Operational Growth</v>
      </c>
      <c r="P1796" s="4" t="str">
        <f t="shared" si="172"/>
        <v>Low Quality</v>
      </c>
      <c r="Q1796" s="4" t="str">
        <f t="shared" si="173"/>
        <v>Weak Growth</v>
      </c>
    </row>
    <row r="1797" spans="1:17" x14ac:dyDescent="0.35">
      <c r="A1797" s="2" t="s">
        <v>1808</v>
      </c>
      <c r="B1797" s="2">
        <v>5</v>
      </c>
      <c r="C1797" s="2">
        <v>908366136.39999998</v>
      </c>
      <c r="D1797" s="2">
        <v>1</v>
      </c>
      <c r="E1797" s="2">
        <v>220391922.59999999</v>
      </c>
      <c r="F1797" s="2">
        <v>495012628.30000001</v>
      </c>
      <c r="G1797" s="2">
        <v>2</v>
      </c>
      <c r="H1797" s="2">
        <v>4</v>
      </c>
      <c r="I1797" s="2">
        <v>1</v>
      </c>
      <c r="J1797" s="2">
        <v>2.4</v>
      </c>
      <c r="K1797" s="2" t="s">
        <v>1268</v>
      </c>
      <c r="L1797" s="2" t="str">
        <f t="shared" si="168"/>
        <v>Profitable</v>
      </c>
      <c r="M1797" s="2" t="str">
        <f t="shared" si="169"/>
        <v>High Volatility</v>
      </c>
      <c r="N1797" s="2" t="str">
        <f t="shared" si="170"/>
        <v>Low Quality</v>
      </c>
      <c r="O1797" s="4" t="str">
        <f t="shared" si="171"/>
        <v>Operational Growth</v>
      </c>
      <c r="P1797" s="4" t="str">
        <f t="shared" si="172"/>
        <v>Low Quality</v>
      </c>
      <c r="Q1797" s="4" t="str">
        <f t="shared" si="173"/>
        <v>Weak Growth</v>
      </c>
    </row>
    <row r="1798" spans="1:17" x14ac:dyDescent="0.35">
      <c r="A1798" s="2" t="s">
        <v>1809</v>
      </c>
      <c r="B1798" s="2">
        <v>5</v>
      </c>
      <c r="C1798" s="2">
        <v>810379719.89999998</v>
      </c>
      <c r="D1798" s="2">
        <v>1</v>
      </c>
      <c r="E1798" s="2">
        <v>262668107.30000001</v>
      </c>
      <c r="F1798" s="2">
        <v>492991559.19999999</v>
      </c>
      <c r="G1798" s="2">
        <v>2</v>
      </c>
      <c r="H1798" s="2">
        <v>4</v>
      </c>
      <c r="I1798" s="2">
        <v>1</v>
      </c>
      <c r="J1798" s="2">
        <v>2.4</v>
      </c>
      <c r="K1798" s="2" t="s">
        <v>1268</v>
      </c>
      <c r="L1798" s="2" t="str">
        <f t="shared" si="168"/>
        <v>Profitable</v>
      </c>
      <c r="M1798" s="2" t="str">
        <f t="shared" si="169"/>
        <v>High Volatility</v>
      </c>
      <c r="N1798" s="2" t="str">
        <f t="shared" si="170"/>
        <v>Low Quality</v>
      </c>
      <c r="O1798" s="4" t="str">
        <f t="shared" si="171"/>
        <v>Operational Growth</v>
      </c>
      <c r="P1798" s="4" t="str">
        <f t="shared" si="172"/>
        <v>Low Quality</v>
      </c>
      <c r="Q1798" s="4" t="str">
        <f t="shared" si="173"/>
        <v>Weak Growth</v>
      </c>
    </row>
    <row r="1799" spans="1:17" x14ac:dyDescent="0.35">
      <c r="A1799" s="2" t="s">
        <v>1810</v>
      </c>
      <c r="B1799" s="2">
        <v>5</v>
      </c>
      <c r="C1799" s="2">
        <v>817595782.79999995</v>
      </c>
      <c r="D1799" s="2">
        <v>1</v>
      </c>
      <c r="E1799" s="2">
        <v>198841241.30000001</v>
      </c>
      <c r="F1799" s="2">
        <v>506350548.60000002</v>
      </c>
      <c r="G1799" s="2">
        <v>2</v>
      </c>
      <c r="H1799" s="2">
        <v>4</v>
      </c>
      <c r="I1799" s="2">
        <v>1</v>
      </c>
      <c r="J1799" s="2">
        <v>2.4</v>
      </c>
      <c r="K1799" s="2" t="s">
        <v>1268</v>
      </c>
      <c r="L1799" s="2" t="str">
        <f t="shared" si="168"/>
        <v>Profitable</v>
      </c>
      <c r="M1799" s="2" t="str">
        <f t="shared" si="169"/>
        <v>High Volatility</v>
      </c>
      <c r="N1799" s="2" t="str">
        <f t="shared" si="170"/>
        <v>Low Quality</v>
      </c>
      <c r="O1799" s="4" t="str">
        <f t="shared" si="171"/>
        <v>Operational Growth</v>
      </c>
      <c r="P1799" s="4" t="str">
        <f t="shared" si="172"/>
        <v>Low Quality</v>
      </c>
      <c r="Q1799" s="4" t="str">
        <f t="shared" si="173"/>
        <v>Weak Growth</v>
      </c>
    </row>
    <row r="1800" spans="1:17" x14ac:dyDescent="0.35">
      <c r="A1800" s="2" t="s">
        <v>1811</v>
      </c>
      <c r="B1800" s="2">
        <v>5</v>
      </c>
      <c r="C1800" s="2">
        <v>591908716.70000005</v>
      </c>
      <c r="D1800" s="2">
        <v>1</v>
      </c>
      <c r="E1800" s="2">
        <v>267362867.80000001</v>
      </c>
      <c r="F1800" s="2">
        <v>498682693</v>
      </c>
      <c r="G1800" s="2">
        <v>2</v>
      </c>
      <c r="H1800" s="2">
        <v>4</v>
      </c>
      <c r="I1800" s="2">
        <v>1</v>
      </c>
      <c r="J1800" s="2">
        <v>2.4</v>
      </c>
      <c r="K1800" s="2" t="s">
        <v>1268</v>
      </c>
      <c r="L1800" s="2" t="str">
        <f t="shared" si="168"/>
        <v>Profitable</v>
      </c>
      <c r="M1800" s="2" t="str">
        <f t="shared" si="169"/>
        <v>High Volatility</v>
      </c>
      <c r="N1800" s="2" t="str">
        <f t="shared" si="170"/>
        <v>Low Quality</v>
      </c>
      <c r="O1800" s="4" t="str">
        <f t="shared" si="171"/>
        <v>Operational Growth</v>
      </c>
      <c r="P1800" s="4" t="str">
        <f t="shared" si="172"/>
        <v>Low Quality</v>
      </c>
      <c r="Q1800" s="4" t="str">
        <f t="shared" si="173"/>
        <v>Weak Growth</v>
      </c>
    </row>
    <row r="1801" spans="1:17" x14ac:dyDescent="0.35">
      <c r="A1801" s="2" t="s">
        <v>1812</v>
      </c>
      <c r="B1801" s="2">
        <v>5</v>
      </c>
      <c r="C1801" s="2">
        <v>627034775.29999995</v>
      </c>
      <c r="D1801" s="2">
        <v>1</v>
      </c>
      <c r="E1801" s="2">
        <v>199870150.90000001</v>
      </c>
      <c r="F1801" s="2">
        <v>498058681.89999998</v>
      </c>
      <c r="G1801" s="2">
        <v>2</v>
      </c>
      <c r="H1801" s="2">
        <v>4</v>
      </c>
      <c r="I1801" s="2">
        <v>1</v>
      </c>
      <c r="J1801" s="2">
        <v>2.4</v>
      </c>
      <c r="K1801" s="2" t="s">
        <v>1268</v>
      </c>
      <c r="L1801" s="2" t="str">
        <f t="shared" si="168"/>
        <v>Profitable</v>
      </c>
      <c r="M1801" s="2" t="str">
        <f t="shared" si="169"/>
        <v>High Volatility</v>
      </c>
      <c r="N1801" s="2" t="str">
        <f t="shared" si="170"/>
        <v>Low Quality</v>
      </c>
      <c r="O1801" s="4" t="str">
        <f t="shared" si="171"/>
        <v>Operational Growth</v>
      </c>
      <c r="P1801" s="4" t="str">
        <f t="shared" si="172"/>
        <v>Low Quality</v>
      </c>
      <c r="Q1801" s="4" t="str">
        <f t="shared" si="173"/>
        <v>Weak Growth</v>
      </c>
    </row>
    <row r="1802" spans="1:17" x14ac:dyDescent="0.35">
      <c r="A1802" s="2" t="s">
        <v>1813</v>
      </c>
      <c r="B1802" s="2">
        <v>5</v>
      </c>
      <c r="C1802" s="2">
        <v>50261448.399999999</v>
      </c>
      <c r="D1802" s="2">
        <v>1</v>
      </c>
      <c r="E1802" s="2">
        <v>89743765.379999995</v>
      </c>
      <c r="F1802" s="2">
        <v>198411043.69999999</v>
      </c>
      <c r="G1802" s="2">
        <v>2</v>
      </c>
      <c r="H1802" s="2">
        <v>3</v>
      </c>
      <c r="I1802" s="2">
        <v>2</v>
      </c>
      <c r="J1802" s="2">
        <v>2.2999999999999998</v>
      </c>
      <c r="K1802" s="2" t="s">
        <v>1268</v>
      </c>
      <c r="L1802" s="2" t="str">
        <f t="shared" si="168"/>
        <v>Profitable</v>
      </c>
      <c r="M1802" s="2" t="str">
        <f t="shared" si="169"/>
        <v>Stable Earnings</v>
      </c>
      <c r="N1802" s="2" t="str">
        <f t="shared" si="170"/>
        <v>Low Quality</v>
      </c>
      <c r="O1802" s="4" t="str">
        <f t="shared" si="171"/>
        <v>Operational Growth</v>
      </c>
      <c r="P1802" s="4" t="str">
        <f t="shared" si="172"/>
        <v>Low Quality</v>
      </c>
      <c r="Q1802" s="4" t="str">
        <f t="shared" si="173"/>
        <v>Moderate Growth</v>
      </c>
    </row>
    <row r="1803" spans="1:17" x14ac:dyDescent="0.35">
      <c r="A1803" s="2" t="s">
        <v>1814</v>
      </c>
      <c r="B1803" s="2">
        <v>5</v>
      </c>
      <c r="C1803" s="2">
        <v>411329246.10000002</v>
      </c>
      <c r="D1803" s="2">
        <v>1</v>
      </c>
      <c r="E1803" s="2">
        <v>76489253.680000007</v>
      </c>
      <c r="F1803" s="2">
        <v>195139109.19999999</v>
      </c>
      <c r="G1803" s="2">
        <v>2</v>
      </c>
      <c r="H1803" s="2">
        <v>3</v>
      </c>
      <c r="I1803" s="2">
        <v>2</v>
      </c>
      <c r="J1803" s="2">
        <v>2.2999999999999998</v>
      </c>
      <c r="K1803" s="2" t="s">
        <v>1268</v>
      </c>
      <c r="L1803" s="2" t="str">
        <f t="shared" si="168"/>
        <v>Profitable</v>
      </c>
      <c r="M1803" s="2" t="str">
        <f t="shared" si="169"/>
        <v>Stable Earnings</v>
      </c>
      <c r="N1803" s="2" t="str">
        <f t="shared" si="170"/>
        <v>Low Quality</v>
      </c>
      <c r="O1803" s="4" t="str">
        <f t="shared" si="171"/>
        <v>Operational Growth</v>
      </c>
      <c r="P1803" s="4" t="str">
        <f t="shared" si="172"/>
        <v>Low Quality</v>
      </c>
      <c r="Q1803" s="4" t="str">
        <f t="shared" si="173"/>
        <v>Moderate Growth</v>
      </c>
    </row>
    <row r="1804" spans="1:17" x14ac:dyDescent="0.35">
      <c r="A1804" s="2" t="s">
        <v>1815</v>
      </c>
      <c r="B1804" s="2">
        <v>5</v>
      </c>
      <c r="C1804" s="2">
        <v>190873247.69999999</v>
      </c>
      <c r="D1804" s="2">
        <v>1</v>
      </c>
      <c r="E1804" s="2">
        <v>75173621.840000004</v>
      </c>
      <c r="F1804" s="2">
        <v>191771766.30000001</v>
      </c>
      <c r="G1804" s="2">
        <v>2</v>
      </c>
      <c r="H1804" s="2">
        <v>3</v>
      </c>
      <c r="I1804" s="2">
        <v>2</v>
      </c>
      <c r="J1804" s="2">
        <v>2.2999999999999998</v>
      </c>
      <c r="K1804" s="2" t="s">
        <v>1268</v>
      </c>
      <c r="L1804" s="2" t="str">
        <f t="shared" si="168"/>
        <v>Profitable</v>
      </c>
      <c r="M1804" s="2" t="str">
        <f t="shared" si="169"/>
        <v>Stable Earnings</v>
      </c>
      <c r="N1804" s="2" t="str">
        <f t="shared" si="170"/>
        <v>Low Quality</v>
      </c>
      <c r="O1804" s="4" t="str">
        <f t="shared" si="171"/>
        <v>Operational Growth</v>
      </c>
      <c r="P1804" s="4" t="str">
        <f t="shared" si="172"/>
        <v>Low Quality</v>
      </c>
      <c r="Q1804" s="4" t="str">
        <f t="shared" si="173"/>
        <v>Moderate Growth</v>
      </c>
    </row>
    <row r="1805" spans="1:17" x14ac:dyDescent="0.35">
      <c r="A1805" s="2" t="s">
        <v>1816</v>
      </c>
      <c r="B1805" s="2">
        <v>5</v>
      </c>
      <c r="C1805" s="2">
        <v>217445428.19999999</v>
      </c>
      <c r="D1805" s="2">
        <v>1</v>
      </c>
      <c r="E1805" s="2">
        <v>79550852.769999996</v>
      </c>
      <c r="F1805" s="2">
        <v>176432191.80000001</v>
      </c>
      <c r="G1805" s="2">
        <v>2</v>
      </c>
      <c r="H1805" s="2">
        <v>3</v>
      </c>
      <c r="I1805" s="2">
        <v>2</v>
      </c>
      <c r="J1805" s="2">
        <v>2.2999999999999998</v>
      </c>
      <c r="K1805" s="2" t="s">
        <v>1268</v>
      </c>
      <c r="L1805" s="2" t="str">
        <f t="shared" si="168"/>
        <v>Profitable</v>
      </c>
      <c r="M1805" s="2" t="str">
        <f t="shared" si="169"/>
        <v>Stable Earnings</v>
      </c>
      <c r="N1805" s="2" t="str">
        <f t="shared" si="170"/>
        <v>Low Quality</v>
      </c>
      <c r="O1805" s="4" t="str">
        <f t="shared" si="171"/>
        <v>Operational Growth</v>
      </c>
      <c r="P1805" s="4" t="str">
        <f t="shared" si="172"/>
        <v>Low Quality</v>
      </c>
      <c r="Q1805" s="4" t="str">
        <f t="shared" si="173"/>
        <v>Moderate Growth</v>
      </c>
    </row>
    <row r="1806" spans="1:17" x14ac:dyDescent="0.35">
      <c r="A1806" s="2" t="s">
        <v>1817</v>
      </c>
      <c r="B1806" s="2">
        <v>5</v>
      </c>
      <c r="C1806" s="2">
        <v>313561157.60000002</v>
      </c>
      <c r="D1806" s="2">
        <v>1</v>
      </c>
      <c r="E1806" s="2">
        <v>71341408.260000005</v>
      </c>
      <c r="F1806" s="2">
        <v>178125788</v>
      </c>
      <c r="G1806" s="2">
        <v>2</v>
      </c>
      <c r="H1806" s="2">
        <v>3</v>
      </c>
      <c r="I1806" s="2">
        <v>2</v>
      </c>
      <c r="J1806" s="2">
        <v>2.2999999999999998</v>
      </c>
      <c r="K1806" s="2" t="s">
        <v>1268</v>
      </c>
      <c r="L1806" s="2" t="str">
        <f t="shared" si="168"/>
        <v>Profitable</v>
      </c>
      <c r="M1806" s="2" t="str">
        <f t="shared" si="169"/>
        <v>Stable Earnings</v>
      </c>
      <c r="N1806" s="2" t="str">
        <f t="shared" si="170"/>
        <v>Low Quality</v>
      </c>
      <c r="O1806" s="4" t="str">
        <f t="shared" si="171"/>
        <v>Operational Growth</v>
      </c>
      <c r="P1806" s="4" t="str">
        <f t="shared" si="172"/>
        <v>Low Quality</v>
      </c>
      <c r="Q1806" s="4" t="str">
        <f t="shared" si="173"/>
        <v>Moderate Growth</v>
      </c>
    </row>
    <row r="1807" spans="1:17" x14ac:dyDescent="0.35">
      <c r="A1807" s="2" t="s">
        <v>1818</v>
      </c>
      <c r="B1807" s="2">
        <v>5</v>
      </c>
      <c r="C1807" s="2">
        <v>201868880.09999999</v>
      </c>
      <c r="D1807" s="2">
        <v>1</v>
      </c>
      <c r="E1807" s="2">
        <v>81618248.019999996</v>
      </c>
      <c r="F1807" s="2">
        <v>178465620.09999999</v>
      </c>
      <c r="G1807" s="2">
        <v>2</v>
      </c>
      <c r="H1807" s="2">
        <v>3</v>
      </c>
      <c r="I1807" s="2">
        <v>2</v>
      </c>
      <c r="J1807" s="2">
        <v>2.2999999999999998</v>
      </c>
      <c r="K1807" s="2" t="s">
        <v>1268</v>
      </c>
      <c r="L1807" s="2" t="str">
        <f t="shared" si="168"/>
        <v>Profitable</v>
      </c>
      <c r="M1807" s="2" t="str">
        <f t="shared" si="169"/>
        <v>Stable Earnings</v>
      </c>
      <c r="N1807" s="2" t="str">
        <f t="shared" si="170"/>
        <v>Low Quality</v>
      </c>
      <c r="O1807" s="4" t="str">
        <f t="shared" si="171"/>
        <v>Operational Growth</v>
      </c>
      <c r="P1807" s="4" t="str">
        <f t="shared" si="172"/>
        <v>Low Quality</v>
      </c>
      <c r="Q1807" s="4" t="str">
        <f t="shared" si="173"/>
        <v>Moderate Growth</v>
      </c>
    </row>
    <row r="1808" spans="1:17" x14ac:dyDescent="0.35">
      <c r="A1808" s="2" t="s">
        <v>1819</v>
      </c>
      <c r="B1808" s="2">
        <v>5</v>
      </c>
      <c r="C1808" s="2">
        <v>159968044.69999999</v>
      </c>
      <c r="D1808" s="2">
        <v>1</v>
      </c>
      <c r="E1808" s="2">
        <v>62157571.700000003</v>
      </c>
      <c r="F1808" s="2">
        <v>153824381.09999999</v>
      </c>
      <c r="G1808" s="2">
        <v>2</v>
      </c>
      <c r="H1808" s="2">
        <v>3</v>
      </c>
      <c r="I1808" s="2">
        <v>2</v>
      </c>
      <c r="J1808" s="2">
        <v>2.2999999999999998</v>
      </c>
      <c r="K1808" s="2" t="s">
        <v>1268</v>
      </c>
      <c r="L1808" s="2" t="str">
        <f t="shared" si="168"/>
        <v>Profitable</v>
      </c>
      <c r="M1808" s="2" t="str">
        <f t="shared" si="169"/>
        <v>Stable Earnings</v>
      </c>
      <c r="N1808" s="2" t="str">
        <f t="shared" si="170"/>
        <v>Low Quality</v>
      </c>
      <c r="O1808" s="4" t="str">
        <f t="shared" si="171"/>
        <v>Operational Growth</v>
      </c>
      <c r="P1808" s="4" t="str">
        <f t="shared" si="172"/>
        <v>Low Quality</v>
      </c>
      <c r="Q1808" s="4" t="str">
        <f t="shared" si="173"/>
        <v>Moderate Growth</v>
      </c>
    </row>
    <row r="1809" spans="1:17" x14ac:dyDescent="0.35">
      <c r="A1809" s="2" t="s">
        <v>1820</v>
      </c>
      <c r="B1809" s="2">
        <v>5</v>
      </c>
      <c r="C1809" s="2">
        <v>112150917.90000001</v>
      </c>
      <c r="D1809" s="2">
        <v>0.8</v>
      </c>
      <c r="E1809" s="2">
        <v>76986121.760000005</v>
      </c>
      <c r="F1809" s="2">
        <v>155471622.80000001</v>
      </c>
      <c r="G1809" s="2">
        <v>2</v>
      </c>
      <c r="H1809" s="2">
        <v>3</v>
      </c>
      <c r="I1809" s="2">
        <v>2</v>
      </c>
      <c r="J1809" s="2">
        <v>2.2999999999999998</v>
      </c>
      <c r="K1809" s="2" t="s">
        <v>1268</v>
      </c>
      <c r="L1809" s="2" t="str">
        <f t="shared" si="168"/>
        <v>Profitable</v>
      </c>
      <c r="M1809" s="2" t="str">
        <f t="shared" si="169"/>
        <v>Stable Earnings</v>
      </c>
      <c r="N1809" s="2" t="str">
        <f t="shared" si="170"/>
        <v>Low Quality</v>
      </c>
      <c r="O1809" s="4" t="str">
        <f t="shared" si="171"/>
        <v>Operational Growth</v>
      </c>
      <c r="P1809" s="4" t="str">
        <f t="shared" si="172"/>
        <v>Low Quality</v>
      </c>
      <c r="Q1809" s="4" t="str">
        <f t="shared" si="173"/>
        <v>Moderate Growth</v>
      </c>
    </row>
    <row r="1810" spans="1:17" x14ac:dyDescent="0.35">
      <c r="A1810" s="2" t="s">
        <v>1821</v>
      </c>
      <c r="B1810" s="2">
        <v>5</v>
      </c>
      <c r="C1810" s="2">
        <v>85851433.819999993</v>
      </c>
      <c r="D1810" s="2">
        <v>1</v>
      </c>
      <c r="E1810" s="2">
        <v>59682072.899999999</v>
      </c>
      <c r="F1810" s="2">
        <v>154971087.5</v>
      </c>
      <c r="G1810" s="2">
        <v>2</v>
      </c>
      <c r="H1810" s="2">
        <v>3</v>
      </c>
      <c r="I1810" s="2">
        <v>2</v>
      </c>
      <c r="J1810" s="2">
        <v>2.2999999999999998</v>
      </c>
      <c r="K1810" s="2" t="s">
        <v>1268</v>
      </c>
      <c r="L1810" s="2" t="str">
        <f t="shared" si="168"/>
        <v>Profitable</v>
      </c>
      <c r="M1810" s="2" t="str">
        <f t="shared" si="169"/>
        <v>Stable Earnings</v>
      </c>
      <c r="N1810" s="2" t="str">
        <f t="shared" si="170"/>
        <v>Low Quality</v>
      </c>
      <c r="O1810" s="4" t="str">
        <f t="shared" si="171"/>
        <v>Operational Growth</v>
      </c>
      <c r="P1810" s="4" t="str">
        <f t="shared" si="172"/>
        <v>Low Quality</v>
      </c>
      <c r="Q1810" s="4" t="str">
        <f t="shared" si="173"/>
        <v>Moderate Growth</v>
      </c>
    </row>
    <row r="1811" spans="1:17" x14ac:dyDescent="0.35">
      <c r="A1811" s="2" t="s">
        <v>1822</v>
      </c>
      <c r="B1811" s="2">
        <v>5</v>
      </c>
      <c r="C1811" s="2">
        <v>63420506.299999997</v>
      </c>
      <c r="D1811" s="2">
        <v>0.8</v>
      </c>
      <c r="E1811" s="2">
        <v>61661796.829999998</v>
      </c>
      <c r="F1811" s="2">
        <v>159220420.69999999</v>
      </c>
      <c r="G1811" s="2">
        <v>2</v>
      </c>
      <c r="H1811" s="2">
        <v>3</v>
      </c>
      <c r="I1811" s="2">
        <v>2</v>
      </c>
      <c r="J1811" s="2">
        <v>2.2999999999999998</v>
      </c>
      <c r="K1811" s="2" t="s">
        <v>1268</v>
      </c>
      <c r="L1811" s="2" t="str">
        <f t="shared" si="168"/>
        <v>Profitable</v>
      </c>
      <c r="M1811" s="2" t="str">
        <f t="shared" si="169"/>
        <v>Stable Earnings</v>
      </c>
      <c r="N1811" s="2" t="str">
        <f t="shared" si="170"/>
        <v>Low Quality</v>
      </c>
      <c r="O1811" s="4" t="str">
        <f t="shared" si="171"/>
        <v>Operational Growth</v>
      </c>
      <c r="P1811" s="4" t="str">
        <f t="shared" si="172"/>
        <v>Low Quality</v>
      </c>
      <c r="Q1811" s="4" t="str">
        <f t="shared" si="173"/>
        <v>Moderate Growth</v>
      </c>
    </row>
    <row r="1812" spans="1:17" x14ac:dyDescent="0.35">
      <c r="A1812" s="2" t="s">
        <v>1823</v>
      </c>
      <c r="B1812" s="2">
        <v>5</v>
      </c>
      <c r="C1812" s="2">
        <v>227401766.5</v>
      </c>
      <c r="D1812" s="2">
        <v>1</v>
      </c>
      <c r="E1812" s="2">
        <v>84308217.680000007</v>
      </c>
      <c r="F1812" s="2">
        <v>160887112.40000001</v>
      </c>
      <c r="G1812" s="2">
        <v>2</v>
      </c>
      <c r="H1812" s="2">
        <v>3</v>
      </c>
      <c r="I1812" s="2">
        <v>2</v>
      </c>
      <c r="J1812" s="2">
        <v>2.2999999999999998</v>
      </c>
      <c r="K1812" s="2" t="s">
        <v>1268</v>
      </c>
      <c r="L1812" s="2" t="str">
        <f t="shared" si="168"/>
        <v>Profitable</v>
      </c>
      <c r="M1812" s="2" t="str">
        <f t="shared" si="169"/>
        <v>Stable Earnings</v>
      </c>
      <c r="N1812" s="2" t="str">
        <f t="shared" si="170"/>
        <v>Low Quality</v>
      </c>
      <c r="O1812" s="4" t="str">
        <f t="shared" si="171"/>
        <v>Operational Growth</v>
      </c>
      <c r="P1812" s="4" t="str">
        <f t="shared" si="172"/>
        <v>Low Quality</v>
      </c>
      <c r="Q1812" s="4" t="str">
        <f t="shared" si="173"/>
        <v>Moderate Growth</v>
      </c>
    </row>
    <row r="1813" spans="1:17" x14ac:dyDescent="0.35">
      <c r="A1813" s="2" t="s">
        <v>1824</v>
      </c>
      <c r="B1813" s="2">
        <v>5</v>
      </c>
      <c r="C1813" s="2">
        <v>91786669.439999998</v>
      </c>
      <c r="D1813" s="2">
        <v>1</v>
      </c>
      <c r="E1813" s="2">
        <v>74117767.109999999</v>
      </c>
      <c r="F1813" s="2">
        <v>160465351.90000001</v>
      </c>
      <c r="G1813" s="2">
        <v>2</v>
      </c>
      <c r="H1813" s="2">
        <v>3</v>
      </c>
      <c r="I1813" s="2">
        <v>2</v>
      </c>
      <c r="J1813" s="2">
        <v>2.2999999999999998</v>
      </c>
      <c r="K1813" s="2" t="s">
        <v>1268</v>
      </c>
      <c r="L1813" s="2" t="str">
        <f t="shared" si="168"/>
        <v>Profitable</v>
      </c>
      <c r="M1813" s="2" t="str">
        <f t="shared" si="169"/>
        <v>Stable Earnings</v>
      </c>
      <c r="N1813" s="2" t="str">
        <f t="shared" si="170"/>
        <v>Low Quality</v>
      </c>
      <c r="O1813" s="4" t="str">
        <f t="shared" si="171"/>
        <v>Operational Growth</v>
      </c>
      <c r="P1813" s="4" t="str">
        <f t="shared" si="172"/>
        <v>Low Quality</v>
      </c>
      <c r="Q1813" s="4" t="str">
        <f t="shared" si="173"/>
        <v>Moderate Growth</v>
      </c>
    </row>
    <row r="1814" spans="1:17" x14ac:dyDescent="0.35">
      <c r="A1814" s="2" t="s">
        <v>1825</v>
      </c>
      <c r="B1814" s="2">
        <v>5</v>
      </c>
      <c r="C1814" s="2">
        <v>132732241</v>
      </c>
      <c r="D1814" s="2">
        <v>1</v>
      </c>
      <c r="E1814" s="2">
        <v>69211574.780000001</v>
      </c>
      <c r="F1814" s="2">
        <v>169008709</v>
      </c>
      <c r="G1814" s="2">
        <v>2</v>
      </c>
      <c r="H1814" s="2">
        <v>3</v>
      </c>
      <c r="I1814" s="2">
        <v>2</v>
      </c>
      <c r="J1814" s="2">
        <v>2.2999999999999998</v>
      </c>
      <c r="K1814" s="2" t="s">
        <v>1268</v>
      </c>
      <c r="L1814" s="2" t="str">
        <f t="shared" si="168"/>
        <v>Profitable</v>
      </c>
      <c r="M1814" s="2" t="str">
        <f t="shared" si="169"/>
        <v>Stable Earnings</v>
      </c>
      <c r="N1814" s="2" t="str">
        <f t="shared" si="170"/>
        <v>Low Quality</v>
      </c>
      <c r="O1814" s="4" t="str">
        <f t="shared" si="171"/>
        <v>Operational Growth</v>
      </c>
      <c r="P1814" s="4" t="str">
        <f t="shared" si="172"/>
        <v>Low Quality</v>
      </c>
      <c r="Q1814" s="4" t="str">
        <f t="shared" si="173"/>
        <v>Moderate Growth</v>
      </c>
    </row>
    <row r="1815" spans="1:17" x14ac:dyDescent="0.35">
      <c r="A1815" s="2" t="s">
        <v>1826</v>
      </c>
      <c r="B1815" s="2">
        <v>5</v>
      </c>
      <c r="C1815" s="2">
        <v>204101004.80000001</v>
      </c>
      <c r="D1815" s="2">
        <v>1</v>
      </c>
      <c r="E1815" s="2">
        <v>108697389.3</v>
      </c>
      <c r="F1815" s="2">
        <v>141045972.30000001</v>
      </c>
      <c r="G1815" s="2">
        <v>2</v>
      </c>
      <c r="H1815" s="2">
        <v>3</v>
      </c>
      <c r="I1815" s="2">
        <v>2</v>
      </c>
      <c r="J1815" s="2">
        <v>2.2999999999999998</v>
      </c>
      <c r="K1815" s="2" t="s">
        <v>1268</v>
      </c>
      <c r="L1815" s="2" t="str">
        <f t="shared" si="168"/>
        <v>Profitable</v>
      </c>
      <c r="M1815" s="2" t="str">
        <f t="shared" si="169"/>
        <v>Stable Earnings</v>
      </c>
      <c r="N1815" s="2" t="str">
        <f t="shared" si="170"/>
        <v>Low Quality</v>
      </c>
      <c r="O1815" s="4" t="str">
        <f t="shared" si="171"/>
        <v>Operational Growth</v>
      </c>
      <c r="P1815" s="4" t="str">
        <f t="shared" si="172"/>
        <v>Low Quality</v>
      </c>
      <c r="Q1815" s="4" t="str">
        <f t="shared" si="173"/>
        <v>Moderate Growth</v>
      </c>
    </row>
    <row r="1816" spans="1:17" x14ac:dyDescent="0.35">
      <c r="A1816" s="2" t="s">
        <v>1827</v>
      </c>
      <c r="B1816" s="2">
        <v>5</v>
      </c>
      <c r="C1816" s="2">
        <v>186080168.59999999</v>
      </c>
      <c r="D1816" s="2">
        <v>1</v>
      </c>
      <c r="E1816" s="2">
        <v>66638025.689999998</v>
      </c>
      <c r="F1816" s="2">
        <v>130089599.90000001</v>
      </c>
      <c r="G1816" s="2">
        <v>2</v>
      </c>
      <c r="H1816" s="2">
        <v>3</v>
      </c>
      <c r="I1816" s="2">
        <v>2</v>
      </c>
      <c r="J1816" s="2">
        <v>2.2999999999999998</v>
      </c>
      <c r="K1816" s="2" t="s">
        <v>1268</v>
      </c>
      <c r="L1816" s="2" t="str">
        <f t="shared" si="168"/>
        <v>Profitable</v>
      </c>
      <c r="M1816" s="2" t="str">
        <f t="shared" si="169"/>
        <v>Stable Earnings</v>
      </c>
      <c r="N1816" s="2" t="str">
        <f t="shared" si="170"/>
        <v>Low Quality</v>
      </c>
      <c r="O1816" s="4" t="str">
        <f t="shared" si="171"/>
        <v>Operational Growth</v>
      </c>
      <c r="P1816" s="4" t="str">
        <f t="shared" si="172"/>
        <v>Low Quality</v>
      </c>
      <c r="Q1816" s="4" t="str">
        <f t="shared" si="173"/>
        <v>Moderate Growth</v>
      </c>
    </row>
    <row r="1817" spans="1:17" x14ac:dyDescent="0.35">
      <c r="A1817" s="2" t="s">
        <v>1828</v>
      </c>
      <c r="B1817" s="2">
        <v>5</v>
      </c>
      <c r="C1817" s="2">
        <v>163339385.5</v>
      </c>
      <c r="D1817" s="2">
        <v>1</v>
      </c>
      <c r="E1817" s="2">
        <v>65335735.740000002</v>
      </c>
      <c r="F1817" s="2">
        <v>139963742.69999999</v>
      </c>
      <c r="G1817" s="2">
        <v>2</v>
      </c>
      <c r="H1817" s="2">
        <v>3</v>
      </c>
      <c r="I1817" s="2">
        <v>2</v>
      </c>
      <c r="J1817" s="2">
        <v>2.2999999999999998</v>
      </c>
      <c r="K1817" s="2" t="s">
        <v>1268</v>
      </c>
      <c r="L1817" s="2" t="str">
        <f t="shared" si="168"/>
        <v>Profitable</v>
      </c>
      <c r="M1817" s="2" t="str">
        <f t="shared" si="169"/>
        <v>Stable Earnings</v>
      </c>
      <c r="N1817" s="2" t="str">
        <f t="shared" si="170"/>
        <v>Low Quality</v>
      </c>
      <c r="O1817" s="4" t="str">
        <f t="shared" si="171"/>
        <v>Operational Growth</v>
      </c>
      <c r="P1817" s="4" t="str">
        <f t="shared" si="172"/>
        <v>Low Quality</v>
      </c>
      <c r="Q1817" s="4" t="str">
        <f t="shared" si="173"/>
        <v>Moderate Growth</v>
      </c>
    </row>
    <row r="1818" spans="1:17" x14ac:dyDescent="0.35">
      <c r="A1818" s="2" t="s">
        <v>1829</v>
      </c>
      <c r="B1818" s="2">
        <v>5</v>
      </c>
      <c r="C1818" s="2">
        <v>284872735.39999998</v>
      </c>
      <c r="D1818" s="2">
        <v>1</v>
      </c>
      <c r="E1818" s="2">
        <v>76408552.829999998</v>
      </c>
      <c r="F1818" s="2">
        <v>136039069.90000001</v>
      </c>
      <c r="G1818" s="2">
        <v>2</v>
      </c>
      <c r="H1818" s="2">
        <v>3</v>
      </c>
      <c r="I1818" s="2">
        <v>2</v>
      </c>
      <c r="J1818" s="2">
        <v>2.2999999999999998</v>
      </c>
      <c r="K1818" s="2" t="s">
        <v>1268</v>
      </c>
      <c r="L1818" s="2" t="str">
        <f t="shared" si="168"/>
        <v>Profitable</v>
      </c>
      <c r="M1818" s="2" t="str">
        <f t="shared" si="169"/>
        <v>Stable Earnings</v>
      </c>
      <c r="N1818" s="2" t="str">
        <f t="shared" si="170"/>
        <v>Low Quality</v>
      </c>
      <c r="O1818" s="4" t="str">
        <f t="shared" si="171"/>
        <v>Operational Growth</v>
      </c>
      <c r="P1818" s="4" t="str">
        <f t="shared" si="172"/>
        <v>Low Quality</v>
      </c>
      <c r="Q1818" s="4" t="str">
        <f t="shared" si="173"/>
        <v>Moderate Growth</v>
      </c>
    </row>
    <row r="1819" spans="1:17" x14ac:dyDescent="0.35">
      <c r="A1819" s="2" t="s">
        <v>1830</v>
      </c>
      <c r="B1819" s="2">
        <v>5</v>
      </c>
      <c r="C1819" s="2">
        <v>560512658.79999995</v>
      </c>
      <c r="D1819" s="2">
        <v>1</v>
      </c>
      <c r="E1819" s="2">
        <v>103334267.59999999</v>
      </c>
      <c r="F1819" s="2">
        <v>133925940.90000001</v>
      </c>
      <c r="G1819" s="2">
        <v>2</v>
      </c>
      <c r="H1819" s="2">
        <v>3</v>
      </c>
      <c r="I1819" s="2">
        <v>2</v>
      </c>
      <c r="J1819" s="2">
        <v>2.2999999999999998</v>
      </c>
      <c r="K1819" s="2" t="s">
        <v>1268</v>
      </c>
      <c r="L1819" s="2" t="str">
        <f t="shared" si="168"/>
        <v>Profitable</v>
      </c>
      <c r="M1819" s="2" t="str">
        <f t="shared" si="169"/>
        <v>High Volatility</v>
      </c>
      <c r="N1819" s="2" t="str">
        <f t="shared" si="170"/>
        <v>Low Quality</v>
      </c>
      <c r="O1819" s="4" t="str">
        <f t="shared" si="171"/>
        <v>Operational Growth</v>
      </c>
      <c r="P1819" s="4" t="str">
        <f t="shared" si="172"/>
        <v>Low Quality</v>
      </c>
      <c r="Q1819" s="4" t="str">
        <f t="shared" si="173"/>
        <v>Moderate Growth</v>
      </c>
    </row>
    <row r="1820" spans="1:17" x14ac:dyDescent="0.35">
      <c r="A1820" s="2" t="s">
        <v>1831</v>
      </c>
      <c r="B1820" s="2">
        <v>5</v>
      </c>
      <c r="C1820" s="2">
        <v>124376682.40000001</v>
      </c>
      <c r="D1820" s="2">
        <v>1</v>
      </c>
      <c r="E1820" s="2">
        <v>46192655.649999999</v>
      </c>
      <c r="F1820" s="2">
        <v>29882010.199999999</v>
      </c>
      <c r="G1820" s="2">
        <v>2</v>
      </c>
      <c r="H1820" s="2">
        <v>3</v>
      </c>
      <c r="I1820" s="2">
        <v>2</v>
      </c>
      <c r="J1820" s="2">
        <v>2.2999999999999998</v>
      </c>
      <c r="K1820" s="2" t="s">
        <v>1268</v>
      </c>
      <c r="L1820" s="2" t="str">
        <f t="shared" si="168"/>
        <v>Profitable</v>
      </c>
      <c r="M1820" s="2" t="str">
        <f t="shared" si="169"/>
        <v>Stable Earnings</v>
      </c>
      <c r="N1820" s="2" t="str">
        <f t="shared" si="170"/>
        <v>Low Quality</v>
      </c>
      <c r="O1820" s="4" t="str">
        <f t="shared" si="171"/>
        <v>Operational Growth</v>
      </c>
      <c r="P1820" s="4" t="str">
        <f t="shared" si="172"/>
        <v>Low Quality</v>
      </c>
      <c r="Q1820" s="4" t="str">
        <f t="shared" si="173"/>
        <v>Moderate Growth</v>
      </c>
    </row>
    <row r="1821" spans="1:17" x14ac:dyDescent="0.35">
      <c r="A1821" s="2" t="s">
        <v>1832</v>
      </c>
      <c r="B1821" s="2">
        <v>5</v>
      </c>
      <c r="C1821" s="2">
        <v>86959394.280000001</v>
      </c>
      <c r="D1821" s="2">
        <v>1</v>
      </c>
      <c r="E1821" s="2">
        <v>50445410.93</v>
      </c>
      <c r="F1821" s="2">
        <v>30030444.800000001</v>
      </c>
      <c r="G1821" s="2">
        <v>2</v>
      </c>
      <c r="H1821" s="2">
        <v>3</v>
      </c>
      <c r="I1821" s="2">
        <v>2</v>
      </c>
      <c r="J1821" s="2">
        <v>2.2999999999999998</v>
      </c>
      <c r="K1821" s="2" t="s">
        <v>1268</v>
      </c>
      <c r="L1821" s="2" t="str">
        <f t="shared" si="168"/>
        <v>Profitable</v>
      </c>
      <c r="M1821" s="2" t="str">
        <f t="shared" si="169"/>
        <v>Stable Earnings</v>
      </c>
      <c r="N1821" s="2" t="str">
        <f t="shared" si="170"/>
        <v>Low Quality</v>
      </c>
      <c r="O1821" s="4" t="str">
        <f t="shared" si="171"/>
        <v>Operational Growth</v>
      </c>
      <c r="P1821" s="4" t="str">
        <f t="shared" si="172"/>
        <v>Low Quality</v>
      </c>
      <c r="Q1821" s="4" t="str">
        <f t="shared" si="173"/>
        <v>Moderate Growth</v>
      </c>
    </row>
    <row r="1822" spans="1:17" x14ac:dyDescent="0.35">
      <c r="A1822" s="2" t="s">
        <v>1833</v>
      </c>
      <c r="B1822" s="2">
        <v>5</v>
      </c>
      <c r="C1822" s="2">
        <v>141727154.69999999</v>
      </c>
      <c r="D1822" s="2">
        <v>0.8</v>
      </c>
      <c r="E1822" s="2">
        <v>92013498.230000004</v>
      </c>
      <c r="F1822" s="2">
        <v>29454629.399999999</v>
      </c>
      <c r="G1822" s="2">
        <v>2</v>
      </c>
      <c r="H1822" s="2">
        <v>3</v>
      </c>
      <c r="I1822" s="2">
        <v>2</v>
      </c>
      <c r="J1822" s="2">
        <v>2.2999999999999998</v>
      </c>
      <c r="K1822" s="2" t="s">
        <v>1268</v>
      </c>
      <c r="L1822" s="2" t="str">
        <f t="shared" si="168"/>
        <v>Profitable</v>
      </c>
      <c r="M1822" s="2" t="str">
        <f t="shared" si="169"/>
        <v>Stable Earnings</v>
      </c>
      <c r="N1822" s="2" t="str">
        <f t="shared" si="170"/>
        <v>Low Quality</v>
      </c>
      <c r="O1822" s="4" t="str">
        <f t="shared" si="171"/>
        <v>Operational Growth</v>
      </c>
      <c r="P1822" s="4" t="str">
        <f t="shared" si="172"/>
        <v>Low Quality</v>
      </c>
      <c r="Q1822" s="4" t="str">
        <f t="shared" si="173"/>
        <v>Moderate Growth</v>
      </c>
    </row>
    <row r="1823" spans="1:17" x14ac:dyDescent="0.35">
      <c r="A1823" s="2" t="s">
        <v>1834</v>
      </c>
      <c r="B1823" s="2">
        <v>5</v>
      </c>
      <c r="C1823" s="2">
        <v>387813801.69999999</v>
      </c>
      <c r="D1823" s="2">
        <v>1</v>
      </c>
      <c r="E1823" s="2">
        <v>106644958.5</v>
      </c>
      <c r="F1823" s="2">
        <v>37889707.399999999</v>
      </c>
      <c r="G1823" s="2">
        <v>2</v>
      </c>
      <c r="H1823" s="2">
        <v>3</v>
      </c>
      <c r="I1823" s="2">
        <v>2</v>
      </c>
      <c r="J1823" s="2">
        <v>2.2999999999999998</v>
      </c>
      <c r="K1823" s="2" t="s">
        <v>1268</v>
      </c>
      <c r="L1823" s="2" t="str">
        <f t="shared" si="168"/>
        <v>Profitable</v>
      </c>
      <c r="M1823" s="2" t="str">
        <f t="shared" si="169"/>
        <v>Stable Earnings</v>
      </c>
      <c r="N1823" s="2" t="str">
        <f t="shared" si="170"/>
        <v>Low Quality</v>
      </c>
      <c r="O1823" s="4" t="str">
        <f t="shared" si="171"/>
        <v>Operational Growth</v>
      </c>
      <c r="P1823" s="4" t="str">
        <f t="shared" si="172"/>
        <v>Low Quality</v>
      </c>
      <c r="Q1823" s="4" t="str">
        <f t="shared" si="173"/>
        <v>Moderate Growth</v>
      </c>
    </row>
    <row r="1824" spans="1:17" x14ac:dyDescent="0.35">
      <c r="A1824" s="2" t="s">
        <v>1835</v>
      </c>
      <c r="B1824" s="2">
        <v>5</v>
      </c>
      <c r="C1824" s="2">
        <v>289181713.80000001</v>
      </c>
      <c r="D1824" s="2">
        <v>1</v>
      </c>
      <c r="E1824" s="2">
        <v>60037925.82</v>
      </c>
      <c r="F1824" s="2">
        <v>33212959.800000001</v>
      </c>
      <c r="G1824" s="2">
        <v>2</v>
      </c>
      <c r="H1824" s="2">
        <v>3</v>
      </c>
      <c r="I1824" s="2">
        <v>2</v>
      </c>
      <c r="J1824" s="2">
        <v>2.2999999999999998</v>
      </c>
      <c r="K1824" s="2" t="s">
        <v>1268</v>
      </c>
      <c r="L1824" s="2" t="str">
        <f t="shared" si="168"/>
        <v>Profitable</v>
      </c>
      <c r="M1824" s="2" t="str">
        <f t="shared" si="169"/>
        <v>Stable Earnings</v>
      </c>
      <c r="N1824" s="2" t="str">
        <f t="shared" si="170"/>
        <v>Low Quality</v>
      </c>
      <c r="O1824" s="4" t="str">
        <f t="shared" si="171"/>
        <v>Operational Growth</v>
      </c>
      <c r="P1824" s="4" t="str">
        <f t="shared" si="172"/>
        <v>Low Quality</v>
      </c>
      <c r="Q1824" s="4" t="str">
        <f t="shared" si="173"/>
        <v>Moderate Growth</v>
      </c>
    </row>
    <row r="1825" spans="1:17" x14ac:dyDescent="0.35">
      <c r="A1825" s="2" t="s">
        <v>1836</v>
      </c>
      <c r="B1825" s="2">
        <v>5</v>
      </c>
      <c r="C1825" s="2">
        <v>510152047.60000002</v>
      </c>
      <c r="D1825" s="2">
        <v>1</v>
      </c>
      <c r="E1825" s="2">
        <v>143647214.09999999</v>
      </c>
      <c r="F1825" s="2">
        <v>20701757.800000001</v>
      </c>
      <c r="G1825" s="2">
        <v>1</v>
      </c>
      <c r="H1825" s="2">
        <v>4</v>
      </c>
      <c r="I1825" s="2">
        <v>3</v>
      </c>
      <c r="J1825" s="2">
        <v>2.2999999999999998</v>
      </c>
      <c r="K1825" s="2" t="s">
        <v>1268</v>
      </c>
      <c r="L1825" s="2" t="str">
        <f t="shared" si="168"/>
        <v>Profitable</v>
      </c>
      <c r="M1825" s="2" t="str">
        <f t="shared" si="169"/>
        <v>High Volatility</v>
      </c>
      <c r="N1825" s="2" t="str">
        <f t="shared" si="170"/>
        <v>Low Quality</v>
      </c>
      <c r="O1825" s="4" t="str">
        <f t="shared" si="171"/>
        <v>Operational Growth</v>
      </c>
      <c r="P1825" s="4" t="str">
        <f t="shared" si="172"/>
        <v>Low Quality</v>
      </c>
      <c r="Q1825" s="4" t="str">
        <f t="shared" si="173"/>
        <v>Moderate Growth</v>
      </c>
    </row>
    <row r="1826" spans="1:17" x14ac:dyDescent="0.35">
      <c r="A1826" s="2" t="s">
        <v>1837</v>
      </c>
      <c r="B1826" s="2">
        <v>5</v>
      </c>
      <c r="C1826" s="2">
        <v>293811016.30000001</v>
      </c>
      <c r="D1826" s="2">
        <v>1</v>
      </c>
      <c r="E1826" s="2">
        <v>184832886.30000001</v>
      </c>
      <c r="F1826" s="2">
        <v>22209025.600000001</v>
      </c>
      <c r="G1826" s="2">
        <v>1</v>
      </c>
      <c r="H1826" s="2">
        <v>4</v>
      </c>
      <c r="I1826" s="2">
        <v>3</v>
      </c>
      <c r="J1826" s="2">
        <v>2.2999999999999998</v>
      </c>
      <c r="K1826" s="2" t="s">
        <v>1268</v>
      </c>
      <c r="L1826" s="2" t="str">
        <f t="shared" si="168"/>
        <v>Profitable</v>
      </c>
      <c r="M1826" s="2" t="str">
        <f t="shared" si="169"/>
        <v>Stable Earnings</v>
      </c>
      <c r="N1826" s="2" t="str">
        <f t="shared" si="170"/>
        <v>Low Quality</v>
      </c>
      <c r="O1826" s="4" t="str">
        <f t="shared" si="171"/>
        <v>Operational Growth</v>
      </c>
      <c r="P1826" s="4" t="str">
        <f t="shared" si="172"/>
        <v>Low Quality</v>
      </c>
      <c r="Q1826" s="4" t="str">
        <f t="shared" si="173"/>
        <v>Moderate Growth</v>
      </c>
    </row>
    <row r="1827" spans="1:17" x14ac:dyDescent="0.35">
      <c r="A1827" s="2" t="s">
        <v>1838</v>
      </c>
      <c r="B1827" s="2">
        <v>5</v>
      </c>
      <c r="C1827" s="2">
        <v>45826096.560000002</v>
      </c>
      <c r="D1827" s="2">
        <v>0.8</v>
      </c>
      <c r="E1827" s="2">
        <v>56994153.490000002</v>
      </c>
      <c r="F1827" s="2">
        <v>54577072.200000003</v>
      </c>
      <c r="G1827" s="2">
        <v>2</v>
      </c>
      <c r="H1827" s="2">
        <v>3</v>
      </c>
      <c r="I1827" s="2">
        <v>2</v>
      </c>
      <c r="J1827" s="2">
        <v>2.2999999999999998</v>
      </c>
      <c r="K1827" s="2" t="s">
        <v>1268</v>
      </c>
      <c r="L1827" s="2" t="str">
        <f t="shared" si="168"/>
        <v>Profitable</v>
      </c>
      <c r="M1827" s="2" t="str">
        <f t="shared" si="169"/>
        <v>Stable Earnings</v>
      </c>
      <c r="N1827" s="2" t="str">
        <f t="shared" si="170"/>
        <v>Low Quality</v>
      </c>
      <c r="O1827" s="4" t="str">
        <f t="shared" si="171"/>
        <v>Operational Growth</v>
      </c>
      <c r="P1827" s="4" t="str">
        <f t="shared" si="172"/>
        <v>Low Quality</v>
      </c>
      <c r="Q1827" s="4" t="str">
        <f t="shared" si="173"/>
        <v>Moderate Growth</v>
      </c>
    </row>
    <row r="1828" spans="1:17" x14ac:dyDescent="0.35">
      <c r="A1828" s="2" t="s">
        <v>1839</v>
      </c>
      <c r="B1828" s="2">
        <v>5</v>
      </c>
      <c r="C1828" s="2">
        <v>84757810.239999995</v>
      </c>
      <c r="D1828" s="2">
        <v>1</v>
      </c>
      <c r="E1828" s="2">
        <v>50716447.350000001</v>
      </c>
      <c r="F1828" s="2">
        <v>56267732.600000001</v>
      </c>
      <c r="G1828" s="2">
        <v>2</v>
      </c>
      <c r="H1828" s="2">
        <v>3</v>
      </c>
      <c r="I1828" s="2">
        <v>2</v>
      </c>
      <c r="J1828" s="2">
        <v>2.2999999999999998</v>
      </c>
      <c r="K1828" s="2" t="s">
        <v>1268</v>
      </c>
      <c r="L1828" s="2" t="str">
        <f t="shared" si="168"/>
        <v>Profitable</v>
      </c>
      <c r="M1828" s="2" t="str">
        <f t="shared" si="169"/>
        <v>Stable Earnings</v>
      </c>
      <c r="N1828" s="2" t="str">
        <f t="shared" si="170"/>
        <v>Low Quality</v>
      </c>
      <c r="O1828" s="4" t="str">
        <f t="shared" si="171"/>
        <v>Operational Growth</v>
      </c>
      <c r="P1828" s="4" t="str">
        <f t="shared" si="172"/>
        <v>Low Quality</v>
      </c>
      <c r="Q1828" s="4" t="str">
        <f t="shared" si="173"/>
        <v>Moderate Growth</v>
      </c>
    </row>
    <row r="1829" spans="1:17" x14ac:dyDescent="0.35">
      <c r="A1829" s="2" t="s">
        <v>1840</v>
      </c>
      <c r="B1829" s="2">
        <v>5</v>
      </c>
      <c r="C1829" s="2">
        <v>289208271.39999998</v>
      </c>
      <c r="D1829" s="2">
        <v>1</v>
      </c>
      <c r="E1829" s="2">
        <v>47085501.350000001</v>
      </c>
      <c r="F1829" s="2">
        <v>55874605.799999997</v>
      </c>
      <c r="G1829" s="2">
        <v>2</v>
      </c>
      <c r="H1829" s="2">
        <v>3</v>
      </c>
      <c r="I1829" s="2">
        <v>2</v>
      </c>
      <c r="J1829" s="2">
        <v>2.2999999999999998</v>
      </c>
      <c r="K1829" s="2" t="s">
        <v>1268</v>
      </c>
      <c r="L1829" s="2" t="str">
        <f t="shared" si="168"/>
        <v>Profitable</v>
      </c>
      <c r="M1829" s="2" t="str">
        <f t="shared" si="169"/>
        <v>Stable Earnings</v>
      </c>
      <c r="N1829" s="2" t="str">
        <f t="shared" si="170"/>
        <v>Low Quality</v>
      </c>
      <c r="O1829" s="4" t="str">
        <f t="shared" si="171"/>
        <v>Operational Growth</v>
      </c>
      <c r="P1829" s="4" t="str">
        <f t="shared" si="172"/>
        <v>Low Quality</v>
      </c>
      <c r="Q1829" s="4" t="str">
        <f t="shared" si="173"/>
        <v>Moderate Growth</v>
      </c>
    </row>
    <row r="1830" spans="1:17" x14ac:dyDescent="0.35">
      <c r="A1830" s="2" t="s">
        <v>1841</v>
      </c>
      <c r="B1830" s="2">
        <v>5</v>
      </c>
      <c r="C1830" s="2">
        <v>361910720.10000002</v>
      </c>
      <c r="D1830" s="2">
        <v>1</v>
      </c>
      <c r="E1830" s="2">
        <v>69678834.969999999</v>
      </c>
      <c r="F1830" s="2">
        <v>54837930.799999997</v>
      </c>
      <c r="G1830" s="2">
        <v>2</v>
      </c>
      <c r="H1830" s="2">
        <v>3</v>
      </c>
      <c r="I1830" s="2">
        <v>2</v>
      </c>
      <c r="J1830" s="2">
        <v>2.2999999999999998</v>
      </c>
      <c r="K1830" s="2" t="s">
        <v>1268</v>
      </c>
      <c r="L1830" s="2" t="str">
        <f t="shared" si="168"/>
        <v>Profitable</v>
      </c>
      <c r="M1830" s="2" t="str">
        <f t="shared" si="169"/>
        <v>Stable Earnings</v>
      </c>
      <c r="N1830" s="2" t="str">
        <f t="shared" si="170"/>
        <v>Low Quality</v>
      </c>
      <c r="O1830" s="4" t="str">
        <f t="shared" si="171"/>
        <v>Operational Growth</v>
      </c>
      <c r="P1830" s="4" t="str">
        <f t="shared" si="172"/>
        <v>Low Quality</v>
      </c>
      <c r="Q1830" s="4" t="str">
        <f t="shared" si="173"/>
        <v>Moderate Growth</v>
      </c>
    </row>
    <row r="1831" spans="1:17" x14ac:dyDescent="0.35">
      <c r="A1831" s="2" t="s">
        <v>1842</v>
      </c>
      <c r="B1831" s="2">
        <v>5</v>
      </c>
      <c r="C1831" s="2">
        <v>85737492.359999999</v>
      </c>
      <c r="D1831" s="2">
        <v>0.8</v>
      </c>
      <c r="E1831" s="2">
        <v>87586269.769999996</v>
      </c>
      <c r="F1831" s="2">
        <v>62288471.799999997</v>
      </c>
      <c r="G1831" s="2">
        <v>2</v>
      </c>
      <c r="H1831" s="2">
        <v>3</v>
      </c>
      <c r="I1831" s="2">
        <v>2</v>
      </c>
      <c r="J1831" s="2">
        <v>2.2999999999999998</v>
      </c>
      <c r="K1831" s="2" t="s">
        <v>1268</v>
      </c>
      <c r="L1831" s="2" t="str">
        <f t="shared" si="168"/>
        <v>Profitable</v>
      </c>
      <c r="M1831" s="2" t="str">
        <f t="shared" si="169"/>
        <v>Stable Earnings</v>
      </c>
      <c r="N1831" s="2" t="str">
        <f t="shared" si="170"/>
        <v>Low Quality</v>
      </c>
      <c r="O1831" s="4" t="str">
        <f t="shared" si="171"/>
        <v>Operational Growth</v>
      </c>
      <c r="P1831" s="4" t="str">
        <f t="shared" si="172"/>
        <v>Low Quality</v>
      </c>
      <c r="Q1831" s="4" t="str">
        <f t="shared" si="173"/>
        <v>Moderate Growth</v>
      </c>
    </row>
    <row r="1832" spans="1:17" x14ac:dyDescent="0.35">
      <c r="A1832" s="2" t="s">
        <v>1843</v>
      </c>
      <c r="B1832" s="2">
        <v>5</v>
      </c>
      <c r="C1832" s="2">
        <v>173538036.90000001</v>
      </c>
      <c r="D1832" s="2">
        <v>1</v>
      </c>
      <c r="E1832" s="2">
        <v>96668189.670000002</v>
      </c>
      <c r="F1832" s="2">
        <v>61320313.899999999</v>
      </c>
      <c r="G1832" s="2">
        <v>2</v>
      </c>
      <c r="H1832" s="2">
        <v>3</v>
      </c>
      <c r="I1832" s="2">
        <v>2</v>
      </c>
      <c r="J1832" s="2">
        <v>2.2999999999999998</v>
      </c>
      <c r="K1832" s="2" t="s">
        <v>1268</v>
      </c>
      <c r="L1832" s="2" t="str">
        <f t="shared" si="168"/>
        <v>Profitable</v>
      </c>
      <c r="M1832" s="2" t="str">
        <f t="shared" si="169"/>
        <v>Stable Earnings</v>
      </c>
      <c r="N1832" s="2" t="str">
        <f t="shared" si="170"/>
        <v>Low Quality</v>
      </c>
      <c r="O1832" s="4" t="str">
        <f t="shared" si="171"/>
        <v>Operational Growth</v>
      </c>
      <c r="P1832" s="4" t="str">
        <f t="shared" si="172"/>
        <v>Low Quality</v>
      </c>
      <c r="Q1832" s="4" t="str">
        <f t="shared" si="173"/>
        <v>Moderate Growth</v>
      </c>
    </row>
    <row r="1833" spans="1:17" x14ac:dyDescent="0.35">
      <c r="A1833" s="2" t="s">
        <v>1844</v>
      </c>
      <c r="B1833" s="2">
        <v>5</v>
      </c>
      <c r="C1833" s="2">
        <v>194763101.59999999</v>
      </c>
      <c r="D1833" s="2">
        <v>1</v>
      </c>
      <c r="E1833" s="2">
        <v>73565978.560000002</v>
      </c>
      <c r="F1833" s="2">
        <v>67265553.599999994</v>
      </c>
      <c r="G1833" s="2">
        <v>2</v>
      </c>
      <c r="H1833" s="2">
        <v>3</v>
      </c>
      <c r="I1833" s="2">
        <v>2</v>
      </c>
      <c r="J1833" s="2">
        <v>2.2999999999999998</v>
      </c>
      <c r="K1833" s="2" t="s">
        <v>1268</v>
      </c>
      <c r="L1833" s="2" t="str">
        <f t="shared" si="168"/>
        <v>Profitable</v>
      </c>
      <c r="M1833" s="2" t="str">
        <f t="shared" si="169"/>
        <v>Stable Earnings</v>
      </c>
      <c r="N1833" s="2" t="str">
        <f t="shared" si="170"/>
        <v>Low Quality</v>
      </c>
      <c r="O1833" s="4" t="str">
        <f t="shared" si="171"/>
        <v>Operational Growth</v>
      </c>
      <c r="P1833" s="4" t="str">
        <f t="shared" si="172"/>
        <v>Low Quality</v>
      </c>
      <c r="Q1833" s="4" t="str">
        <f t="shared" si="173"/>
        <v>Moderate Growth</v>
      </c>
    </row>
    <row r="1834" spans="1:17" x14ac:dyDescent="0.35">
      <c r="A1834" s="2" t="s">
        <v>1845</v>
      </c>
      <c r="B1834" s="2">
        <v>5</v>
      </c>
      <c r="C1834" s="2">
        <v>627397816.70000005</v>
      </c>
      <c r="D1834" s="2">
        <v>1</v>
      </c>
      <c r="E1834" s="2">
        <v>57692971.789999999</v>
      </c>
      <c r="F1834" s="2">
        <v>42908771.799999997</v>
      </c>
      <c r="G1834" s="2">
        <v>2</v>
      </c>
      <c r="H1834" s="2">
        <v>3</v>
      </c>
      <c r="I1834" s="2">
        <v>2</v>
      </c>
      <c r="J1834" s="2">
        <v>2.2999999999999998</v>
      </c>
      <c r="K1834" s="2" t="s">
        <v>1268</v>
      </c>
      <c r="L1834" s="2" t="str">
        <f t="shared" si="168"/>
        <v>Profitable</v>
      </c>
      <c r="M1834" s="2" t="str">
        <f t="shared" si="169"/>
        <v>High Volatility</v>
      </c>
      <c r="N1834" s="2" t="str">
        <f t="shared" si="170"/>
        <v>Low Quality</v>
      </c>
      <c r="O1834" s="4" t="str">
        <f t="shared" si="171"/>
        <v>Operational Growth</v>
      </c>
      <c r="P1834" s="4" t="str">
        <f t="shared" si="172"/>
        <v>Low Quality</v>
      </c>
      <c r="Q1834" s="4" t="str">
        <f t="shared" si="173"/>
        <v>Moderate Growth</v>
      </c>
    </row>
    <row r="1835" spans="1:17" x14ac:dyDescent="0.35">
      <c r="A1835" s="2" t="s">
        <v>1846</v>
      </c>
      <c r="B1835" s="2">
        <v>5</v>
      </c>
      <c r="C1835" s="2">
        <v>18643319.780000001</v>
      </c>
      <c r="D1835" s="2">
        <v>0.8</v>
      </c>
      <c r="E1835" s="2">
        <v>47749757.409999996</v>
      </c>
      <c r="F1835" s="2">
        <v>43488257.700000003</v>
      </c>
      <c r="G1835" s="2">
        <v>2</v>
      </c>
      <c r="H1835" s="2">
        <v>3</v>
      </c>
      <c r="I1835" s="2">
        <v>2</v>
      </c>
      <c r="J1835" s="2">
        <v>2.2999999999999998</v>
      </c>
      <c r="K1835" s="2" t="s">
        <v>1268</v>
      </c>
      <c r="L1835" s="2" t="str">
        <f t="shared" si="168"/>
        <v>Profitable</v>
      </c>
      <c r="M1835" s="2" t="str">
        <f t="shared" si="169"/>
        <v>Stable Earnings</v>
      </c>
      <c r="N1835" s="2" t="str">
        <f t="shared" si="170"/>
        <v>Low Quality</v>
      </c>
      <c r="O1835" s="4" t="str">
        <f t="shared" si="171"/>
        <v>Operational Growth</v>
      </c>
      <c r="P1835" s="4" t="str">
        <f t="shared" si="172"/>
        <v>Low Quality</v>
      </c>
      <c r="Q1835" s="4" t="str">
        <f t="shared" si="173"/>
        <v>Moderate Growth</v>
      </c>
    </row>
    <row r="1836" spans="1:17" x14ac:dyDescent="0.35">
      <c r="A1836" s="2" t="s">
        <v>1847</v>
      </c>
      <c r="B1836" s="2">
        <v>5</v>
      </c>
      <c r="C1836" s="2">
        <v>49611756.600000001</v>
      </c>
      <c r="D1836" s="2">
        <v>0.8</v>
      </c>
      <c r="E1836" s="2">
        <v>54009993.270000003</v>
      </c>
      <c r="F1836" s="2">
        <v>38663638.600000001</v>
      </c>
      <c r="G1836" s="2">
        <v>2</v>
      </c>
      <c r="H1836" s="2">
        <v>3</v>
      </c>
      <c r="I1836" s="2">
        <v>2</v>
      </c>
      <c r="J1836" s="2">
        <v>2.2999999999999998</v>
      </c>
      <c r="K1836" s="2" t="s">
        <v>1268</v>
      </c>
      <c r="L1836" s="2" t="str">
        <f t="shared" si="168"/>
        <v>Profitable</v>
      </c>
      <c r="M1836" s="2" t="str">
        <f t="shared" si="169"/>
        <v>Stable Earnings</v>
      </c>
      <c r="N1836" s="2" t="str">
        <f t="shared" si="170"/>
        <v>Low Quality</v>
      </c>
      <c r="O1836" s="4" t="str">
        <f t="shared" si="171"/>
        <v>Operational Growth</v>
      </c>
      <c r="P1836" s="4" t="str">
        <f t="shared" si="172"/>
        <v>Low Quality</v>
      </c>
      <c r="Q1836" s="4" t="str">
        <f t="shared" si="173"/>
        <v>Moderate Growth</v>
      </c>
    </row>
    <row r="1837" spans="1:17" x14ac:dyDescent="0.35">
      <c r="A1837" s="2" t="s">
        <v>1848</v>
      </c>
      <c r="B1837" s="2">
        <v>5</v>
      </c>
      <c r="C1837" s="2">
        <v>171862974.80000001</v>
      </c>
      <c r="D1837" s="2">
        <v>1</v>
      </c>
      <c r="E1837" s="2">
        <v>58025087.07</v>
      </c>
      <c r="F1837" s="2">
        <v>91739598.299999997</v>
      </c>
      <c r="G1837" s="2">
        <v>2</v>
      </c>
      <c r="H1837" s="2">
        <v>3</v>
      </c>
      <c r="I1837" s="2">
        <v>2</v>
      </c>
      <c r="J1837" s="2">
        <v>2.2999999999999998</v>
      </c>
      <c r="K1837" s="2" t="s">
        <v>1268</v>
      </c>
      <c r="L1837" s="2" t="str">
        <f t="shared" si="168"/>
        <v>Profitable</v>
      </c>
      <c r="M1837" s="2" t="str">
        <f t="shared" si="169"/>
        <v>Stable Earnings</v>
      </c>
      <c r="N1837" s="2" t="str">
        <f t="shared" si="170"/>
        <v>Low Quality</v>
      </c>
      <c r="O1837" s="4" t="str">
        <f t="shared" si="171"/>
        <v>Operational Growth</v>
      </c>
      <c r="P1837" s="4" t="str">
        <f t="shared" si="172"/>
        <v>Low Quality</v>
      </c>
      <c r="Q1837" s="4" t="str">
        <f t="shared" si="173"/>
        <v>Moderate Growth</v>
      </c>
    </row>
    <row r="1838" spans="1:17" x14ac:dyDescent="0.35">
      <c r="A1838" s="2" t="s">
        <v>1849</v>
      </c>
      <c r="B1838" s="2">
        <v>5</v>
      </c>
      <c r="C1838" s="2">
        <v>312357364.39999998</v>
      </c>
      <c r="D1838" s="2">
        <v>1</v>
      </c>
      <c r="E1838" s="2">
        <v>64975617.68</v>
      </c>
      <c r="F1838" s="2">
        <v>93536545.5</v>
      </c>
      <c r="G1838" s="2">
        <v>2</v>
      </c>
      <c r="H1838" s="2">
        <v>3</v>
      </c>
      <c r="I1838" s="2">
        <v>2</v>
      </c>
      <c r="J1838" s="2">
        <v>2.2999999999999998</v>
      </c>
      <c r="K1838" s="2" t="s">
        <v>1268</v>
      </c>
      <c r="L1838" s="2" t="str">
        <f t="shared" si="168"/>
        <v>Profitable</v>
      </c>
      <c r="M1838" s="2" t="str">
        <f t="shared" si="169"/>
        <v>Stable Earnings</v>
      </c>
      <c r="N1838" s="2" t="str">
        <f t="shared" si="170"/>
        <v>Low Quality</v>
      </c>
      <c r="O1838" s="4" t="str">
        <f t="shared" si="171"/>
        <v>Operational Growth</v>
      </c>
      <c r="P1838" s="4" t="str">
        <f t="shared" si="172"/>
        <v>Low Quality</v>
      </c>
      <c r="Q1838" s="4" t="str">
        <f t="shared" si="173"/>
        <v>Moderate Growth</v>
      </c>
    </row>
    <row r="1839" spans="1:17" x14ac:dyDescent="0.35">
      <c r="A1839" s="2" t="s">
        <v>1850</v>
      </c>
      <c r="B1839" s="2">
        <v>5</v>
      </c>
      <c r="C1839" s="2">
        <v>171810577.80000001</v>
      </c>
      <c r="D1839" s="2">
        <v>1</v>
      </c>
      <c r="E1839" s="2">
        <v>71509959.680000007</v>
      </c>
      <c r="F1839" s="2">
        <v>90468875.799999997</v>
      </c>
      <c r="G1839" s="2">
        <v>2</v>
      </c>
      <c r="H1839" s="2">
        <v>3</v>
      </c>
      <c r="I1839" s="2">
        <v>2</v>
      </c>
      <c r="J1839" s="2">
        <v>2.2999999999999998</v>
      </c>
      <c r="K1839" s="2" t="s">
        <v>1268</v>
      </c>
      <c r="L1839" s="2" t="str">
        <f t="shared" si="168"/>
        <v>Profitable</v>
      </c>
      <c r="M1839" s="2" t="str">
        <f t="shared" si="169"/>
        <v>Stable Earnings</v>
      </c>
      <c r="N1839" s="2" t="str">
        <f t="shared" si="170"/>
        <v>Low Quality</v>
      </c>
      <c r="O1839" s="4" t="str">
        <f t="shared" si="171"/>
        <v>Operational Growth</v>
      </c>
      <c r="P1839" s="4" t="str">
        <f t="shared" si="172"/>
        <v>Low Quality</v>
      </c>
      <c r="Q1839" s="4" t="str">
        <f t="shared" si="173"/>
        <v>Moderate Growth</v>
      </c>
    </row>
    <row r="1840" spans="1:17" x14ac:dyDescent="0.35">
      <c r="A1840" s="2" t="s">
        <v>1851</v>
      </c>
      <c r="B1840" s="2">
        <v>5</v>
      </c>
      <c r="C1840" s="2">
        <v>88533269.060000002</v>
      </c>
      <c r="D1840" s="2">
        <v>1</v>
      </c>
      <c r="E1840" s="2">
        <v>52941210.350000001</v>
      </c>
      <c r="F1840" s="2">
        <v>82876275.900000006</v>
      </c>
      <c r="G1840" s="2">
        <v>2</v>
      </c>
      <c r="H1840" s="2">
        <v>3</v>
      </c>
      <c r="I1840" s="2">
        <v>2</v>
      </c>
      <c r="J1840" s="2">
        <v>2.2999999999999998</v>
      </c>
      <c r="K1840" s="2" t="s">
        <v>1268</v>
      </c>
      <c r="L1840" s="2" t="str">
        <f t="shared" si="168"/>
        <v>Profitable</v>
      </c>
      <c r="M1840" s="2" t="str">
        <f t="shared" si="169"/>
        <v>Stable Earnings</v>
      </c>
      <c r="N1840" s="2" t="str">
        <f t="shared" si="170"/>
        <v>Low Quality</v>
      </c>
      <c r="O1840" s="4" t="str">
        <f t="shared" si="171"/>
        <v>Operational Growth</v>
      </c>
      <c r="P1840" s="4" t="str">
        <f t="shared" si="172"/>
        <v>Low Quality</v>
      </c>
      <c r="Q1840" s="4" t="str">
        <f t="shared" si="173"/>
        <v>Moderate Growth</v>
      </c>
    </row>
    <row r="1841" spans="1:17" x14ac:dyDescent="0.35">
      <c r="A1841" s="2" t="s">
        <v>1852</v>
      </c>
      <c r="B1841" s="2">
        <v>5</v>
      </c>
      <c r="C1841" s="2">
        <v>113742737.8</v>
      </c>
      <c r="D1841" s="2">
        <v>1</v>
      </c>
      <c r="E1841" s="2">
        <v>58472110.350000001</v>
      </c>
      <c r="F1841" s="2">
        <v>88475796.099999994</v>
      </c>
      <c r="G1841" s="2">
        <v>2</v>
      </c>
      <c r="H1841" s="2">
        <v>3</v>
      </c>
      <c r="I1841" s="2">
        <v>2</v>
      </c>
      <c r="J1841" s="2">
        <v>2.2999999999999998</v>
      </c>
      <c r="K1841" s="2" t="s">
        <v>1268</v>
      </c>
      <c r="L1841" s="2" t="str">
        <f t="shared" si="168"/>
        <v>Profitable</v>
      </c>
      <c r="M1841" s="2" t="str">
        <f t="shared" si="169"/>
        <v>Stable Earnings</v>
      </c>
      <c r="N1841" s="2" t="str">
        <f t="shared" si="170"/>
        <v>Low Quality</v>
      </c>
      <c r="O1841" s="4" t="str">
        <f t="shared" si="171"/>
        <v>Operational Growth</v>
      </c>
      <c r="P1841" s="4" t="str">
        <f t="shared" si="172"/>
        <v>Low Quality</v>
      </c>
      <c r="Q1841" s="4" t="str">
        <f t="shared" si="173"/>
        <v>Moderate Growth</v>
      </c>
    </row>
    <row r="1842" spans="1:17" x14ac:dyDescent="0.35">
      <c r="A1842" s="2" t="s">
        <v>1853</v>
      </c>
      <c r="B1842" s="2">
        <v>5</v>
      </c>
      <c r="C1842" s="2">
        <v>424602795.5</v>
      </c>
      <c r="D1842" s="2">
        <v>1</v>
      </c>
      <c r="E1842" s="2">
        <v>98228297.359999999</v>
      </c>
      <c r="F1842" s="2">
        <v>79628248.400000006</v>
      </c>
      <c r="G1842" s="2">
        <v>2</v>
      </c>
      <c r="H1842" s="2">
        <v>3</v>
      </c>
      <c r="I1842" s="2">
        <v>2</v>
      </c>
      <c r="J1842" s="2">
        <v>2.2999999999999998</v>
      </c>
      <c r="K1842" s="2" t="s">
        <v>1268</v>
      </c>
      <c r="L1842" s="2" t="str">
        <f t="shared" si="168"/>
        <v>Profitable</v>
      </c>
      <c r="M1842" s="2" t="str">
        <f t="shared" si="169"/>
        <v>Stable Earnings</v>
      </c>
      <c r="N1842" s="2" t="str">
        <f t="shared" si="170"/>
        <v>Low Quality</v>
      </c>
      <c r="O1842" s="4" t="str">
        <f t="shared" si="171"/>
        <v>Operational Growth</v>
      </c>
      <c r="P1842" s="4" t="str">
        <f t="shared" si="172"/>
        <v>Low Quality</v>
      </c>
      <c r="Q1842" s="4" t="str">
        <f t="shared" si="173"/>
        <v>Moderate Growth</v>
      </c>
    </row>
    <row r="1843" spans="1:17" x14ac:dyDescent="0.35">
      <c r="A1843" s="2" t="s">
        <v>1854</v>
      </c>
      <c r="B1843" s="2">
        <v>5</v>
      </c>
      <c r="C1843" s="2">
        <v>716884082.89999998</v>
      </c>
      <c r="D1843" s="2">
        <v>1</v>
      </c>
      <c r="E1843" s="2">
        <v>100005473.2</v>
      </c>
      <c r="F1843" s="2">
        <v>74872990.700000003</v>
      </c>
      <c r="G1843" s="2">
        <v>2</v>
      </c>
      <c r="H1843" s="2">
        <v>3</v>
      </c>
      <c r="I1843" s="2">
        <v>2</v>
      </c>
      <c r="J1843" s="2">
        <v>2.2999999999999998</v>
      </c>
      <c r="K1843" s="2" t="s">
        <v>1268</v>
      </c>
      <c r="L1843" s="2" t="str">
        <f t="shared" si="168"/>
        <v>Profitable</v>
      </c>
      <c r="M1843" s="2" t="str">
        <f t="shared" si="169"/>
        <v>High Volatility</v>
      </c>
      <c r="N1843" s="2" t="str">
        <f t="shared" si="170"/>
        <v>Low Quality</v>
      </c>
      <c r="O1843" s="4" t="str">
        <f t="shared" si="171"/>
        <v>Operational Growth</v>
      </c>
      <c r="P1843" s="4" t="str">
        <f t="shared" si="172"/>
        <v>Low Quality</v>
      </c>
      <c r="Q1843" s="4" t="str">
        <f t="shared" si="173"/>
        <v>Moderate Growth</v>
      </c>
    </row>
    <row r="1844" spans="1:17" x14ac:dyDescent="0.35">
      <c r="A1844" s="2" t="s">
        <v>1855</v>
      </c>
      <c r="B1844" s="2">
        <v>5</v>
      </c>
      <c r="C1844" s="2">
        <v>144159768.30000001</v>
      </c>
      <c r="D1844" s="2">
        <v>1</v>
      </c>
      <c r="E1844" s="2">
        <v>70435747</v>
      </c>
      <c r="F1844" s="2">
        <v>73443830</v>
      </c>
      <c r="G1844" s="2">
        <v>2</v>
      </c>
      <c r="H1844" s="2">
        <v>3</v>
      </c>
      <c r="I1844" s="2">
        <v>2</v>
      </c>
      <c r="J1844" s="2">
        <v>2.2999999999999998</v>
      </c>
      <c r="K1844" s="2" t="s">
        <v>1268</v>
      </c>
      <c r="L1844" s="2" t="str">
        <f t="shared" si="168"/>
        <v>Profitable</v>
      </c>
      <c r="M1844" s="2" t="str">
        <f t="shared" si="169"/>
        <v>Stable Earnings</v>
      </c>
      <c r="N1844" s="2" t="str">
        <f t="shared" si="170"/>
        <v>Low Quality</v>
      </c>
      <c r="O1844" s="4" t="str">
        <f t="shared" si="171"/>
        <v>Operational Growth</v>
      </c>
      <c r="P1844" s="4" t="str">
        <f t="shared" si="172"/>
        <v>Low Quality</v>
      </c>
      <c r="Q1844" s="4" t="str">
        <f t="shared" si="173"/>
        <v>Moderate Growth</v>
      </c>
    </row>
    <row r="1845" spans="1:17" x14ac:dyDescent="0.35">
      <c r="A1845" s="2" t="s">
        <v>1856</v>
      </c>
      <c r="B1845" s="2">
        <v>5</v>
      </c>
      <c r="C1845" s="2">
        <v>44675898.539999999</v>
      </c>
      <c r="D1845" s="2">
        <v>0.8</v>
      </c>
      <c r="E1845" s="2">
        <v>54402085.299999997</v>
      </c>
      <c r="F1845" s="2">
        <v>125420511.59999999</v>
      </c>
      <c r="G1845" s="2">
        <v>2</v>
      </c>
      <c r="H1845" s="2">
        <v>3</v>
      </c>
      <c r="I1845" s="2">
        <v>2</v>
      </c>
      <c r="J1845" s="2">
        <v>2.2999999999999998</v>
      </c>
      <c r="K1845" s="2" t="s">
        <v>1268</v>
      </c>
      <c r="L1845" s="2" t="str">
        <f t="shared" si="168"/>
        <v>Profitable</v>
      </c>
      <c r="M1845" s="2" t="str">
        <f t="shared" si="169"/>
        <v>Stable Earnings</v>
      </c>
      <c r="N1845" s="2" t="str">
        <f t="shared" si="170"/>
        <v>Low Quality</v>
      </c>
      <c r="O1845" s="4" t="str">
        <f t="shared" si="171"/>
        <v>Operational Growth</v>
      </c>
      <c r="P1845" s="4" t="str">
        <f t="shared" si="172"/>
        <v>Low Quality</v>
      </c>
      <c r="Q1845" s="4" t="str">
        <f t="shared" si="173"/>
        <v>Moderate Growth</v>
      </c>
    </row>
    <row r="1846" spans="1:17" x14ac:dyDescent="0.35">
      <c r="A1846" s="2" t="s">
        <v>1857</v>
      </c>
      <c r="B1846" s="2">
        <v>5</v>
      </c>
      <c r="C1846" s="2">
        <v>403624709.5</v>
      </c>
      <c r="D1846" s="2">
        <v>1</v>
      </c>
      <c r="E1846" s="2">
        <v>105955958.2</v>
      </c>
      <c r="F1846" s="2">
        <v>123916660.09999999</v>
      </c>
      <c r="G1846" s="2">
        <v>2</v>
      </c>
      <c r="H1846" s="2">
        <v>3</v>
      </c>
      <c r="I1846" s="2">
        <v>2</v>
      </c>
      <c r="J1846" s="2">
        <v>2.2999999999999998</v>
      </c>
      <c r="K1846" s="2" t="s">
        <v>1268</v>
      </c>
      <c r="L1846" s="2" t="str">
        <f t="shared" si="168"/>
        <v>Profitable</v>
      </c>
      <c r="M1846" s="2" t="str">
        <f t="shared" si="169"/>
        <v>Stable Earnings</v>
      </c>
      <c r="N1846" s="2" t="str">
        <f t="shared" si="170"/>
        <v>Low Quality</v>
      </c>
      <c r="O1846" s="4" t="str">
        <f t="shared" si="171"/>
        <v>Operational Growth</v>
      </c>
      <c r="P1846" s="4" t="str">
        <f t="shared" si="172"/>
        <v>Low Quality</v>
      </c>
      <c r="Q1846" s="4" t="str">
        <f t="shared" si="173"/>
        <v>Moderate Growth</v>
      </c>
    </row>
    <row r="1847" spans="1:17" x14ac:dyDescent="0.35">
      <c r="A1847" s="2" t="s">
        <v>1858</v>
      </c>
      <c r="B1847" s="2">
        <v>5</v>
      </c>
      <c r="C1847" s="2">
        <v>184794230.80000001</v>
      </c>
      <c r="D1847" s="2">
        <v>1</v>
      </c>
      <c r="E1847" s="2">
        <v>69399659.709999993</v>
      </c>
      <c r="F1847" s="2">
        <v>126568822.8</v>
      </c>
      <c r="G1847" s="2">
        <v>2</v>
      </c>
      <c r="H1847" s="2">
        <v>3</v>
      </c>
      <c r="I1847" s="2">
        <v>2</v>
      </c>
      <c r="J1847" s="2">
        <v>2.2999999999999998</v>
      </c>
      <c r="K1847" s="2" t="s">
        <v>1268</v>
      </c>
      <c r="L1847" s="2" t="str">
        <f t="shared" si="168"/>
        <v>Profitable</v>
      </c>
      <c r="M1847" s="2" t="str">
        <f t="shared" si="169"/>
        <v>Stable Earnings</v>
      </c>
      <c r="N1847" s="2" t="str">
        <f t="shared" si="170"/>
        <v>Low Quality</v>
      </c>
      <c r="O1847" s="4" t="str">
        <f t="shared" si="171"/>
        <v>Operational Growth</v>
      </c>
      <c r="P1847" s="4" t="str">
        <f t="shared" si="172"/>
        <v>Low Quality</v>
      </c>
      <c r="Q1847" s="4" t="str">
        <f t="shared" si="173"/>
        <v>Moderate Growth</v>
      </c>
    </row>
    <row r="1848" spans="1:17" x14ac:dyDescent="0.35">
      <c r="A1848" s="2" t="s">
        <v>1859</v>
      </c>
      <c r="B1848" s="2">
        <v>5</v>
      </c>
      <c r="C1848" s="2">
        <v>219316412.5</v>
      </c>
      <c r="D1848" s="2">
        <v>1</v>
      </c>
      <c r="E1848" s="2">
        <v>57905610.560000002</v>
      </c>
      <c r="F1848" s="2">
        <v>126465333.59999999</v>
      </c>
      <c r="G1848" s="2">
        <v>2</v>
      </c>
      <c r="H1848" s="2">
        <v>3</v>
      </c>
      <c r="I1848" s="2">
        <v>2</v>
      </c>
      <c r="J1848" s="2">
        <v>2.2999999999999998</v>
      </c>
      <c r="K1848" s="2" t="s">
        <v>1268</v>
      </c>
      <c r="L1848" s="2" t="str">
        <f t="shared" si="168"/>
        <v>Profitable</v>
      </c>
      <c r="M1848" s="2" t="str">
        <f t="shared" si="169"/>
        <v>Stable Earnings</v>
      </c>
      <c r="N1848" s="2" t="str">
        <f t="shared" si="170"/>
        <v>Low Quality</v>
      </c>
      <c r="O1848" s="4" t="str">
        <f t="shared" si="171"/>
        <v>Operational Growth</v>
      </c>
      <c r="P1848" s="4" t="str">
        <f t="shared" si="172"/>
        <v>Low Quality</v>
      </c>
      <c r="Q1848" s="4" t="str">
        <f t="shared" si="173"/>
        <v>Moderate Growth</v>
      </c>
    </row>
    <row r="1849" spans="1:17" x14ac:dyDescent="0.35">
      <c r="A1849" s="2" t="s">
        <v>1860</v>
      </c>
      <c r="B1849" s="2">
        <v>5</v>
      </c>
      <c r="C1849" s="2">
        <v>103239211.40000001</v>
      </c>
      <c r="D1849" s="2">
        <v>1</v>
      </c>
      <c r="E1849" s="2">
        <v>57418087.890000001</v>
      </c>
      <c r="F1849" s="2">
        <v>111734026.2</v>
      </c>
      <c r="G1849" s="2">
        <v>2</v>
      </c>
      <c r="H1849" s="2">
        <v>3</v>
      </c>
      <c r="I1849" s="2">
        <v>2</v>
      </c>
      <c r="J1849" s="2">
        <v>2.2999999999999998</v>
      </c>
      <c r="K1849" s="2" t="s">
        <v>1268</v>
      </c>
      <c r="L1849" s="2" t="str">
        <f t="shared" si="168"/>
        <v>Profitable</v>
      </c>
      <c r="M1849" s="2" t="str">
        <f t="shared" si="169"/>
        <v>Stable Earnings</v>
      </c>
      <c r="N1849" s="2" t="str">
        <f t="shared" si="170"/>
        <v>Low Quality</v>
      </c>
      <c r="O1849" s="4" t="str">
        <f t="shared" si="171"/>
        <v>Operational Growth</v>
      </c>
      <c r="P1849" s="4" t="str">
        <f t="shared" si="172"/>
        <v>Low Quality</v>
      </c>
      <c r="Q1849" s="4" t="str">
        <f t="shared" si="173"/>
        <v>Moderate Growth</v>
      </c>
    </row>
    <row r="1850" spans="1:17" x14ac:dyDescent="0.35">
      <c r="A1850" s="2" t="s">
        <v>1861</v>
      </c>
      <c r="B1850" s="2">
        <v>5</v>
      </c>
      <c r="C1850" s="2">
        <v>215865626.40000001</v>
      </c>
      <c r="D1850" s="2">
        <v>1</v>
      </c>
      <c r="E1850" s="2">
        <v>75738649.989999995</v>
      </c>
      <c r="F1850" s="2">
        <v>112124858.59999999</v>
      </c>
      <c r="G1850" s="2">
        <v>2</v>
      </c>
      <c r="H1850" s="2">
        <v>3</v>
      </c>
      <c r="I1850" s="2">
        <v>2</v>
      </c>
      <c r="J1850" s="2">
        <v>2.2999999999999998</v>
      </c>
      <c r="K1850" s="2" t="s">
        <v>1268</v>
      </c>
      <c r="L1850" s="2" t="str">
        <f t="shared" si="168"/>
        <v>Profitable</v>
      </c>
      <c r="M1850" s="2" t="str">
        <f t="shared" si="169"/>
        <v>Stable Earnings</v>
      </c>
      <c r="N1850" s="2" t="str">
        <f t="shared" si="170"/>
        <v>Low Quality</v>
      </c>
      <c r="O1850" s="4" t="str">
        <f t="shared" si="171"/>
        <v>Operational Growth</v>
      </c>
      <c r="P1850" s="4" t="str">
        <f t="shared" si="172"/>
        <v>Low Quality</v>
      </c>
      <c r="Q1850" s="4" t="str">
        <f t="shared" si="173"/>
        <v>Moderate Growth</v>
      </c>
    </row>
    <row r="1851" spans="1:17" x14ac:dyDescent="0.35">
      <c r="A1851" s="2" t="s">
        <v>1862</v>
      </c>
      <c r="B1851" s="2">
        <v>5</v>
      </c>
      <c r="C1851" s="2">
        <v>238331777.59999999</v>
      </c>
      <c r="D1851" s="2">
        <v>1</v>
      </c>
      <c r="E1851" s="2">
        <v>52748148.210000001</v>
      </c>
      <c r="F1851" s="2">
        <v>112102323.8</v>
      </c>
      <c r="G1851" s="2">
        <v>2</v>
      </c>
      <c r="H1851" s="2">
        <v>3</v>
      </c>
      <c r="I1851" s="2">
        <v>2</v>
      </c>
      <c r="J1851" s="2">
        <v>2.2999999999999998</v>
      </c>
      <c r="K1851" s="2" t="s">
        <v>1268</v>
      </c>
      <c r="L1851" s="2" t="str">
        <f t="shared" si="168"/>
        <v>Profitable</v>
      </c>
      <c r="M1851" s="2" t="str">
        <f t="shared" si="169"/>
        <v>Stable Earnings</v>
      </c>
      <c r="N1851" s="2" t="str">
        <f t="shared" si="170"/>
        <v>Low Quality</v>
      </c>
      <c r="O1851" s="4" t="str">
        <f t="shared" si="171"/>
        <v>Operational Growth</v>
      </c>
      <c r="P1851" s="4" t="str">
        <f t="shared" si="172"/>
        <v>Low Quality</v>
      </c>
      <c r="Q1851" s="4" t="str">
        <f t="shared" si="173"/>
        <v>Moderate Growth</v>
      </c>
    </row>
    <row r="1852" spans="1:17" x14ac:dyDescent="0.35">
      <c r="A1852" s="2" t="s">
        <v>1863</v>
      </c>
      <c r="B1852" s="2">
        <v>5</v>
      </c>
      <c r="C1852" s="2">
        <v>134379296.80000001</v>
      </c>
      <c r="D1852" s="2">
        <v>1</v>
      </c>
      <c r="E1852" s="2">
        <v>61545570.18</v>
      </c>
      <c r="F1852" s="2">
        <v>112430613.5</v>
      </c>
      <c r="G1852" s="2">
        <v>2</v>
      </c>
      <c r="H1852" s="2">
        <v>3</v>
      </c>
      <c r="I1852" s="2">
        <v>2</v>
      </c>
      <c r="J1852" s="2">
        <v>2.2999999999999998</v>
      </c>
      <c r="K1852" s="2" t="s">
        <v>1268</v>
      </c>
      <c r="L1852" s="2" t="str">
        <f t="shared" si="168"/>
        <v>Profitable</v>
      </c>
      <c r="M1852" s="2" t="str">
        <f t="shared" si="169"/>
        <v>Stable Earnings</v>
      </c>
      <c r="N1852" s="2" t="str">
        <f t="shared" si="170"/>
        <v>Low Quality</v>
      </c>
      <c r="O1852" s="4" t="str">
        <f t="shared" si="171"/>
        <v>Operational Growth</v>
      </c>
      <c r="P1852" s="4" t="str">
        <f t="shared" si="172"/>
        <v>Low Quality</v>
      </c>
      <c r="Q1852" s="4" t="str">
        <f t="shared" si="173"/>
        <v>Moderate Growth</v>
      </c>
    </row>
    <row r="1853" spans="1:17" x14ac:dyDescent="0.35">
      <c r="A1853" s="2" t="s">
        <v>1864</v>
      </c>
      <c r="B1853" s="2">
        <v>5</v>
      </c>
      <c r="C1853" s="2">
        <v>103787009.2</v>
      </c>
      <c r="D1853" s="2">
        <v>1</v>
      </c>
      <c r="E1853" s="2">
        <v>88699993.200000003</v>
      </c>
      <c r="F1853" s="2">
        <v>121077407.7</v>
      </c>
      <c r="G1853" s="2">
        <v>2</v>
      </c>
      <c r="H1853" s="2">
        <v>3</v>
      </c>
      <c r="I1853" s="2">
        <v>2</v>
      </c>
      <c r="J1853" s="2">
        <v>2.2999999999999998</v>
      </c>
      <c r="K1853" s="2" t="s">
        <v>1268</v>
      </c>
      <c r="L1853" s="2" t="str">
        <f t="shared" si="168"/>
        <v>Profitable</v>
      </c>
      <c r="M1853" s="2" t="str">
        <f t="shared" si="169"/>
        <v>Stable Earnings</v>
      </c>
      <c r="N1853" s="2" t="str">
        <f t="shared" si="170"/>
        <v>Low Quality</v>
      </c>
      <c r="O1853" s="4" t="str">
        <f t="shared" si="171"/>
        <v>Operational Growth</v>
      </c>
      <c r="P1853" s="4" t="str">
        <f t="shared" si="172"/>
        <v>Low Quality</v>
      </c>
      <c r="Q1853" s="4" t="str">
        <f t="shared" si="173"/>
        <v>Moderate Growth</v>
      </c>
    </row>
    <row r="1854" spans="1:17" x14ac:dyDescent="0.35">
      <c r="A1854" s="2" t="s">
        <v>1865</v>
      </c>
      <c r="B1854" s="2">
        <v>5</v>
      </c>
      <c r="C1854" s="2">
        <v>219326638.40000001</v>
      </c>
      <c r="D1854" s="2">
        <v>1</v>
      </c>
      <c r="E1854" s="2">
        <v>48870590.600000001</v>
      </c>
      <c r="F1854" s="2">
        <v>114796590.59999999</v>
      </c>
      <c r="G1854" s="2">
        <v>2</v>
      </c>
      <c r="H1854" s="2">
        <v>3</v>
      </c>
      <c r="I1854" s="2">
        <v>2</v>
      </c>
      <c r="J1854" s="2">
        <v>2.2999999999999998</v>
      </c>
      <c r="K1854" s="2" t="s">
        <v>1268</v>
      </c>
      <c r="L1854" s="2" t="str">
        <f t="shared" si="168"/>
        <v>Profitable</v>
      </c>
      <c r="M1854" s="2" t="str">
        <f t="shared" si="169"/>
        <v>Stable Earnings</v>
      </c>
      <c r="N1854" s="2" t="str">
        <f t="shared" si="170"/>
        <v>Low Quality</v>
      </c>
      <c r="O1854" s="4" t="str">
        <f t="shared" si="171"/>
        <v>Operational Growth</v>
      </c>
      <c r="P1854" s="4" t="str">
        <f t="shared" si="172"/>
        <v>Low Quality</v>
      </c>
      <c r="Q1854" s="4" t="str">
        <f t="shared" si="173"/>
        <v>Moderate Growth</v>
      </c>
    </row>
    <row r="1855" spans="1:17" x14ac:dyDescent="0.35">
      <c r="A1855" s="2" t="s">
        <v>1866</v>
      </c>
      <c r="B1855" s="2">
        <v>5</v>
      </c>
      <c r="C1855" s="2">
        <v>55381843.960000001</v>
      </c>
      <c r="D1855" s="2">
        <v>1</v>
      </c>
      <c r="E1855" s="2">
        <v>49713801.009999998</v>
      </c>
      <c r="F1855" s="2">
        <v>106327981.5</v>
      </c>
      <c r="G1855" s="2">
        <v>2</v>
      </c>
      <c r="H1855" s="2">
        <v>3</v>
      </c>
      <c r="I1855" s="2">
        <v>2</v>
      </c>
      <c r="J1855" s="2">
        <v>2.2999999999999998</v>
      </c>
      <c r="K1855" s="2" t="s">
        <v>1268</v>
      </c>
      <c r="L1855" s="2" t="str">
        <f t="shared" si="168"/>
        <v>Profitable</v>
      </c>
      <c r="M1855" s="2" t="str">
        <f t="shared" si="169"/>
        <v>Stable Earnings</v>
      </c>
      <c r="N1855" s="2" t="str">
        <f t="shared" si="170"/>
        <v>Low Quality</v>
      </c>
      <c r="O1855" s="4" t="str">
        <f t="shared" si="171"/>
        <v>Operational Growth</v>
      </c>
      <c r="P1855" s="4" t="str">
        <f t="shared" si="172"/>
        <v>Low Quality</v>
      </c>
      <c r="Q1855" s="4" t="str">
        <f t="shared" si="173"/>
        <v>Moderate Growth</v>
      </c>
    </row>
    <row r="1856" spans="1:17" x14ac:dyDescent="0.35">
      <c r="A1856" s="2" t="s">
        <v>1867</v>
      </c>
      <c r="B1856" s="2">
        <v>5</v>
      </c>
      <c r="C1856" s="2">
        <v>101263220.5</v>
      </c>
      <c r="D1856" s="2">
        <v>0.8</v>
      </c>
      <c r="E1856" s="2">
        <v>105376973.3</v>
      </c>
      <c r="F1856" s="2">
        <v>96472168.400000006</v>
      </c>
      <c r="G1856" s="2">
        <v>2</v>
      </c>
      <c r="H1856" s="2">
        <v>3</v>
      </c>
      <c r="I1856" s="2">
        <v>2</v>
      </c>
      <c r="J1856" s="2">
        <v>2.2999999999999998</v>
      </c>
      <c r="K1856" s="2" t="s">
        <v>1268</v>
      </c>
      <c r="L1856" s="2" t="str">
        <f t="shared" si="168"/>
        <v>Profitable</v>
      </c>
      <c r="M1856" s="2" t="str">
        <f t="shared" si="169"/>
        <v>Stable Earnings</v>
      </c>
      <c r="N1856" s="2" t="str">
        <f t="shared" si="170"/>
        <v>Low Quality</v>
      </c>
      <c r="O1856" s="4" t="str">
        <f t="shared" si="171"/>
        <v>Operational Growth</v>
      </c>
      <c r="P1856" s="4" t="str">
        <f t="shared" si="172"/>
        <v>Low Quality</v>
      </c>
      <c r="Q1856" s="4" t="str">
        <f t="shared" si="173"/>
        <v>Moderate Growth</v>
      </c>
    </row>
    <row r="1857" spans="1:17" x14ac:dyDescent="0.35">
      <c r="A1857" s="2" t="s">
        <v>1868</v>
      </c>
      <c r="B1857" s="2">
        <v>5</v>
      </c>
      <c r="C1857" s="2">
        <v>72426455.340000004</v>
      </c>
      <c r="D1857" s="2">
        <v>1</v>
      </c>
      <c r="E1857" s="2">
        <v>47593860.759999998</v>
      </c>
      <c r="F1857" s="2">
        <v>101284328.59999999</v>
      </c>
      <c r="G1857" s="2">
        <v>2</v>
      </c>
      <c r="H1857" s="2">
        <v>3</v>
      </c>
      <c r="I1857" s="2">
        <v>2</v>
      </c>
      <c r="J1857" s="2">
        <v>2.2999999999999998</v>
      </c>
      <c r="K1857" s="2" t="s">
        <v>1268</v>
      </c>
      <c r="L1857" s="2" t="str">
        <f t="shared" si="168"/>
        <v>Profitable</v>
      </c>
      <c r="M1857" s="2" t="str">
        <f t="shared" si="169"/>
        <v>Stable Earnings</v>
      </c>
      <c r="N1857" s="2" t="str">
        <f t="shared" si="170"/>
        <v>Low Quality</v>
      </c>
      <c r="O1857" s="4" t="str">
        <f t="shared" si="171"/>
        <v>Operational Growth</v>
      </c>
      <c r="P1857" s="4" t="str">
        <f t="shared" si="172"/>
        <v>Low Quality</v>
      </c>
      <c r="Q1857" s="4" t="str">
        <f t="shared" si="173"/>
        <v>Moderate Growth</v>
      </c>
    </row>
    <row r="1858" spans="1:17" x14ac:dyDescent="0.35">
      <c r="A1858" s="2" t="s">
        <v>1869</v>
      </c>
      <c r="B1858" s="2">
        <v>5</v>
      </c>
      <c r="C1858" s="2">
        <v>7785009.7999999998</v>
      </c>
      <c r="D1858" s="2">
        <v>0.8</v>
      </c>
      <c r="E1858" s="2">
        <v>15266296.300000001</v>
      </c>
      <c r="F1858" s="2">
        <v>41290747.100000001</v>
      </c>
      <c r="G1858" s="2">
        <v>3</v>
      </c>
      <c r="H1858" s="2">
        <v>1</v>
      </c>
      <c r="I1858" s="2">
        <v>2</v>
      </c>
      <c r="J1858" s="2">
        <v>2.2000000000000002</v>
      </c>
      <c r="K1858" s="2" t="s">
        <v>1268</v>
      </c>
      <c r="L1858" s="2" t="str">
        <f t="shared" ref="L1858:L1921" si="174">IF(C1858&gt;0,"Profitable","Loss Making")</f>
        <v>Profitable</v>
      </c>
      <c r="M1858" s="2" t="str">
        <f t="shared" ref="M1858:M1921" si="175">IF(C1858&gt;500000000,"High Volatility","Stable Earnings")</f>
        <v>Stable Earnings</v>
      </c>
      <c r="N1858" s="2" t="str">
        <f t="shared" ref="N1858:N1921" si="176">IF(G1858&gt;=7,"High Quality",IF(G1858&gt;=4,"Moderate","Low Quality"))</f>
        <v>Low Quality</v>
      </c>
      <c r="O1858" s="4" t="str">
        <f t="shared" ref="O1858:O1921" si="177">IF(AND(F1858&gt;0,D1858&gt;0.6),"Operational Growth","Accounting Risk")</f>
        <v>Operational Growth</v>
      </c>
      <c r="P1858" s="4" t="str">
        <f t="shared" ref="P1858:P1921" si="178">IF(G1858&gt;=7,"High Quality", IF(G1858&gt;=4,"Moderate","Low Quality"))</f>
        <v>Low Quality</v>
      </c>
      <c r="Q1858" s="4" t="str">
        <f t="shared" ref="Q1858:Q1921" si="179">IF(I1858&gt;=4,"Strong Long-Term Growth",IF(I1858&gt;=2,"Moderate Growth","Weak Growth"))</f>
        <v>Moderate Growth</v>
      </c>
    </row>
    <row r="1859" spans="1:17" x14ac:dyDescent="0.35">
      <c r="A1859" s="2" t="s">
        <v>1870</v>
      </c>
      <c r="B1859" s="2">
        <v>5</v>
      </c>
      <c r="C1859" s="2">
        <v>33196822.640000001</v>
      </c>
      <c r="D1859" s="2">
        <v>1</v>
      </c>
      <c r="E1859" s="2">
        <v>17631230.050000001</v>
      </c>
      <c r="F1859" s="2">
        <v>22942909.899999999</v>
      </c>
      <c r="G1859" s="2">
        <v>2</v>
      </c>
      <c r="H1859" s="2">
        <v>2</v>
      </c>
      <c r="I1859" s="2">
        <v>3</v>
      </c>
      <c r="J1859" s="2">
        <v>2.2000000000000002</v>
      </c>
      <c r="K1859" s="2" t="s">
        <v>1268</v>
      </c>
      <c r="L1859" s="2" t="str">
        <f t="shared" si="174"/>
        <v>Profitable</v>
      </c>
      <c r="M1859" s="2" t="str">
        <f t="shared" si="175"/>
        <v>Stable Earnings</v>
      </c>
      <c r="N1859" s="2" t="str">
        <f t="shared" si="176"/>
        <v>Low Quality</v>
      </c>
      <c r="O1859" s="4" t="str">
        <f t="shared" si="177"/>
        <v>Operational Growth</v>
      </c>
      <c r="P1859" s="4" t="str">
        <f t="shared" si="178"/>
        <v>Low Quality</v>
      </c>
      <c r="Q1859" s="4" t="str">
        <f t="shared" si="179"/>
        <v>Moderate Growth</v>
      </c>
    </row>
    <row r="1860" spans="1:17" x14ac:dyDescent="0.35">
      <c r="A1860" s="2" t="s">
        <v>1871</v>
      </c>
      <c r="B1860" s="2">
        <v>5</v>
      </c>
      <c r="C1860" s="2">
        <v>40614384.159999996</v>
      </c>
      <c r="D1860" s="2">
        <v>1</v>
      </c>
      <c r="E1860" s="2">
        <v>17195042.489999998</v>
      </c>
      <c r="F1860" s="2">
        <v>22840463.800000001</v>
      </c>
      <c r="G1860" s="2">
        <v>2</v>
      </c>
      <c r="H1860" s="2">
        <v>2</v>
      </c>
      <c r="I1860" s="2">
        <v>3</v>
      </c>
      <c r="J1860" s="2">
        <v>2.2000000000000002</v>
      </c>
      <c r="K1860" s="2" t="s">
        <v>1268</v>
      </c>
      <c r="L1860" s="2" t="str">
        <f t="shared" si="174"/>
        <v>Profitable</v>
      </c>
      <c r="M1860" s="2" t="str">
        <f t="shared" si="175"/>
        <v>Stable Earnings</v>
      </c>
      <c r="N1860" s="2" t="str">
        <f t="shared" si="176"/>
        <v>Low Quality</v>
      </c>
      <c r="O1860" s="4" t="str">
        <f t="shared" si="177"/>
        <v>Operational Growth</v>
      </c>
      <c r="P1860" s="4" t="str">
        <f t="shared" si="178"/>
        <v>Low Quality</v>
      </c>
      <c r="Q1860" s="4" t="str">
        <f t="shared" si="179"/>
        <v>Moderate Growth</v>
      </c>
    </row>
    <row r="1861" spans="1:17" x14ac:dyDescent="0.35">
      <c r="A1861" s="2" t="s">
        <v>1872</v>
      </c>
      <c r="B1861" s="2">
        <v>5</v>
      </c>
      <c r="C1861" s="2">
        <v>33357404.859999999</v>
      </c>
      <c r="D1861" s="2">
        <v>1</v>
      </c>
      <c r="E1861" s="2">
        <v>25892144.629999999</v>
      </c>
      <c r="F1861" s="2">
        <v>20649054</v>
      </c>
      <c r="G1861" s="2">
        <v>2</v>
      </c>
      <c r="H1861" s="2">
        <v>2</v>
      </c>
      <c r="I1861" s="2">
        <v>3</v>
      </c>
      <c r="J1861" s="2">
        <v>2.2000000000000002</v>
      </c>
      <c r="K1861" s="2" t="s">
        <v>1268</v>
      </c>
      <c r="L1861" s="2" t="str">
        <f t="shared" si="174"/>
        <v>Profitable</v>
      </c>
      <c r="M1861" s="2" t="str">
        <f t="shared" si="175"/>
        <v>Stable Earnings</v>
      </c>
      <c r="N1861" s="2" t="str">
        <f t="shared" si="176"/>
        <v>Low Quality</v>
      </c>
      <c r="O1861" s="4" t="str">
        <f t="shared" si="177"/>
        <v>Operational Growth</v>
      </c>
      <c r="P1861" s="4" t="str">
        <f t="shared" si="178"/>
        <v>Low Quality</v>
      </c>
      <c r="Q1861" s="4" t="str">
        <f t="shared" si="179"/>
        <v>Moderate Growth</v>
      </c>
    </row>
    <row r="1862" spans="1:17" x14ac:dyDescent="0.35">
      <c r="A1862" s="2" t="s">
        <v>1873</v>
      </c>
      <c r="B1862" s="2">
        <v>5</v>
      </c>
      <c r="C1862" s="2">
        <v>118015419.2</v>
      </c>
      <c r="D1862" s="2">
        <v>1</v>
      </c>
      <c r="E1862" s="2">
        <v>37354383.729999997</v>
      </c>
      <c r="F1862" s="2">
        <v>25721742.600000001</v>
      </c>
      <c r="G1862" s="2">
        <v>2</v>
      </c>
      <c r="H1862" s="2">
        <v>2</v>
      </c>
      <c r="I1862" s="2">
        <v>3</v>
      </c>
      <c r="J1862" s="2">
        <v>2.2000000000000002</v>
      </c>
      <c r="K1862" s="2" t="s">
        <v>1268</v>
      </c>
      <c r="L1862" s="2" t="str">
        <f t="shared" si="174"/>
        <v>Profitable</v>
      </c>
      <c r="M1862" s="2" t="str">
        <f t="shared" si="175"/>
        <v>Stable Earnings</v>
      </c>
      <c r="N1862" s="2" t="str">
        <f t="shared" si="176"/>
        <v>Low Quality</v>
      </c>
      <c r="O1862" s="4" t="str">
        <f t="shared" si="177"/>
        <v>Operational Growth</v>
      </c>
      <c r="P1862" s="4" t="str">
        <f t="shared" si="178"/>
        <v>Low Quality</v>
      </c>
      <c r="Q1862" s="4" t="str">
        <f t="shared" si="179"/>
        <v>Moderate Growth</v>
      </c>
    </row>
    <row r="1863" spans="1:17" x14ac:dyDescent="0.35">
      <c r="A1863" s="2" t="s">
        <v>1874</v>
      </c>
      <c r="B1863" s="2">
        <v>5</v>
      </c>
      <c r="C1863" s="2">
        <v>15633337.640000001</v>
      </c>
      <c r="D1863" s="2">
        <v>0.8</v>
      </c>
      <c r="E1863" s="2">
        <v>21045826.23</v>
      </c>
      <c r="F1863" s="2">
        <v>25488350.399999999</v>
      </c>
      <c r="G1863" s="2">
        <v>2</v>
      </c>
      <c r="H1863" s="2">
        <v>2</v>
      </c>
      <c r="I1863" s="2">
        <v>3</v>
      </c>
      <c r="J1863" s="2">
        <v>2.2000000000000002</v>
      </c>
      <c r="K1863" s="2" t="s">
        <v>1268</v>
      </c>
      <c r="L1863" s="2" t="str">
        <f t="shared" si="174"/>
        <v>Profitable</v>
      </c>
      <c r="M1863" s="2" t="str">
        <f t="shared" si="175"/>
        <v>Stable Earnings</v>
      </c>
      <c r="N1863" s="2" t="str">
        <f t="shared" si="176"/>
        <v>Low Quality</v>
      </c>
      <c r="O1863" s="4" t="str">
        <f t="shared" si="177"/>
        <v>Operational Growth</v>
      </c>
      <c r="P1863" s="4" t="str">
        <f t="shared" si="178"/>
        <v>Low Quality</v>
      </c>
      <c r="Q1863" s="4" t="str">
        <f t="shared" si="179"/>
        <v>Moderate Growth</v>
      </c>
    </row>
    <row r="1864" spans="1:17" x14ac:dyDescent="0.35">
      <c r="A1864" s="2" t="s">
        <v>1875</v>
      </c>
      <c r="B1864" s="2">
        <v>5</v>
      </c>
      <c r="C1864" s="2">
        <v>75314755.560000002</v>
      </c>
      <c r="D1864" s="2">
        <v>1</v>
      </c>
      <c r="E1864" s="2">
        <v>20874000.949999999</v>
      </c>
      <c r="F1864" s="2">
        <v>23976119.5</v>
      </c>
      <c r="G1864" s="2">
        <v>2</v>
      </c>
      <c r="H1864" s="2">
        <v>2</v>
      </c>
      <c r="I1864" s="2">
        <v>3</v>
      </c>
      <c r="J1864" s="2">
        <v>2.2000000000000002</v>
      </c>
      <c r="K1864" s="2" t="s">
        <v>1268</v>
      </c>
      <c r="L1864" s="2" t="str">
        <f t="shared" si="174"/>
        <v>Profitable</v>
      </c>
      <c r="M1864" s="2" t="str">
        <f t="shared" si="175"/>
        <v>Stable Earnings</v>
      </c>
      <c r="N1864" s="2" t="str">
        <f t="shared" si="176"/>
        <v>Low Quality</v>
      </c>
      <c r="O1864" s="4" t="str">
        <f t="shared" si="177"/>
        <v>Operational Growth</v>
      </c>
      <c r="P1864" s="4" t="str">
        <f t="shared" si="178"/>
        <v>Low Quality</v>
      </c>
      <c r="Q1864" s="4" t="str">
        <f t="shared" si="179"/>
        <v>Moderate Growth</v>
      </c>
    </row>
    <row r="1865" spans="1:17" x14ac:dyDescent="0.35">
      <c r="A1865" s="2" t="s">
        <v>1876</v>
      </c>
      <c r="B1865" s="2">
        <v>5</v>
      </c>
      <c r="C1865" s="2">
        <v>31158729.140000001</v>
      </c>
      <c r="D1865" s="2">
        <v>1</v>
      </c>
      <c r="E1865" s="2">
        <v>16997288.699999999</v>
      </c>
      <c r="F1865" s="2">
        <v>23511439.300000001</v>
      </c>
      <c r="G1865" s="2">
        <v>2</v>
      </c>
      <c r="H1865" s="2">
        <v>2</v>
      </c>
      <c r="I1865" s="2">
        <v>3</v>
      </c>
      <c r="J1865" s="2">
        <v>2.2000000000000002</v>
      </c>
      <c r="K1865" s="2" t="s">
        <v>1268</v>
      </c>
      <c r="L1865" s="2" t="str">
        <f t="shared" si="174"/>
        <v>Profitable</v>
      </c>
      <c r="M1865" s="2" t="str">
        <f t="shared" si="175"/>
        <v>Stable Earnings</v>
      </c>
      <c r="N1865" s="2" t="str">
        <f t="shared" si="176"/>
        <v>Low Quality</v>
      </c>
      <c r="O1865" s="4" t="str">
        <f t="shared" si="177"/>
        <v>Operational Growth</v>
      </c>
      <c r="P1865" s="4" t="str">
        <f t="shared" si="178"/>
        <v>Low Quality</v>
      </c>
      <c r="Q1865" s="4" t="str">
        <f t="shared" si="179"/>
        <v>Moderate Growth</v>
      </c>
    </row>
    <row r="1866" spans="1:17" x14ac:dyDescent="0.35">
      <c r="A1866" s="2" t="s">
        <v>1877</v>
      </c>
      <c r="B1866" s="2">
        <v>5</v>
      </c>
      <c r="C1866" s="2">
        <v>6321693.1399999997</v>
      </c>
      <c r="D1866" s="2">
        <v>0.8</v>
      </c>
      <c r="E1866" s="2">
        <v>13300151.25</v>
      </c>
      <c r="F1866" s="2">
        <v>35766869.299999997</v>
      </c>
      <c r="G1866" s="2">
        <v>3</v>
      </c>
      <c r="H1866" s="2">
        <v>1</v>
      </c>
      <c r="I1866" s="2">
        <v>2</v>
      </c>
      <c r="J1866" s="2">
        <v>2.2000000000000002</v>
      </c>
      <c r="K1866" s="2" t="s">
        <v>1268</v>
      </c>
      <c r="L1866" s="2" t="str">
        <f t="shared" si="174"/>
        <v>Profitable</v>
      </c>
      <c r="M1866" s="2" t="str">
        <f t="shared" si="175"/>
        <v>Stable Earnings</v>
      </c>
      <c r="N1866" s="2" t="str">
        <f t="shared" si="176"/>
        <v>Low Quality</v>
      </c>
      <c r="O1866" s="4" t="str">
        <f t="shared" si="177"/>
        <v>Operational Growth</v>
      </c>
      <c r="P1866" s="4" t="str">
        <f t="shared" si="178"/>
        <v>Low Quality</v>
      </c>
      <c r="Q1866" s="4" t="str">
        <f t="shared" si="179"/>
        <v>Moderate Growth</v>
      </c>
    </row>
    <row r="1867" spans="1:17" x14ac:dyDescent="0.35">
      <c r="A1867" s="2" t="s">
        <v>1878</v>
      </c>
      <c r="B1867" s="2">
        <v>5</v>
      </c>
      <c r="C1867" s="2">
        <v>6582599.8200000003</v>
      </c>
      <c r="D1867" s="2">
        <v>0.6</v>
      </c>
      <c r="E1867" s="2">
        <v>12959150.390000001</v>
      </c>
      <c r="F1867" s="2">
        <v>29950411</v>
      </c>
      <c r="G1867" s="2">
        <v>3</v>
      </c>
      <c r="H1867" s="2">
        <v>1</v>
      </c>
      <c r="I1867" s="2">
        <v>2</v>
      </c>
      <c r="J1867" s="2">
        <v>2.2000000000000002</v>
      </c>
      <c r="K1867" s="2" t="s">
        <v>1268</v>
      </c>
      <c r="L1867" s="2" t="str">
        <f t="shared" si="174"/>
        <v>Profitable</v>
      </c>
      <c r="M1867" s="2" t="str">
        <f t="shared" si="175"/>
        <v>Stable Earnings</v>
      </c>
      <c r="N1867" s="2" t="str">
        <f t="shared" si="176"/>
        <v>Low Quality</v>
      </c>
      <c r="O1867" s="4" t="str">
        <f t="shared" si="177"/>
        <v>Accounting Risk</v>
      </c>
      <c r="P1867" s="4" t="str">
        <f t="shared" si="178"/>
        <v>Low Quality</v>
      </c>
      <c r="Q1867" s="4" t="str">
        <f t="shared" si="179"/>
        <v>Moderate Growth</v>
      </c>
    </row>
    <row r="1868" spans="1:17" x14ac:dyDescent="0.35">
      <c r="A1868" s="2" t="s">
        <v>1879</v>
      </c>
      <c r="B1868" s="2">
        <v>5</v>
      </c>
      <c r="C1868" s="2">
        <v>39614970.100000001</v>
      </c>
      <c r="D1868" s="2">
        <v>1</v>
      </c>
      <c r="E1868" s="2">
        <v>32708809.579999998</v>
      </c>
      <c r="F1868" s="2">
        <v>14018076.6</v>
      </c>
      <c r="G1868" s="2">
        <v>2</v>
      </c>
      <c r="H1868" s="2">
        <v>2</v>
      </c>
      <c r="I1868" s="2">
        <v>3</v>
      </c>
      <c r="J1868" s="2">
        <v>2.2000000000000002</v>
      </c>
      <c r="K1868" s="2" t="s">
        <v>1268</v>
      </c>
      <c r="L1868" s="2" t="str">
        <f t="shared" si="174"/>
        <v>Profitable</v>
      </c>
      <c r="M1868" s="2" t="str">
        <f t="shared" si="175"/>
        <v>Stable Earnings</v>
      </c>
      <c r="N1868" s="2" t="str">
        <f t="shared" si="176"/>
        <v>Low Quality</v>
      </c>
      <c r="O1868" s="4" t="str">
        <f t="shared" si="177"/>
        <v>Operational Growth</v>
      </c>
      <c r="P1868" s="4" t="str">
        <f t="shared" si="178"/>
        <v>Low Quality</v>
      </c>
      <c r="Q1868" s="4" t="str">
        <f t="shared" si="179"/>
        <v>Moderate Growth</v>
      </c>
    </row>
    <row r="1869" spans="1:17" x14ac:dyDescent="0.35">
      <c r="A1869" s="2" t="s">
        <v>1880</v>
      </c>
      <c r="B1869" s="2">
        <v>5</v>
      </c>
      <c r="C1869" s="2">
        <v>45594926.439999998</v>
      </c>
      <c r="D1869" s="2">
        <v>1</v>
      </c>
      <c r="E1869" s="2">
        <v>27877655.870000001</v>
      </c>
      <c r="F1869" s="2">
        <v>15012764.800000001</v>
      </c>
      <c r="G1869" s="2">
        <v>2</v>
      </c>
      <c r="H1869" s="2">
        <v>2</v>
      </c>
      <c r="I1869" s="2">
        <v>3</v>
      </c>
      <c r="J1869" s="2">
        <v>2.2000000000000002</v>
      </c>
      <c r="K1869" s="2" t="s">
        <v>1268</v>
      </c>
      <c r="L1869" s="2" t="str">
        <f t="shared" si="174"/>
        <v>Profitable</v>
      </c>
      <c r="M1869" s="2" t="str">
        <f t="shared" si="175"/>
        <v>Stable Earnings</v>
      </c>
      <c r="N1869" s="2" t="str">
        <f t="shared" si="176"/>
        <v>Low Quality</v>
      </c>
      <c r="O1869" s="4" t="str">
        <f t="shared" si="177"/>
        <v>Operational Growth</v>
      </c>
      <c r="P1869" s="4" t="str">
        <f t="shared" si="178"/>
        <v>Low Quality</v>
      </c>
      <c r="Q1869" s="4" t="str">
        <f t="shared" si="179"/>
        <v>Moderate Growth</v>
      </c>
    </row>
    <row r="1870" spans="1:17" x14ac:dyDescent="0.35">
      <c r="A1870" s="2" t="s">
        <v>1881</v>
      </c>
      <c r="B1870" s="2">
        <v>5</v>
      </c>
      <c r="C1870" s="2">
        <v>26953554.34</v>
      </c>
      <c r="D1870" s="2">
        <v>0.8</v>
      </c>
      <c r="E1870" s="2">
        <v>31841601.219999999</v>
      </c>
      <c r="F1870" s="2">
        <v>18910373</v>
      </c>
      <c r="G1870" s="2">
        <v>2</v>
      </c>
      <c r="H1870" s="2">
        <v>2</v>
      </c>
      <c r="I1870" s="2">
        <v>3</v>
      </c>
      <c r="J1870" s="2">
        <v>2.2000000000000002</v>
      </c>
      <c r="K1870" s="2" t="s">
        <v>1268</v>
      </c>
      <c r="L1870" s="2" t="str">
        <f t="shared" si="174"/>
        <v>Profitable</v>
      </c>
      <c r="M1870" s="2" t="str">
        <f t="shared" si="175"/>
        <v>Stable Earnings</v>
      </c>
      <c r="N1870" s="2" t="str">
        <f t="shared" si="176"/>
        <v>Low Quality</v>
      </c>
      <c r="O1870" s="4" t="str">
        <f t="shared" si="177"/>
        <v>Operational Growth</v>
      </c>
      <c r="P1870" s="4" t="str">
        <f t="shared" si="178"/>
        <v>Low Quality</v>
      </c>
      <c r="Q1870" s="4" t="str">
        <f t="shared" si="179"/>
        <v>Moderate Growth</v>
      </c>
    </row>
    <row r="1871" spans="1:17" x14ac:dyDescent="0.35">
      <c r="A1871" s="2" t="s">
        <v>1882</v>
      </c>
      <c r="B1871" s="2">
        <v>5</v>
      </c>
      <c r="C1871" s="2">
        <v>8108122.54</v>
      </c>
      <c r="D1871" s="2">
        <v>0.8</v>
      </c>
      <c r="E1871" s="2">
        <v>17403718.120000001</v>
      </c>
      <c r="F1871" s="2">
        <v>18041981.199999999</v>
      </c>
      <c r="G1871" s="2">
        <v>2</v>
      </c>
      <c r="H1871" s="2">
        <v>2</v>
      </c>
      <c r="I1871" s="2">
        <v>3</v>
      </c>
      <c r="J1871" s="2">
        <v>2.2000000000000002</v>
      </c>
      <c r="K1871" s="2" t="s">
        <v>1268</v>
      </c>
      <c r="L1871" s="2" t="str">
        <f t="shared" si="174"/>
        <v>Profitable</v>
      </c>
      <c r="M1871" s="2" t="str">
        <f t="shared" si="175"/>
        <v>Stable Earnings</v>
      </c>
      <c r="N1871" s="2" t="str">
        <f t="shared" si="176"/>
        <v>Low Quality</v>
      </c>
      <c r="O1871" s="4" t="str">
        <f t="shared" si="177"/>
        <v>Operational Growth</v>
      </c>
      <c r="P1871" s="4" t="str">
        <f t="shared" si="178"/>
        <v>Low Quality</v>
      </c>
      <c r="Q1871" s="4" t="str">
        <f t="shared" si="179"/>
        <v>Moderate Growth</v>
      </c>
    </row>
    <row r="1872" spans="1:17" x14ac:dyDescent="0.35">
      <c r="A1872" s="2" t="s">
        <v>1883</v>
      </c>
      <c r="B1872" s="2">
        <v>5</v>
      </c>
      <c r="C1872" s="2">
        <v>18414738.300000001</v>
      </c>
      <c r="D1872" s="2">
        <v>0.8</v>
      </c>
      <c r="E1872" s="2">
        <v>15685754.68</v>
      </c>
      <c r="F1872" s="2">
        <v>10458851.199999999</v>
      </c>
      <c r="G1872" s="2">
        <v>2</v>
      </c>
      <c r="H1872" s="2">
        <v>2</v>
      </c>
      <c r="I1872" s="2">
        <v>3</v>
      </c>
      <c r="J1872" s="2">
        <v>2.2000000000000002</v>
      </c>
      <c r="K1872" s="2" t="s">
        <v>1268</v>
      </c>
      <c r="L1872" s="2" t="str">
        <f t="shared" si="174"/>
        <v>Profitable</v>
      </c>
      <c r="M1872" s="2" t="str">
        <f t="shared" si="175"/>
        <v>Stable Earnings</v>
      </c>
      <c r="N1872" s="2" t="str">
        <f t="shared" si="176"/>
        <v>Low Quality</v>
      </c>
      <c r="O1872" s="4" t="str">
        <f t="shared" si="177"/>
        <v>Operational Growth</v>
      </c>
      <c r="P1872" s="4" t="str">
        <f t="shared" si="178"/>
        <v>Low Quality</v>
      </c>
      <c r="Q1872" s="4" t="str">
        <f t="shared" si="179"/>
        <v>Moderate Growth</v>
      </c>
    </row>
    <row r="1873" spans="1:17" x14ac:dyDescent="0.35">
      <c r="A1873" s="2" t="s">
        <v>1884</v>
      </c>
      <c r="B1873" s="2">
        <v>5</v>
      </c>
      <c r="C1873" s="2">
        <v>79553857.299999997</v>
      </c>
      <c r="D1873" s="2">
        <v>1</v>
      </c>
      <c r="E1873" s="2">
        <v>20029109.109999999</v>
      </c>
      <c r="F1873" s="2">
        <v>10741852</v>
      </c>
      <c r="G1873" s="2">
        <v>2</v>
      </c>
      <c r="H1873" s="2">
        <v>2</v>
      </c>
      <c r="I1873" s="2">
        <v>3</v>
      </c>
      <c r="J1873" s="2">
        <v>2.2000000000000002</v>
      </c>
      <c r="K1873" s="2" t="s">
        <v>1268</v>
      </c>
      <c r="L1873" s="2" t="str">
        <f t="shared" si="174"/>
        <v>Profitable</v>
      </c>
      <c r="M1873" s="2" t="str">
        <f t="shared" si="175"/>
        <v>Stable Earnings</v>
      </c>
      <c r="N1873" s="2" t="str">
        <f t="shared" si="176"/>
        <v>Low Quality</v>
      </c>
      <c r="O1873" s="4" t="str">
        <f t="shared" si="177"/>
        <v>Operational Growth</v>
      </c>
      <c r="P1873" s="4" t="str">
        <f t="shared" si="178"/>
        <v>Low Quality</v>
      </c>
      <c r="Q1873" s="4" t="str">
        <f t="shared" si="179"/>
        <v>Moderate Growth</v>
      </c>
    </row>
    <row r="1874" spans="1:17" x14ac:dyDescent="0.35">
      <c r="A1874" s="2" t="s">
        <v>1885</v>
      </c>
      <c r="B1874" s="2">
        <v>5</v>
      </c>
      <c r="C1874" s="2">
        <v>167811276</v>
      </c>
      <c r="D1874" s="2">
        <v>1</v>
      </c>
      <c r="E1874" s="2">
        <v>17598314.109999999</v>
      </c>
      <c r="F1874" s="2">
        <v>8613747.1999999993</v>
      </c>
      <c r="G1874" s="2">
        <v>2</v>
      </c>
      <c r="H1874" s="2">
        <v>2</v>
      </c>
      <c r="I1874" s="2">
        <v>3</v>
      </c>
      <c r="J1874" s="2">
        <v>2.2000000000000002</v>
      </c>
      <c r="K1874" s="2" t="s">
        <v>1268</v>
      </c>
      <c r="L1874" s="2" t="str">
        <f t="shared" si="174"/>
        <v>Profitable</v>
      </c>
      <c r="M1874" s="2" t="str">
        <f t="shared" si="175"/>
        <v>Stable Earnings</v>
      </c>
      <c r="N1874" s="2" t="str">
        <f t="shared" si="176"/>
        <v>Low Quality</v>
      </c>
      <c r="O1874" s="4" t="str">
        <f t="shared" si="177"/>
        <v>Operational Growth</v>
      </c>
      <c r="P1874" s="4" t="str">
        <f t="shared" si="178"/>
        <v>Low Quality</v>
      </c>
      <c r="Q1874" s="4" t="str">
        <f t="shared" si="179"/>
        <v>Moderate Growth</v>
      </c>
    </row>
    <row r="1875" spans="1:17" x14ac:dyDescent="0.35">
      <c r="A1875" s="2" t="s">
        <v>1886</v>
      </c>
      <c r="B1875" s="2">
        <v>5</v>
      </c>
      <c r="C1875" s="2">
        <v>75116826.359999999</v>
      </c>
      <c r="D1875" s="2">
        <v>1</v>
      </c>
      <c r="E1875" s="2">
        <v>32183909.98</v>
      </c>
      <c r="F1875" s="2">
        <v>8285501.7000000002</v>
      </c>
      <c r="G1875" s="2">
        <v>2</v>
      </c>
      <c r="H1875" s="2">
        <v>2</v>
      </c>
      <c r="I1875" s="2">
        <v>3</v>
      </c>
      <c r="J1875" s="2">
        <v>2.2000000000000002</v>
      </c>
      <c r="K1875" s="2" t="s">
        <v>1268</v>
      </c>
      <c r="L1875" s="2" t="str">
        <f t="shared" si="174"/>
        <v>Profitable</v>
      </c>
      <c r="M1875" s="2" t="str">
        <f t="shared" si="175"/>
        <v>Stable Earnings</v>
      </c>
      <c r="N1875" s="2" t="str">
        <f t="shared" si="176"/>
        <v>Low Quality</v>
      </c>
      <c r="O1875" s="4" t="str">
        <f t="shared" si="177"/>
        <v>Operational Growth</v>
      </c>
      <c r="P1875" s="4" t="str">
        <f t="shared" si="178"/>
        <v>Low Quality</v>
      </c>
      <c r="Q1875" s="4" t="str">
        <f t="shared" si="179"/>
        <v>Moderate Growth</v>
      </c>
    </row>
    <row r="1876" spans="1:17" x14ac:dyDescent="0.35">
      <c r="A1876" s="2" t="s">
        <v>1887</v>
      </c>
      <c r="B1876" s="2">
        <v>5</v>
      </c>
      <c r="C1876" s="2">
        <v>24020094.620000001</v>
      </c>
      <c r="D1876" s="2">
        <v>0.8</v>
      </c>
      <c r="E1876" s="2">
        <v>19038729.34</v>
      </c>
      <c r="F1876" s="2">
        <v>8207615.2000000002</v>
      </c>
      <c r="G1876" s="2">
        <v>2</v>
      </c>
      <c r="H1876" s="2">
        <v>2</v>
      </c>
      <c r="I1876" s="2">
        <v>3</v>
      </c>
      <c r="J1876" s="2">
        <v>2.2000000000000002</v>
      </c>
      <c r="K1876" s="2" t="s">
        <v>1268</v>
      </c>
      <c r="L1876" s="2" t="str">
        <f t="shared" si="174"/>
        <v>Profitable</v>
      </c>
      <c r="M1876" s="2" t="str">
        <f t="shared" si="175"/>
        <v>Stable Earnings</v>
      </c>
      <c r="N1876" s="2" t="str">
        <f t="shared" si="176"/>
        <v>Low Quality</v>
      </c>
      <c r="O1876" s="4" t="str">
        <f t="shared" si="177"/>
        <v>Operational Growth</v>
      </c>
      <c r="P1876" s="4" t="str">
        <f t="shared" si="178"/>
        <v>Low Quality</v>
      </c>
      <c r="Q1876" s="4" t="str">
        <f t="shared" si="179"/>
        <v>Moderate Growth</v>
      </c>
    </row>
    <row r="1877" spans="1:17" x14ac:dyDescent="0.35">
      <c r="A1877" s="2" t="s">
        <v>1888</v>
      </c>
      <c r="B1877" s="2">
        <v>5</v>
      </c>
      <c r="C1877" s="2">
        <v>2678292256</v>
      </c>
      <c r="D1877" s="2">
        <v>1</v>
      </c>
      <c r="E1877" s="2">
        <v>420837355.30000001</v>
      </c>
      <c r="F1877" s="2">
        <v>216530872</v>
      </c>
      <c r="G1877" s="2">
        <v>1</v>
      </c>
      <c r="H1877" s="2">
        <v>5</v>
      </c>
      <c r="I1877" s="2">
        <v>1</v>
      </c>
      <c r="J1877" s="2">
        <v>2.2000000000000002</v>
      </c>
      <c r="K1877" s="2" t="s">
        <v>1268</v>
      </c>
      <c r="L1877" s="2" t="str">
        <f t="shared" si="174"/>
        <v>Profitable</v>
      </c>
      <c r="M1877" s="2" t="str">
        <f t="shared" si="175"/>
        <v>High Volatility</v>
      </c>
      <c r="N1877" s="2" t="str">
        <f t="shared" si="176"/>
        <v>Low Quality</v>
      </c>
      <c r="O1877" s="4" t="str">
        <f t="shared" si="177"/>
        <v>Operational Growth</v>
      </c>
      <c r="P1877" s="4" t="str">
        <f t="shared" si="178"/>
        <v>Low Quality</v>
      </c>
      <c r="Q1877" s="4" t="str">
        <f t="shared" si="179"/>
        <v>Weak Growth</v>
      </c>
    </row>
    <row r="1878" spans="1:17" x14ac:dyDescent="0.35">
      <c r="A1878" s="2" t="s">
        <v>1889</v>
      </c>
      <c r="B1878" s="2">
        <v>5</v>
      </c>
      <c r="C1878" s="2">
        <v>593190513.20000005</v>
      </c>
      <c r="D1878" s="2">
        <v>1</v>
      </c>
      <c r="E1878" s="2">
        <v>337513979.19999999</v>
      </c>
      <c r="F1878" s="2">
        <v>234190426.90000001</v>
      </c>
      <c r="G1878" s="2">
        <v>1</v>
      </c>
      <c r="H1878" s="2">
        <v>5</v>
      </c>
      <c r="I1878" s="2">
        <v>1</v>
      </c>
      <c r="J1878" s="2">
        <v>2.2000000000000002</v>
      </c>
      <c r="K1878" s="2" t="s">
        <v>1268</v>
      </c>
      <c r="L1878" s="2" t="str">
        <f t="shared" si="174"/>
        <v>Profitable</v>
      </c>
      <c r="M1878" s="2" t="str">
        <f t="shared" si="175"/>
        <v>High Volatility</v>
      </c>
      <c r="N1878" s="2" t="str">
        <f t="shared" si="176"/>
        <v>Low Quality</v>
      </c>
      <c r="O1878" s="4" t="str">
        <f t="shared" si="177"/>
        <v>Operational Growth</v>
      </c>
      <c r="P1878" s="4" t="str">
        <f t="shared" si="178"/>
        <v>Low Quality</v>
      </c>
      <c r="Q1878" s="4" t="str">
        <f t="shared" si="179"/>
        <v>Weak Growth</v>
      </c>
    </row>
    <row r="1879" spans="1:17" x14ac:dyDescent="0.35">
      <c r="A1879" s="2" t="s">
        <v>1890</v>
      </c>
      <c r="B1879" s="2">
        <v>5</v>
      </c>
      <c r="C1879" s="2">
        <v>4412463958</v>
      </c>
      <c r="D1879" s="2">
        <v>1</v>
      </c>
      <c r="E1879" s="2">
        <v>2501530402</v>
      </c>
      <c r="F1879" s="2">
        <v>369576981</v>
      </c>
      <c r="G1879" s="2">
        <v>1</v>
      </c>
      <c r="H1879" s="2">
        <v>5</v>
      </c>
      <c r="I1879" s="2">
        <v>1</v>
      </c>
      <c r="J1879" s="2">
        <v>2.2000000000000002</v>
      </c>
      <c r="K1879" s="2" t="s">
        <v>1268</v>
      </c>
      <c r="L1879" s="2" t="str">
        <f t="shared" si="174"/>
        <v>Profitable</v>
      </c>
      <c r="M1879" s="2" t="str">
        <f t="shared" si="175"/>
        <v>High Volatility</v>
      </c>
      <c r="N1879" s="2" t="str">
        <f t="shared" si="176"/>
        <v>Low Quality</v>
      </c>
      <c r="O1879" s="4" t="str">
        <f t="shared" si="177"/>
        <v>Operational Growth</v>
      </c>
      <c r="P1879" s="4" t="str">
        <f t="shared" si="178"/>
        <v>Low Quality</v>
      </c>
      <c r="Q1879" s="4" t="str">
        <f t="shared" si="179"/>
        <v>Weak Growth</v>
      </c>
    </row>
    <row r="1880" spans="1:17" x14ac:dyDescent="0.35">
      <c r="A1880" s="2" t="s">
        <v>1891</v>
      </c>
      <c r="B1880" s="2">
        <v>5</v>
      </c>
      <c r="C1880" s="2">
        <v>2315953603</v>
      </c>
      <c r="D1880" s="2">
        <v>1</v>
      </c>
      <c r="E1880" s="2">
        <v>942319200.5</v>
      </c>
      <c r="F1880" s="2">
        <v>364251084</v>
      </c>
      <c r="G1880" s="2">
        <v>1</v>
      </c>
      <c r="H1880" s="2">
        <v>5</v>
      </c>
      <c r="I1880" s="2">
        <v>1</v>
      </c>
      <c r="J1880" s="2">
        <v>2.2000000000000002</v>
      </c>
      <c r="K1880" s="2" t="s">
        <v>1268</v>
      </c>
      <c r="L1880" s="2" t="str">
        <f t="shared" si="174"/>
        <v>Profitable</v>
      </c>
      <c r="M1880" s="2" t="str">
        <f t="shared" si="175"/>
        <v>High Volatility</v>
      </c>
      <c r="N1880" s="2" t="str">
        <f t="shared" si="176"/>
        <v>Low Quality</v>
      </c>
      <c r="O1880" s="4" t="str">
        <f t="shared" si="177"/>
        <v>Operational Growth</v>
      </c>
      <c r="P1880" s="4" t="str">
        <f t="shared" si="178"/>
        <v>Low Quality</v>
      </c>
      <c r="Q1880" s="4" t="str">
        <f t="shared" si="179"/>
        <v>Weak Growth</v>
      </c>
    </row>
    <row r="1881" spans="1:17" x14ac:dyDescent="0.35">
      <c r="A1881" s="2" t="s">
        <v>1892</v>
      </c>
      <c r="B1881" s="2">
        <v>5</v>
      </c>
      <c r="C1881" s="2">
        <v>801392347.89999998</v>
      </c>
      <c r="D1881" s="2">
        <v>1</v>
      </c>
      <c r="E1881" s="2">
        <v>565578443.89999998</v>
      </c>
      <c r="F1881" s="2">
        <v>341703743.5</v>
      </c>
      <c r="G1881" s="2">
        <v>1</v>
      </c>
      <c r="H1881" s="2">
        <v>5</v>
      </c>
      <c r="I1881" s="2">
        <v>1</v>
      </c>
      <c r="J1881" s="2">
        <v>2.2000000000000002</v>
      </c>
      <c r="K1881" s="2" t="s">
        <v>1268</v>
      </c>
      <c r="L1881" s="2" t="str">
        <f t="shared" si="174"/>
        <v>Profitable</v>
      </c>
      <c r="M1881" s="2" t="str">
        <f t="shared" si="175"/>
        <v>High Volatility</v>
      </c>
      <c r="N1881" s="2" t="str">
        <f t="shared" si="176"/>
        <v>Low Quality</v>
      </c>
      <c r="O1881" s="4" t="str">
        <f t="shared" si="177"/>
        <v>Operational Growth</v>
      </c>
      <c r="P1881" s="4" t="str">
        <f t="shared" si="178"/>
        <v>Low Quality</v>
      </c>
      <c r="Q1881" s="4" t="str">
        <f t="shared" si="179"/>
        <v>Weak Growth</v>
      </c>
    </row>
    <row r="1882" spans="1:17" x14ac:dyDescent="0.35">
      <c r="A1882" s="2" t="s">
        <v>1893</v>
      </c>
      <c r="B1882" s="2">
        <v>5</v>
      </c>
      <c r="C1882" s="2">
        <v>1988494878</v>
      </c>
      <c r="D1882" s="2">
        <v>1</v>
      </c>
      <c r="E1882" s="2">
        <v>386218972.19999999</v>
      </c>
      <c r="F1882" s="2">
        <v>433848908</v>
      </c>
      <c r="G1882" s="2">
        <v>1</v>
      </c>
      <c r="H1882" s="2">
        <v>5</v>
      </c>
      <c r="I1882" s="2">
        <v>1</v>
      </c>
      <c r="J1882" s="2">
        <v>2.2000000000000002</v>
      </c>
      <c r="K1882" s="2" t="s">
        <v>1268</v>
      </c>
      <c r="L1882" s="2" t="str">
        <f t="shared" si="174"/>
        <v>Profitable</v>
      </c>
      <c r="M1882" s="2" t="str">
        <f t="shared" si="175"/>
        <v>High Volatility</v>
      </c>
      <c r="N1882" s="2" t="str">
        <f t="shared" si="176"/>
        <v>Low Quality</v>
      </c>
      <c r="O1882" s="4" t="str">
        <f t="shared" si="177"/>
        <v>Operational Growth</v>
      </c>
      <c r="P1882" s="4" t="str">
        <f t="shared" si="178"/>
        <v>Low Quality</v>
      </c>
      <c r="Q1882" s="4" t="str">
        <f t="shared" si="179"/>
        <v>Weak Growth</v>
      </c>
    </row>
    <row r="1883" spans="1:17" x14ac:dyDescent="0.35">
      <c r="A1883" s="2" t="s">
        <v>1894</v>
      </c>
      <c r="B1883" s="2">
        <v>5</v>
      </c>
      <c r="C1883" s="2">
        <v>2049138640</v>
      </c>
      <c r="D1883" s="2">
        <v>1</v>
      </c>
      <c r="E1883" s="2">
        <v>406370951.19999999</v>
      </c>
      <c r="F1883" s="2">
        <v>429579753</v>
      </c>
      <c r="G1883" s="2">
        <v>1</v>
      </c>
      <c r="H1883" s="2">
        <v>5</v>
      </c>
      <c r="I1883" s="2">
        <v>1</v>
      </c>
      <c r="J1883" s="2">
        <v>2.2000000000000002</v>
      </c>
      <c r="K1883" s="2" t="s">
        <v>1268</v>
      </c>
      <c r="L1883" s="2" t="str">
        <f t="shared" si="174"/>
        <v>Profitable</v>
      </c>
      <c r="M1883" s="2" t="str">
        <f t="shared" si="175"/>
        <v>High Volatility</v>
      </c>
      <c r="N1883" s="2" t="str">
        <f t="shared" si="176"/>
        <v>Low Quality</v>
      </c>
      <c r="O1883" s="4" t="str">
        <f t="shared" si="177"/>
        <v>Operational Growth</v>
      </c>
      <c r="P1883" s="4" t="str">
        <f t="shared" si="178"/>
        <v>Low Quality</v>
      </c>
      <c r="Q1883" s="4" t="str">
        <f t="shared" si="179"/>
        <v>Weak Growth</v>
      </c>
    </row>
    <row r="1884" spans="1:17" x14ac:dyDescent="0.35">
      <c r="A1884" s="2" t="s">
        <v>1895</v>
      </c>
      <c r="B1884" s="2">
        <v>5</v>
      </c>
      <c r="C1884" s="2">
        <v>454266391.30000001</v>
      </c>
      <c r="D1884" s="2">
        <v>1</v>
      </c>
      <c r="E1884" s="2">
        <v>331408202.10000002</v>
      </c>
      <c r="F1884" s="2">
        <v>391743172.30000001</v>
      </c>
      <c r="G1884" s="2">
        <v>1</v>
      </c>
      <c r="H1884" s="2">
        <v>5</v>
      </c>
      <c r="I1884" s="2">
        <v>1</v>
      </c>
      <c r="J1884" s="2">
        <v>2.2000000000000002</v>
      </c>
      <c r="K1884" s="2" t="s">
        <v>1268</v>
      </c>
      <c r="L1884" s="2" t="str">
        <f t="shared" si="174"/>
        <v>Profitable</v>
      </c>
      <c r="M1884" s="2" t="str">
        <f t="shared" si="175"/>
        <v>Stable Earnings</v>
      </c>
      <c r="N1884" s="2" t="str">
        <f t="shared" si="176"/>
        <v>Low Quality</v>
      </c>
      <c r="O1884" s="4" t="str">
        <f t="shared" si="177"/>
        <v>Operational Growth</v>
      </c>
      <c r="P1884" s="4" t="str">
        <f t="shared" si="178"/>
        <v>Low Quality</v>
      </c>
      <c r="Q1884" s="4" t="str">
        <f t="shared" si="179"/>
        <v>Weak Growth</v>
      </c>
    </row>
    <row r="1885" spans="1:17" x14ac:dyDescent="0.35">
      <c r="A1885" s="2" t="s">
        <v>1896</v>
      </c>
      <c r="B1885" s="2">
        <v>5</v>
      </c>
      <c r="C1885" s="2">
        <v>962894756.10000002</v>
      </c>
      <c r="D1885" s="2">
        <v>1</v>
      </c>
      <c r="E1885" s="2">
        <v>360043383.10000002</v>
      </c>
      <c r="F1885" s="2">
        <v>269708746.39999998</v>
      </c>
      <c r="G1885" s="2">
        <v>1</v>
      </c>
      <c r="H1885" s="2">
        <v>5</v>
      </c>
      <c r="I1885" s="2">
        <v>1</v>
      </c>
      <c r="J1885" s="2">
        <v>2.2000000000000002</v>
      </c>
      <c r="K1885" s="2" t="s">
        <v>1268</v>
      </c>
      <c r="L1885" s="2" t="str">
        <f t="shared" si="174"/>
        <v>Profitable</v>
      </c>
      <c r="M1885" s="2" t="str">
        <f t="shared" si="175"/>
        <v>High Volatility</v>
      </c>
      <c r="N1885" s="2" t="str">
        <f t="shared" si="176"/>
        <v>Low Quality</v>
      </c>
      <c r="O1885" s="4" t="str">
        <f t="shared" si="177"/>
        <v>Operational Growth</v>
      </c>
      <c r="P1885" s="4" t="str">
        <f t="shared" si="178"/>
        <v>Low Quality</v>
      </c>
      <c r="Q1885" s="4" t="str">
        <f t="shared" si="179"/>
        <v>Weak Growth</v>
      </c>
    </row>
    <row r="1886" spans="1:17" x14ac:dyDescent="0.35">
      <c r="A1886" s="2" t="s">
        <v>1897</v>
      </c>
      <c r="B1886" s="2">
        <v>5</v>
      </c>
      <c r="C1886" s="2">
        <v>1520300336</v>
      </c>
      <c r="D1886" s="2">
        <v>1</v>
      </c>
      <c r="E1886" s="2">
        <v>502391147</v>
      </c>
      <c r="F1886" s="2">
        <v>300528160</v>
      </c>
      <c r="G1886" s="2">
        <v>1</v>
      </c>
      <c r="H1886" s="2">
        <v>5</v>
      </c>
      <c r="I1886" s="2">
        <v>1</v>
      </c>
      <c r="J1886" s="2">
        <v>2.2000000000000002</v>
      </c>
      <c r="K1886" s="2" t="s">
        <v>1268</v>
      </c>
      <c r="L1886" s="2" t="str">
        <f t="shared" si="174"/>
        <v>Profitable</v>
      </c>
      <c r="M1886" s="2" t="str">
        <f t="shared" si="175"/>
        <v>High Volatility</v>
      </c>
      <c r="N1886" s="2" t="str">
        <f t="shared" si="176"/>
        <v>Low Quality</v>
      </c>
      <c r="O1886" s="4" t="str">
        <f t="shared" si="177"/>
        <v>Operational Growth</v>
      </c>
      <c r="P1886" s="4" t="str">
        <f t="shared" si="178"/>
        <v>Low Quality</v>
      </c>
      <c r="Q1886" s="4" t="str">
        <f t="shared" si="179"/>
        <v>Weak Growth</v>
      </c>
    </row>
    <row r="1887" spans="1:17" x14ac:dyDescent="0.35">
      <c r="A1887" s="2" t="s">
        <v>1898</v>
      </c>
      <c r="B1887" s="2">
        <v>5</v>
      </c>
      <c r="C1887" s="2">
        <v>3544060245</v>
      </c>
      <c r="D1887" s="2">
        <v>1</v>
      </c>
      <c r="E1887" s="2">
        <v>521051310.5</v>
      </c>
      <c r="F1887" s="2">
        <v>302997317</v>
      </c>
      <c r="G1887" s="2">
        <v>1</v>
      </c>
      <c r="H1887" s="2">
        <v>5</v>
      </c>
      <c r="I1887" s="2">
        <v>1</v>
      </c>
      <c r="J1887" s="2">
        <v>2.2000000000000002</v>
      </c>
      <c r="K1887" s="2" t="s">
        <v>1268</v>
      </c>
      <c r="L1887" s="2" t="str">
        <f t="shared" si="174"/>
        <v>Profitable</v>
      </c>
      <c r="M1887" s="2" t="str">
        <f t="shared" si="175"/>
        <v>High Volatility</v>
      </c>
      <c r="N1887" s="2" t="str">
        <f t="shared" si="176"/>
        <v>Low Quality</v>
      </c>
      <c r="O1887" s="4" t="str">
        <f t="shared" si="177"/>
        <v>Operational Growth</v>
      </c>
      <c r="P1887" s="4" t="str">
        <f t="shared" si="178"/>
        <v>Low Quality</v>
      </c>
      <c r="Q1887" s="4" t="str">
        <f t="shared" si="179"/>
        <v>Weak Growth</v>
      </c>
    </row>
    <row r="1888" spans="1:17" x14ac:dyDescent="0.35">
      <c r="A1888" s="2" t="s">
        <v>1899</v>
      </c>
      <c r="B1888" s="2">
        <v>5</v>
      </c>
      <c r="C1888" s="2">
        <v>651644445.89999998</v>
      </c>
      <c r="D1888" s="2">
        <v>1</v>
      </c>
      <c r="E1888" s="2">
        <v>443087653.69999999</v>
      </c>
      <c r="F1888" s="2">
        <v>534060895</v>
      </c>
      <c r="G1888" s="2">
        <v>1</v>
      </c>
      <c r="H1888" s="2">
        <v>5</v>
      </c>
      <c r="I1888" s="2">
        <v>1</v>
      </c>
      <c r="J1888" s="2">
        <v>2.2000000000000002</v>
      </c>
      <c r="K1888" s="2" t="s">
        <v>1268</v>
      </c>
      <c r="L1888" s="2" t="str">
        <f t="shared" si="174"/>
        <v>Profitable</v>
      </c>
      <c r="M1888" s="2" t="str">
        <f t="shared" si="175"/>
        <v>High Volatility</v>
      </c>
      <c r="N1888" s="2" t="str">
        <f t="shared" si="176"/>
        <v>Low Quality</v>
      </c>
      <c r="O1888" s="4" t="str">
        <f t="shared" si="177"/>
        <v>Operational Growth</v>
      </c>
      <c r="P1888" s="4" t="str">
        <f t="shared" si="178"/>
        <v>Low Quality</v>
      </c>
      <c r="Q1888" s="4" t="str">
        <f t="shared" si="179"/>
        <v>Weak Growth</v>
      </c>
    </row>
    <row r="1889" spans="1:17" x14ac:dyDescent="0.35">
      <c r="A1889" s="2" t="s">
        <v>1900</v>
      </c>
      <c r="B1889" s="2">
        <v>5</v>
      </c>
      <c r="C1889" s="2">
        <v>571908549.29999995</v>
      </c>
      <c r="D1889" s="2">
        <v>1</v>
      </c>
      <c r="E1889" s="2">
        <v>392558308.10000002</v>
      </c>
      <c r="F1889" s="2">
        <v>507841218.10000002</v>
      </c>
      <c r="G1889" s="2">
        <v>1</v>
      </c>
      <c r="H1889" s="2">
        <v>5</v>
      </c>
      <c r="I1889" s="2">
        <v>1</v>
      </c>
      <c r="J1889" s="2">
        <v>2.2000000000000002</v>
      </c>
      <c r="K1889" s="2" t="s">
        <v>1268</v>
      </c>
      <c r="L1889" s="2" t="str">
        <f t="shared" si="174"/>
        <v>Profitable</v>
      </c>
      <c r="M1889" s="2" t="str">
        <f t="shared" si="175"/>
        <v>High Volatility</v>
      </c>
      <c r="N1889" s="2" t="str">
        <f t="shared" si="176"/>
        <v>Low Quality</v>
      </c>
      <c r="O1889" s="4" t="str">
        <f t="shared" si="177"/>
        <v>Operational Growth</v>
      </c>
      <c r="P1889" s="4" t="str">
        <f t="shared" si="178"/>
        <v>Low Quality</v>
      </c>
      <c r="Q1889" s="4" t="str">
        <f t="shared" si="179"/>
        <v>Weak Growth</v>
      </c>
    </row>
    <row r="1890" spans="1:17" x14ac:dyDescent="0.35">
      <c r="A1890" s="2" t="s">
        <v>1901</v>
      </c>
      <c r="B1890" s="2">
        <v>5</v>
      </c>
      <c r="C1890" s="2">
        <v>601157788.5</v>
      </c>
      <c r="D1890" s="2">
        <v>1</v>
      </c>
      <c r="E1890" s="2">
        <v>358348804.80000001</v>
      </c>
      <c r="F1890" s="2">
        <v>512470109.80000001</v>
      </c>
      <c r="G1890" s="2">
        <v>1</v>
      </c>
      <c r="H1890" s="2">
        <v>5</v>
      </c>
      <c r="I1890" s="2">
        <v>1</v>
      </c>
      <c r="J1890" s="2">
        <v>2.2000000000000002</v>
      </c>
      <c r="K1890" s="2" t="s">
        <v>1268</v>
      </c>
      <c r="L1890" s="2" t="str">
        <f t="shared" si="174"/>
        <v>Profitable</v>
      </c>
      <c r="M1890" s="2" t="str">
        <f t="shared" si="175"/>
        <v>High Volatility</v>
      </c>
      <c r="N1890" s="2" t="str">
        <f t="shared" si="176"/>
        <v>Low Quality</v>
      </c>
      <c r="O1890" s="4" t="str">
        <f t="shared" si="177"/>
        <v>Operational Growth</v>
      </c>
      <c r="P1890" s="4" t="str">
        <f t="shared" si="178"/>
        <v>Low Quality</v>
      </c>
      <c r="Q1890" s="4" t="str">
        <f t="shared" si="179"/>
        <v>Weak Growth</v>
      </c>
    </row>
    <row r="1891" spans="1:17" x14ac:dyDescent="0.35">
      <c r="A1891" s="2" t="s">
        <v>1902</v>
      </c>
      <c r="B1891" s="2">
        <v>5</v>
      </c>
      <c r="C1891" s="2">
        <v>1611427799</v>
      </c>
      <c r="D1891" s="2">
        <v>1</v>
      </c>
      <c r="E1891" s="2">
        <v>1170420518</v>
      </c>
      <c r="F1891" s="2">
        <v>470825670.5</v>
      </c>
      <c r="G1891" s="2">
        <v>1</v>
      </c>
      <c r="H1891" s="2">
        <v>5</v>
      </c>
      <c r="I1891" s="2">
        <v>1</v>
      </c>
      <c r="J1891" s="2">
        <v>2.2000000000000002</v>
      </c>
      <c r="K1891" s="2" t="s">
        <v>1268</v>
      </c>
      <c r="L1891" s="2" t="str">
        <f t="shared" si="174"/>
        <v>Profitable</v>
      </c>
      <c r="M1891" s="2" t="str">
        <f t="shared" si="175"/>
        <v>High Volatility</v>
      </c>
      <c r="N1891" s="2" t="str">
        <f t="shared" si="176"/>
        <v>Low Quality</v>
      </c>
      <c r="O1891" s="4" t="str">
        <f t="shared" si="177"/>
        <v>Operational Growth</v>
      </c>
      <c r="P1891" s="4" t="str">
        <f t="shared" si="178"/>
        <v>Low Quality</v>
      </c>
      <c r="Q1891" s="4" t="str">
        <f t="shared" si="179"/>
        <v>Weak Growth</v>
      </c>
    </row>
    <row r="1892" spans="1:17" x14ac:dyDescent="0.35">
      <c r="A1892" s="2" t="s">
        <v>1903</v>
      </c>
      <c r="B1892" s="2">
        <v>5</v>
      </c>
      <c r="C1892" s="2">
        <v>926738289.29999995</v>
      </c>
      <c r="D1892" s="2">
        <v>1</v>
      </c>
      <c r="E1892" s="2">
        <v>488205557.80000001</v>
      </c>
      <c r="F1892" s="2">
        <v>589632704.5</v>
      </c>
      <c r="G1892" s="2">
        <v>1</v>
      </c>
      <c r="H1892" s="2">
        <v>5</v>
      </c>
      <c r="I1892" s="2">
        <v>1</v>
      </c>
      <c r="J1892" s="2">
        <v>2.2000000000000002</v>
      </c>
      <c r="K1892" s="2" t="s">
        <v>1268</v>
      </c>
      <c r="L1892" s="2" t="str">
        <f t="shared" si="174"/>
        <v>Profitable</v>
      </c>
      <c r="M1892" s="2" t="str">
        <f t="shared" si="175"/>
        <v>High Volatility</v>
      </c>
      <c r="N1892" s="2" t="str">
        <f t="shared" si="176"/>
        <v>Low Quality</v>
      </c>
      <c r="O1892" s="4" t="str">
        <f t="shared" si="177"/>
        <v>Operational Growth</v>
      </c>
      <c r="P1892" s="4" t="str">
        <f t="shared" si="178"/>
        <v>Low Quality</v>
      </c>
      <c r="Q1892" s="4" t="str">
        <f t="shared" si="179"/>
        <v>Weak Growth</v>
      </c>
    </row>
    <row r="1893" spans="1:17" x14ac:dyDescent="0.35">
      <c r="A1893" s="2" t="s">
        <v>1904</v>
      </c>
      <c r="B1893" s="2">
        <v>5</v>
      </c>
      <c r="C1893" s="2">
        <v>2532724508</v>
      </c>
      <c r="D1893" s="2">
        <v>1</v>
      </c>
      <c r="E1893" s="2">
        <v>833028301.5</v>
      </c>
      <c r="F1893" s="2">
        <v>580392322</v>
      </c>
      <c r="G1893" s="2">
        <v>1</v>
      </c>
      <c r="H1893" s="2">
        <v>5</v>
      </c>
      <c r="I1893" s="2">
        <v>1</v>
      </c>
      <c r="J1893" s="2">
        <v>2.2000000000000002</v>
      </c>
      <c r="K1893" s="2" t="s">
        <v>1268</v>
      </c>
      <c r="L1893" s="2" t="str">
        <f t="shared" si="174"/>
        <v>Profitable</v>
      </c>
      <c r="M1893" s="2" t="str">
        <f t="shared" si="175"/>
        <v>High Volatility</v>
      </c>
      <c r="N1893" s="2" t="str">
        <f t="shared" si="176"/>
        <v>Low Quality</v>
      </c>
      <c r="O1893" s="4" t="str">
        <f t="shared" si="177"/>
        <v>Operational Growth</v>
      </c>
      <c r="P1893" s="4" t="str">
        <f t="shared" si="178"/>
        <v>Low Quality</v>
      </c>
      <c r="Q1893" s="4" t="str">
        <f t="shared" si="179"/>
        <v>Weak Growth</v>
      </c>
    </row>
    <row r="1894" spans="1:17" x14ac:dyDescent="0.35">
      <c r="A1894" s="2" t="s">
        <v>1905</v>
      </c>
      <c r="B1894" s="2">
        <v>5</v>
      </c>
      <c r="C1894" s="2">
        <v>478284870</v>
      </c>
      <c r="D1894" s="2">
        <v>1</v>
      </c>
      <c r="E1894" s="2">
        <v>331396002.60000002</v>
      </c>
      <c r="F1894" s="2">
        <v>574122335.20000005</v>
      </c>
      <c r="G1894" s="2">
        <v>1</v>
      </c>
      <c r="H1894" s="2">
        <v>5</v>
      </c>
      <c r="I1894" s="2">
        <v>1</v>
      </c>
      <c r="J1894" s="2">
        <v>2.2000000000000002</v>
      </c>
      <c r="K1894" s="2" t="s">
        <v>1268</v>
      </c>
      <c r="L1894" s="2" t="str">
        <f t="shared" si="174"/>
        <v>Profitable</v>
      </c>
      <c r="M1894" s="2" t="str">
        <f t="shared" si="175"/>
        <v>Stable Earnings</v>
      </c>
      <c r="N1894" s="2" t="str">
        <f t="shared" si="176"/>
        <v>Low Quality</v>
      </c>
      <c r="O1894" s="4" t="str">
        <f t="shared" si="177"/>
        <v>Operational Growth</v>
      </c>
      <c r="P1894" s="4" t="str">
        <f t="shared" si="178"/>
        <v>Low Quality</v>
      </c>
      <c r="Q1894" s="4" t="str">
        <f t="shared" si="179"/>
        <v>Weak Growth</v>
      </c>
    </row>
    <row r="1895" spans="1:17" x14ac:dyDescent="0.35">
      <c r="A1895" s="2" t="s">
        <v>1906</v>
      </c>
      <c r="B1895" s="2">
        <v>5</v>
      </c>
      <c r="C1895" s="2">
        <v>539617592</v>
      </c>
      <c r="D1895" s="2">
        <v>1</v>
      </c>
      <c r="E1895" s="2">
        <v>457468105.69999999</v>
      </c>
      <c r="F1895" s="2">
        <v>681610156.5</v>
      </c>
      <c r="G1895" s="2">
        <v>1</v>
      </c>
      <c r="H1895" s="2">
        <v>5</v>
      </c>
      <c r="I1895" s="2">
        <v>1</v>
      </c>
      <c r="J1895" s="2">
        <v>2.2000000000000002</v>
      </c>
      <c r="K1895" s="2" t="s">
        <v>1268</v>
      </c>
      <c r="L1895" s="2" t="str">
        <f t="shared" si="174"/>
        <v>Profitable</v>
      </c>
      <c r="M1895" s="2" t="str">
        <f t="shared" si="175"/>
        <v>High Volatility</v>
      </c>
      <c r="N1895" s="2" t="str">
        <f t="shared" si="176"/>
        <v>Low Quality</v>
      </c>
      <c r="O1895" s="4" t="str">
        <f t="shared" si="177"/>
        <v>Operational Growth</v>
      </c>
      <c r="P1895" s="4" t="str">
        <f t="shared" si="178"/>
        <v>Low Quality</v>
      </c>
      <c r="Q1895" s="4" t="str">
        <f t="shared" si="179"/>
        <v>Weak Growth</v>
      </c>
    </row>
    <row r="1896" spans="1:17" x14ac:dyDescent="0.35">
      <c r="A1896" s="2" t="s">
        <v>1907</v>
      </c>
      <c r="B1896" s="2">
        <v>5</v>
      </c>
      <c r="C1896" s="2">
        <v>595551463.70000005</v>
      </c>
      <c r="D1896" s="2">
        <v>1</v>
      </c>
      <c r="E1896" s="2">
        <v>430458607.39999998</v>
      </c>
      <c r="F1896" s="2">
        <v>661950686.20000005</v>
      </c>
      <c r="G1896" s="2">
        <v>1</v>
      </c>
      <c r="H1896" s="2">
        <v>5</v>
      </c>
      <c r="I1896" s="2">
        <v>1</v>
      </c>
      <c r="J1896" s="2">
        <v>2.2000000000000002</v>
      </c>
      <c r="K1896" s="2" t="s">
        <v>1268</v>
      </c>
      <c r="L1896" s="2" t="str">
        <f t="shared" si="174"/>
        <v>Profitable</v>
      </c>
      <c r="M1896" s="2" t="str">
        <f t="shared" si="175"/>
        <v>High Volatility</v>
      </c>
      <c r="N1896" s="2" t="str">
        <f t="shared" si="176"/>
        <v>Low Quality</v>
      </c>
      <c r="O1896" s="4" t="str">
        <f t="shared" si="177"/>
        <v>Operational Growth</v>
      </c>
      <c r="P1896" s="4" t="str">
        <f t="shared" si="178"/>
        <v>Low Quality</v>
      </c>
      <c r="Q1896" s="4" t="str">
        <f t="shared" si="179"/>
        <v>Weak Growth</v>
      </c>
    </row>
    <row r="1897" spans="1:17" x14ac:dyDescent="0.35">
      <c r="A1897" s="2" t="s">
        <v>1908</v>
      </c>
      <c r="B1897" s="2">
        <v>5</v>
      </c>
      <c r="C1897" s="2">
        <v>881669752</v>
      </c>
      <c r="D1897" s="2">
        <v>1</v>
      </c>
      <c r="E1897" s="2">
        <v>492887212.69999999</v>
      </c>
      <c r="F1897" s="2">
        <v>661435920.39999998</v>
      </c>
      <c r="G1897" s="2">
        <v>1</v>
      </c>
      <c r="H1897" s="2">
        <v>5</v>
      </c>
      <c r="I1897" s="2">
        <v>1</v>
      </c>
      <c r="J1897" s="2">
        <v>2.2000000000000002</v>
      </c>
      <c r="K1897" s="2" t="s">
        <v>1268</v>
      </c>
      <c r="L1897" s="2" t="str">
        <f t="shared" si="174"/>
        <v>Profitable</v>
      </c>
      <c r="M1897" s="2" t="str">
        <f t="shared" si="175"/>
        <v>High Volatility</v>
      </c>
      <c r="N1897" s="2" t="str">
        <f t="shared" si="176"/>
        <v>Low Quality</v>
      </c>
      <c r="O1897" s="4" t="str">
        <f t="shared" si="177"/>
        <v>Operational Growth</v>
      </c>
      <c r="P1897" s="4" t="str">
        <f t="shared" si="178"/>
        <v>Low Quality</v>
      </c>
      <c r="Q1897" s="4" t="str">
        <f t="shared" si="179"/>
        <v>Weak Growth</v>
      </c>
    </row>
    <row r="1898" spans="1:17" x14ac:dyDescent="0.35">
      <c r="A1898" s="2" t="s">
        <v>1909</v>
      </c>
      <c r="B1898" s="2">
        <v>5</v>
      </c>
      <c r="C1898" s="2">
        <v>720646726.89999998</v>
      </c>
      <c r="D1898" s="2">
        <v>1</v>
      </c>
      <c r="E1898" s="2">
        <v>360494006</v>
      </c>
      <c r="F1898" s="2">
        <v>661047742.29999995</v>
      </c>
      <c r="G1898" s="2">
        <v>1</v>
      </c>
      <c r="H1898" s="2">
        <v>5</v>
      </c>
      <c r="I1898" s="2">
        <v>1</v>
      </c>
      <c r="J1898" s="2">
        <v>2.2000000000000002</v>
      </c>
      <c r="K1898" s="2" t="s">
        <v>1268</v>
      </c>
      <c r="L1898" s="2" t="str">
        <f t="shared" si="174"/>
        <v>Profitable</v>
      </c>
      <c r="M1898" s="2" t="str">
        <f t="shared" si="175"/>
        <v>High Volatility</v>
      </c>
      <c r="N1898" s="2" t="str">
        <f t="shared" si="176"/>
        <v>Low Quality</v>
      </c>
      <c r="O1898" s="4" t="str">
        <f t="shared" si="177"/>
        <v>Operational Growth</v>
      </c>
      <c r="P1898" s="4" t="str">
        <f t="shared" si="178"/>
        <v>Low Quality</v>
      </c>
      <c r="Q1898" s="4" t="str">
        <f t="shared" si="179"/>
        <v>Weak Growth</v>
      </c>
    </row>
    <row r="1899" spans="1:17" x14ac:dyDescent="0.35">
      <c r="A1899" s="2" t="s">
        <v>1910</v>
      </c>
      <c r="B1899" s="2">
        <v>5</v>
      </c>
      <c r="C1899" s="2">
        <v>803531959.60000002</v>
      </c>
      <c r="D1899" s="2">
        <v>1</v>
      </c>
      <c r="E1899" s="2">
        <v>417463632</v>
      </c>
      <c r="F1899" s="2">
        <v>708935272.10000002</v>
      </c>
      <c r="G1899" s="2">
        <v>1</v>
      </c>
      <c r="H1899" s="2">
        <v>5</v>
      </c>
      <c r="I1899" s="2">
        <v>1</v>
      </c>
      <c r="J1899" s="2">
        <v>2.2000000000000002</v>
      </c>
      <c r="K1899" s="2" t="s">
        <v>1268</v>
      </c>
      <c r="L1899" s="2" t="str">
        <f t="shared" si="174"/>
        <v>Profitable</v>
      </c>
      <c r="M1899" s="2" t="str">
        <f t="shared" si="175"/>
        <v>High Volatility</v>
      </c>
      <c r="N1899" s="2" t="str">
        <f t="shared" si="176"/>
        <v>Low Quality</v>
      </c>
      <c r="O1899" s="4" t="str">
        <f t="shared" si="177"/>
        <v>Operational Growth</v>
      </c>
      <c r="P1899" s="4" t="str">
        <f t="shared" si="178"/>
        <v>Low Quality</v>
      </c>
      <c r="Q1899" s="4" t="str">
        <f t="shared" si="179"/>
        <v>Weak Growth</v>
      </c>
    </row>
    <row r="1900" spans="1:17" x14ac:dyDescent="0.35">
      <c r="A1900" s="2" t="s">
        <v>1911</v>
      </c>
      <c r="B1900" s="2">
        <v>5</v>
      </c>
      <c r="C1900" s="2">
        <v>6531970298</v>
      </c>
      <c r="D1900" s="2">
        <v>1</v>
      </c>
      <c r="E1900" s="2">
        <v>522263724.69999999</v>
      </c>
      <c r="F1900" s="2">
        <v>706489529</v>
      </c>
      <c r="G1900" s="2">
        <v>1</v>
      </c>
      <c r="H1900" s="2">
        <v>5</v>
      </c>
      <c r="I1900" s="2">
        <v>1</v>
      </c>
      <c r="J1900" s="2">
        <v>2.2000000000000002</v>
      </c>
      <c r="K1900" s="2" t="s">
        <v>1268</v>
      </c>
      <c r="L1900" s="2" t="str">
        <f t="shared" si="174"/>
        <v>Profitable</v>
      </c>
      <c r="M1900" s="2" t="str">
        <f t="shared" si="175"/>
        <v>High Volatility</v>
      </c>
      <c r="N1900" s="2" t="str">
        <f t="shared" si="176"/>
        <v>Low Quality</v>
      </c>
      <c r="O1900" s="4" t="str">
        <f t="shared" si="177"/>
        <v>Operational Growth</v>
      </c>
      <c r="P1900" s="4" t="str">
        <f t="shared" si="178"/>
        <v>Low Quality</v>
      </c>
      <c r="Q1900" s="4" t="str">
        <f t="shared" si="179"/>
        <v>Weak Growth</v>
      </c>
    </row>
    <row r="1901" spans="1:17" x14ac:dyDescent="0.35">
      <c r="A1901" s="2" t="s">
        <v>1912</v>
      </c>
      <c r="B1901" s="2">
        <v>5</v>
      </c>
      <c r="C1901" s="2">
        <v>889241085.5</v>
      </c>
      <c r="D1901" s="2">
        <v>1</v>
      </c>
      <c r="E1901" s="2">
        <v>496119257.10000002</v>
      </c>
      <c r="F1901" s="2">
        <v>705491881</v>
      </c>
      <c r="G1901" s="2">
        <v>1</v>
      </c>
      <c r="H1901" s="2">
        <v>5</v>
      </c>
      <c r="I1901" s="2">
        <v>1</v>
      </c>
      <c r="J1901" s="2">
        <v>2.2000000000000002</v>
      </c>
      <c r="K1901" s="2" t="s">
        <v>1268</v>
      </c>
      <c r="L1901" s="2" t="str">
        <f t="shared" si="174"/>
        <v>Profitable</v>
      </c>
      <c r="M1901" s="2" t="str">
        <f t="shared" si="175"/>
        <v>High Volatility</v>
      </c>
      <c r="N1901" s="2" t="str">
        <f t="shared" si="176"/>
        <v>Low Quality</v>
      </c>
      <c r="O1901" s="4" t="str">
        <f t="shared" si="177"/>
        <v>Operational Growth</v>
      </c>
      <c r="P1901" s="4" t="str">
        <f t="shared" si="178"/>
        <v>Low Quality</v>
      </c>
      <c r="Q1901" s="4" t="str">
        <f t="shared" si="179"/>
        <v>Weak Growth</v>
      </c>
    </row>
    <row r="1902" spans="1:17" x14ac:dyDescent="0.35">
      <c r="A1902" s="2" t="s">
        <v>1913</v>
      </c>
      <c r="B1902" s="2">
        <v>5</v>
      </c>
      <c r="C1902" s="2">
        <v>484137911.89999998</v>
      </c>
      <c r="D1902" s="2">
        <v>1</v>
      </c>
      <c r="E1902" s="2">
        <v>530793504.80000001</v>
      </c>
      <c r="F1902" s="2">
        <v>734504092.70000005</v>
      </c>
      <c r="G1902" s="2">
        <v>1</v>
      </c>
      <c r="H1902" s="2">
        <v>5</v>
      </c>
      <c r="I1902" s="2">
        <v>1</v>
      </c>
      <c r="J1902" s="2">
        <v>2.2000000000000002</v>
      </c>
      <c r="K1902" s="2" t="s">
        <v>1268</v>
      </c>
      <c r="L1902" s="2" t="str">
        <f t="shared" si="174"/>
        <v>Profitable</v>
      </c>
      <c r="M1902" s="2" t="str">
        <f t="shared" si="175"/>
        <v>Stable Earnings</v>
      </c>
      <c r="N1902" s="2" t="str">
        <f t="shared" si="176"/>
        <v>Low Quality</v>
      </c>
      <c r="O1902" s="4" t="str">
        <f t="shared" si="177"/>
        <v>Operational Growth</v>
      </c>
      <c r="P1902" s="4" t="str">
        <f t="shared" si="178"/>
        <v>Low Quality</v>
      </c>
      <c r="Q1902" s="4" t="str">
        <f t="shared" si="179"/>
        <v>Weak Growth</v>
      </c>
    </row>
    <row r="1903" spans="1:17" x14ac:dyDescent="0.35">
      <c r="A1903" s="2" t="s">
        <v>1914</v>
      </c>
      <c r="B1903" s="2">
        <v>5</v>
      </c>
      <c r="C1903" s="2">
        <v>1622714978</v>
      </c>
      <c r="D1903" s="2">
        <v>1</v>
      </c>
      <c r="E1903" s="2">
        <v>423913752.89999998</v>
      </c>
      <c r="F1903" s="2">
        <v>901405280</v>
      </c>
      <c r="G1903" s="2">
        <v>1</v>
      </c>
      <c r="H1903" s="2">
        <v>5</v>
      </c>
      <c r="I1903" s="2">
        <v>1</v>
      </c>
      <c r="J1903" s="2">
        <v>2.2000000000000002</v>
      </c>
      <c r="K1903" s="2" t="s">
        <v>1268</v>
      </c>
      <c r="L1903" s="2" t="str">
        <f t="shared" si="174"/>
        <v>Profitable</v>
      </c>
      <c r="M1903" s="2" t="str">
        <f t="shared" si="175"/>
        <v>High Volatility</v>
      </c>
      <c r="N1903" s="2" t="str">
        <f t="shared" si="176"/>
        <v>Low Quality</v>
      </c>
      <c r="O1903" s="4" t="str">
        <f t="shared" si="177"/>
        <v>Operational Growth</v>
      </c>
      <c r="P1903" s="4" t="str">
        <f t="shared" si="178"/>
        <v>Low Quality</v>
      </c>
      <c r="Q1903" s="4" t="str">
        <f t="shared" si="179"/>
        <v>Weak Growth</v>
      </c>
    </row>
    <row r="1904" spans="1:17" x14ac:dyDescent="0.35">
      <c r="A1904" s="2" t="s">
        <v>1915</v>
      </c>
      <c r="B1904" s="2">
        <v>5</v>
      </c>
      <c r="C1904" s="2">
        <v>782341481</v>
      </c>
      <c r="D1904" s="2">
        <v>1</v>
      </c>
      <c r="E1904" s="2">
        <v>359060093</v>
      </c>
      <c r="F1904" s="2">
        <v>931664616</v>
      </c>
      <c r="G1904" s="2">
        <v>1</v>
      </c>
      <c r="H1904" s="2">
        <v>5</v>
      </c>
      <c r="I1904" s="2">
        <v>1</v>
      </c>
      <c r="J1904" s="2">
        <v>2.2000000000000002</v>
      </c>
      <c r="K1904" s="2" t="s">
        <v>1268</v>
      </c>
      <c r="L1904" s="2" t="str">
        <f t="shared" si="174"/>
        <v>Profitable</v>
      </c>
      <c r="M1904" s="2" t="str">
        <f t="shared" si="175"/>
        <v>High Volatility</v>
      </c>
      <c r="N1904" s="2" t="str">
        <f t="shared" si="176"/>
        <v>Low Quality</v>
      </c>
      <c r="O1904" s="4" t="str">
        <f t="shared" si="177"/>
        <v>Operational Growth</v>
      </c>
      <c r="P1904" s="4" t="str">
        <f t="shared" si="178"/>
        <v>Low Quality</v>
      </c>
      <c r="Q1904" s="4" t="str">
        <f t="shared" si="179"/>
        <v>Weak Growth</v>
      </c>
    </row>
    <row r="1905" spans="1:17" x14ac:dyDescent="0.35">
      <c r="A1905" s="2" t="s">
        <v>1916</v>
      </c>
      <c r="B1905" s="2">
        <v>5</v>
      </c>
      <c r="C1905" s="2">
        <v>2568549179</v>
      </c>
      <c r="D1905" s="2">
        <v>1</v>
      </c>
      <c r="E1905" s="2">
        <v>444183057.60000002</v>
      </c>
      <c r="F1905" s="2">
        <v>927399862</v>
      </c>
      <c r="G1905" s="2">
        <v>1</v>
      </c>
      <c r="H1905" s="2">
        <v>5</v>
      </c>
      <c r="I1905" s="2">
        <v>1</v>
      </c>
      <c r="J1905" s="2">
        <v>2.2000000000000002</v>
      </c>
      <c r="K1905" s="2" t="s">
        <v>1268</v>
      </c>
      <c r="L1905" s="2" t="str">
        <f t="shared" si="174"/>
        <v>Profitable</v>
      </c>
      <c r="M1905" s="2" t="str">
        <f t="shared" si="175"/>
        <v>High Volatility</v>
      </c>
      <c r="N1905" s="2" t="str">
        <f t="shared" si="176"/>
        <v>Low Quality</v>
      </c>
      <c r="O1905" s="4" t="str">
        <f t="shared" si="177"/>
        <v>Operational Growth</v>
      </c>
      <c r="P1905" s="4" t="str">
        <f t="shared" si="178"/>
        <v>Low Quality</v>
      </c>
      <c r="Q1905" s="4" t="str">
        <f t="shared" si="179"/>
        <v>Weak Growth</v>
      </c>
    </row>
    <row r="1906" spans="1:17" x14ac:dyDescent="0.35">
      <c r="A1906" s="2" t="s">
        <v>1917</v>
      </c>
      <c r="B1906" s="2">
        <v>5</v>
      </c>
      <c r="C1906" s="2">
        <v>2726430240</v>
      </c>
      <c r="D1906" s="2">
        <v>1</v>
      </c>
      <c r="E1906" s="2">
        <v>406389029.10000002</v>
      </c>
      <c r="F1906" s="2">
        <v>1035497042</v>
      </c>
      <c r="G1906" s="2">
        <v>1</v>
      </c>
      <c r="H1906" s="2">
        <v>5</v>
      </c>
      <c r="I1906" s="2">
        <v>1</v>
      </c>
      <c r="J1906" s="2">
        <v>2.2000000000000002</v>
      </c>
      <c r="K1906" s="2" t="s">
        <v>1268</v>
      </c>
      <c r="L1906" s="2" t="str">
        <f t="shared" si="174"/>
        <v>Profitable</v>
      </c>
      <c r="M1906" s="2" t="str">
        <f t="shared" si="175"/>
        <v>High Volatility</v>
      </c>
      <c r="N1906" s="2" t="str">
        <f t="shared" si="176"/>
        <v>Low Quality</v>
      </c>
      <c r="O1906" s="4" t="str">
        <f t="shared" si="177"/>
        <v>Operational Growth</v>
      </c>
      <c r="P1906" s="4" t="str">
        <f t="shared" si="178"/>
        <v>Low Quality</v>
      </c>
      <c r="Q1906" s="4" t="str">
        <f t="shared" si="179"/>
        <v>Weak Growth</v>
      </c>
    </row>
    <row r="1907" spans="1:17" x14ac:dyDescent="0.35">
      <c r="A1907" s="2" t="s">
        <v>1918</v>
      </c>
      <c r="B1907" s="2">
        <v>5</v>
      </c>
      <c r="C1907" s="2">
        <v>1337192741</v>
      </c>
      <c r="D1907" s="2">
        <v>1</v>
      </c>
      <c r="E1907" s="2">
        <v>1266437210</v>
      </c>
      <c r="F1907" s="2">
        <v>985412496</v>
      </c>
      <c r="G1907" s="2">
        <v>1</v>
      </c>
      <c r="H1907" s="2">
        <v>5</v>
      </c>
      <c r="I1907" s="2">
        <v>1</v>
      </c>
      <c r="J1907" s="2">
        <v>2.2000000000000002</v>
      </c>
      <c r="K1907" s="2" t="s">
        <v>1268</v>
      </c>
      <c r="L1907" s="2" t="str">
        <f t="shared" si="174"/>
        <v>Profitable</v>
      </c>
      <c r="M1907" s="2" t="str">
        <f t="shared" si="175"/>
        <v>High Volatility</v>
      </c>
      <c r="N1907" s="2" t="str">
        <f t="shared" si="176"/>
        <v>Low Quality</v>
      </c>
      <c r="O1907" s="4" t="str">
        <f t="shared" si="177"/>
        <v>Operational Growth</v>
      </c>
      <c r="P1907" s="4" t="str">
        <f t="shared" si="178"/>
        <v>Low Quality</v>
      </c>
      <c r="Q1907" s="4" t="str">
        <f t="shared" si="179"/>
        <v>Weak Growth</v>
      </c>
    </row>
    <row r="1908" spans="1:17" x14ac:dyDescent="0.35">
      <c r="A1908" s="2" t="s">
        <v>1919</v>
      </c>
      <c r="B1908" s="2">
        <v>5</v>
      </c>
      <c r="C1908" s="2">
        <v>1971720544</v>
      </c>
      <c r="D1908" s="2">
        <v>1</v>
      </c>
      <c r="E1908" s="2">
        <v>374485347.69999999</v>
      </c>
      <c r="F1908" s="2">
        <v>976451906</v>
      </c>
      <c r="G1908" s="2">
        <v>1</v>
      </c>
      <c r="H1908" s="2">
        <v>5</v>
      </c>
      <c r="I1908" s="2">
        <v>1</v>
      </c>
      <c r="J1908" s="2">
        <v>2.2000000000000002</v>
      </c>
      <c r="K1908" s="2" t="s">
        <v>1268</v>
      </c>
      <c r="L1908" s="2" t="str">
        <f t="shared" si="174"/>
        <v>Profitable</v>
      </c>
      <c r="M1908" s="2" t="str">
        <f t="shared" si="175"/>
        <v>High Volatility</v>
      </c>
      <c r="N1908" s="2" t="str">
        <f t="shared" si="176"/>
        <v>Low Quality</v>
      </c>
      <c r="O1908" s="4" t="str">
        <f t="shared" si="177"/>
        <v>Operational Growth</v>
      </c>
      <c r="P1908" s="4" t="str">
        <f t="shared" si="178"/>
        <v>Low Quality</v>
      </c>
      <c r="Q1908" s="4" t="str">
        <f t="shared" si="179"/>
        <v>Weak Growth</v>
      </c>
    </row>
    <row r="1909" spans="1:17" x14ac:dyDescent="0.35">
      <c r="A1909" s="2" t="s">
        <v>1920</v>
      </c>
      <c r="B1909" s="2">
        <v>5</v>
      </c>
      <c r="C1909" s="2">
        <v>1184531978</v>
      </c>
      <c r="D1909" s="2">
        <v>1</v>
      </c>
      <c r="E1909" s="2">
        <v>483579115.89999998</v>
      </c>
      <c r="F1909" s="2">
        <v>948836230.39999998</v>
      </c>
      <c r="G1909" s="2">
        <v>1</v>
      </c>
      <c r="H1909" s="2">
        <v>5</v>
      </c>
      <c r="I1909" s="2">
        <v>1</v>
      </c>
      <c r="J1909" s="2">
        <v>2.2000000000000002</v>
      </c>
      <c r="K1909" s="2" t="s">
        <v>1268</v>
      </c>
      <c r="L1909" s="2" t="str">
        <f t="shared" si="174"/>
        <v>Profitable</v>
      </c>
      <c r="M1909" s="2" t="str">
        <f t="shared" si="175"/>
        <v>High Volatility</v>
      </c>
      <c r="N1909" s="2" t="str">
        <f t="shared" si="176"/>
        <v>Low Quality</v>
      </c>
      <c r="O1909" s="4" t="str">
        <f t="shared" si="177"/>
        <v>Operational Growth</v>
      </c>
      <c r="P1909" s="4" t="str">
        <f t="shared" si="178"/>
        <v>Low Quality</v>
      </c>
      <c r="Q1909" s="4" t="str">
        <f t="shared" si="179"/>
        <v>Weak Growth</v>
      </c>
    </row>
    <row r="1910" spans="1:17" x14ac:dyDescent="0.35">
      <c r="A1910" s="2" t="s">
        <v>1921</v>
      </c>
      <c r="B1910" s="2">
        <v>5</v>
      </c>
      <c r="C1910" s="2">
        <v>994233168.39999998</v>
      </c>
      <c r="D1910" s="2">
        <v>1</v>
      </c>
      <c r="E1910" s="2">
        <v>1039135122</v>
      </c>
      <c r="F1910" s="2">
        <v>967207331.79999995</v>
      </c>
      <c r="G1910" s="2">
        <v>1</v>
      </c>
      <c r="H1910" s="2">
        <v>5</v>
      </c>
      <c r="I1910" s="2">
        <v>1</v>
      </c>
      <c r="J1910" s="2">
        <v>2.2000000000000002</v>
      </c>
      <c r="K1910" s="2" t="s">
        <v>1268</v>
      </c>
      <c r="L1910" s="2" t="str">
        <f t="shared" si="174"/>
        <v>Profitable</v>
      </c>
      <c r="M1910" s="2" t="str">
        <f t="shared" si="175"/>
        <v>High Volatility</v>
      </c>
      <c r="N1910" s="2" t="str">
        <f t="shared" si="176"/>
        <v>Low Quality</v>
      </c>
      <c r="O1910" s="4" t="str">
        <f t="shared" si="177"/>
        <v>Operational Growth</v>
      </c>
      <c r="P1910" s="4" t="str">
        <f t="shared" si="178"/>
        <v>Low Quality</v>
      </c>
      <c r="Q1910" s="4" t="str">
        <f t="shared" si="179"/>
        <v>Weak Growth</v>
      </c>
    </row>
    <row r="1911" spans="1:17" x14ac:dyDescent="0.35">
      <c r="A1911" s="2" t="s">
        <v>1922</v>
      </c>
      <c r="B1911" s="2">
        <v>5</v>
      </c>
      <c r="C1911" s="2">
        <v>1494856368</v>
      </c>
      <c r="D1911" s="2">
        <v>1</v>
      </c>
      <c r="E1911" s="2">
        <v>1427407873</v>
      </c>
      <c r="F1911" s="2">
        <v>885848330.89999998</v>
      </c>
      <c r="G1911" s="2">
        <v>1</v>
      </c>
      <c r="H1911" s="2">
        <v>5</v>
      </c>
      <c r="I1911" s="2">
        <v>1</v>
      </c>
      <c r="J1911" s="2">
        <v>2.2000000000000002</v>
      </c>
      <c r="K1911" s="2" t="s">
        <v>1268</v>
      </c>
      <c r="L1911" s="2" t="str">
        <f t="shared" si="174"/>
        <v>Profitable</v>
      </c>
      <c r="M1911" s="2" t="str">
        <f t="shared" si="175"/>
        <v>High Volatility</v>
      </c>
      <c r="N1911" s="2" t="str">
        <f t="shared" si="176"/>
        <v>Low Quality</v>
      </c>
      <c r="O1911" s="4" t="str">
        <f t="shared" si="177"/>
        <v>Operational Growth</v>
      </c>
      <c r="P1911" s="4" t="str">
        <f t="shared" si="178"/>
        <v>Low Quality</v>
      </c>
      <c r="Q1911" s="4" t="str">
        <f t="shared" si="179"/>
        <v>Weak Growth</v>
      </c>
    </row>
    <row r="1912" spans="1:17" x14ac:dyDescent="0.35">
      <c r="A1912" s="2" t="s">
        <v>1923</v>
      </c>
      <c r="B1912" s="2">
        <v>5</v>
      </c>
      <c r="C1912" s="2">
        <v>1563656632</v>
      </c>
      <c r="D1912" s="2">
        <v>1</v>
      </c>
      <c r="E1912" s="2">
        <v>411320709.69999999</v>
      </c>
      <c r="F1912" s="2">
        <v>880102815</v>
      </c>
      <c r="G1912" s="2">
        <v>1</v>
      </c>
      <c r="H1912" s="2">
        <v>5</v>
      </c>
      <c r="I1912" s="2">
        <v>1</v>
      </c>
      <c r="J1912" s="2">
        <v>2.2000000000000002</v>
      </c>
      <c r="K1912" s="2" t="s">
        <v>1268</v>
      </c>
      <c r="L1912" s="2" t="str">
        <f t="shared" si="174"/>
        <v>Profitable</v>
      </c>
      <c r="M1912" s="2" t="str">
        <f t="shared" si="175"/>
        <v>High Volatility</v>
      </c>
      <c r="N1912" s="2" t="str">
        <f t="shared" si="176"/>
        <v>Low Quality</v>
      </c>
      <c r="O1912" s="4" t="str">
        <f t="shared" si="177"/>
        <v>Operational Growth</v>
      </c>
      <c r="P1912" s="4" t="str">
        <f t="shared" si="178"/>
        <v>Low Quality</v>
      </c>
      <c r="Q1912" s="4" t="str">
        <f t="shared" si="179"/>
        <v>Weak Growth</v>
      </c>
    </row>
    <row r="1913" spans="1:17" x14ac:dyDescent="0.35">
      <c r="A1913" s="2" t="s">
        <v>1924</v>
      </c>
      <c r="B1913" s="2">
        <v>5</v>
      </c>
      <c r="C1913" s="2">
        <v>4830083062</v>
      </c>
      <c r="D1913" s="2">
        <v>1</v>
      </c>
      <c r="E1913" s="2">
        <v>723400075.79999995</v>
      </c>
      <c r="F1913" s="2">
        <v>867227077</v>
      </c>
      <c r="G1913" s="2">
        <v>1</v>
      </c>
      <c r="H1913" s="2">
        <v>5</v>
      </c>
      <c r="I1913" s="2">
        <v>1</v>
      </c>
      <c r="J1913" s="2">
        <v>2.2000000000000002</v>
      </c>
      <c r="K1913" s="2" t="s">
        <v>1268</v>
      </c>
      <c r="L1913" s="2" t="str">
        <f t="shared" si="174"/>
        <v>Profitable</v>
      </c>
      <c r="M1913" s="2" t="str">
        <f t="shared" si="175"/>
        <v>High Volatility</v>
      </c>
      <c r="N1913" s="2" t="str">
        <f t="shared" si="176"/>
        <v>Low Quality</v>
      </c>
      <c r="O1913" s="4" t="str">
        <f t="shared" si="177"/>
        <v>Operational Growth</v>
      </c>
      <c r="P1913" s="4" t="str">
        <f t="shared" si="178"/>
        <v>Low Quality</v>
      </c>
      <c r="Q1913" s="4" t="str">
        <f t="shared" si="179"/>
        <v>Weak Growth</v>
      </c>
    </row>
    <row r="1914" spans="1:17" x14ac:dyDescent="0.35">
      <c r="A1914" s="2" t="s">
        <v>1925</v>
      </c>
      <c r="B1914" s="2">
        <v>5</v>
      </c>
      <c r="C1914" s="2">
        <v>682338488.79999995</v>
      </c>
      <c r="D1914" s="2">
        <v>1</v>
      </c>
      <c r="E1914" s="2">
        <v>332916411.80000001</v>
      </c>
      <c r="F1914" s="2">
        <v>862048973.60000002</v>
      </c>
      <c r="G1914" s="2">
        <v>1</v>
      </c>
      <c r="H1914" s="2">
        <v>5</v>
      </c>
      <c r="I1914" s="2">
        <v>1</v>
      </c>
      <c r="J1914" s="2">
        <v>2.2000000000000002</v>
      </c>
      <c r="K1914" s="2" t="s">
        <v>1268</v>
      </c>
      <c r="L1914" s="2" t="str">
        <f t="shared" si="174"/>
        <v>Profitable</v>
      </c>
      <c r="M1914" s="2" t="str">
        <f t="shared" si="175"/>
        <v>High Volatility</v>
      </c>
      <c r="N1914" s="2" t="str">
        <f t="shared" si="176"/>
        <v>Low Quality</v>
      </c>
      <c r="O1914" s="4" t="str">
        <f t="shared" si="177"/>
        <v>Operational Growth</v>
      </c>
      <c r="P1914" s="4" t="str">
        <f t="shared" si="178"/>
        <v>Low Quality</v>
      </c>
      <c r="Q1914" s="4" t="str">
        <f t="shared" si="179"/>
        <v>Weak Growth</v>
      </c>
    </row>
    <row r="1915" spans="1:17" x14ac:dyDescent="0.35">
      <c r="A1915" s="2" t="s">
        <v>1926</v>
      </c>
      <c r="B1915" s="2">
        <v>5</v>
      </c>
      <c r="C1915" s="2">
        <v>2271627575</v>
      </c>
      <c r="D1915" s="2">
        <v>1</v>
      </c>
      <c r="E1915" s="2">
        <v>404033068.19999999</v>
      </c>
      <c r="F1915" s="2">
        <v>829741574</v>
      </c>
      <c r="G1915" s="2">
        <v>1</v>
      </c>
      <c r="H1915" s="2">
        <v>5</v>
      </c>
      <c r="I1915" s="2">
        <v>1</v>
      </c>
      <c r="J1915" s="2">
        <v>2.2000000000000002</v>
      </c>
      <c r="K1915" s="2" t="s">
        <v>1268</v>
      </c>
      <c r="L1915" s="2" t="str">
        <f t="shared" si="174"/>
        <v>Profitable</v>
      </c>
      <c r="M1915" s="2" t="str">
        <f t="shared" si="175"/>
        <v>High Volatility</v>
      </c>
      <c r="N1915" s="2" t="str">
        <f t="shared" si="176"/>
        <v>Low Quality</v>
      </c>
      <c r="O1915" s="4" t="str">
        <f t="shared" si="177"/>
        <v>Operational Growth</v>
      </c>
      <c r="P1915" s="4" t="str">
        <f t="shared" si="178"/>
        <v>Low Quality</v>
      </c>
      <c r="Q1915" s="4" t="str">
        <f t="shared" si="179"/>
        <v>Weak Growth</v>
      </c>
    </row>
    <row r="1916" spans="1:17" x14ac:dyDescent="0.35">
      <c r="A1916" s="2" t="s">
        <v>1927</v>
      </c>
      <c r="B1916" s="2">
        <v>5</v>
      </c>
      <c r="C1916" s="2">
        <v>902271391.60000002</v>
      </c>
      <c r="D1916" s="2">
        <v>1</v>
      </c>
      <c r="E1916" s="2">
        <v>357957676.80000001</v>
      </c>
      <c r="F1916" s="2">
        <v>819461184.10000002</v>
      </c>
      <c r="G1916" s="2">
        <v>1</v>
      </c>
      <c r="H1916" s="2">
        <v>5</v>
      </c>
      <c r="I1916" s="2">
        <v>1</v>
      </c>
      <c r="J1916" s="2">
        <v>2.2000000000000002</v>
      </c>
      <c r="K1916" s="2" t="s">
        <v>1268</v>
      </c>
      <c r="L1916" s="2" t="str">
        <f t="shared" si="174"/>
        <v>Profitable</v>
      </c>
      <c r="M1916" s="2" t="str">
        <f t="shared" si="175"/>
        <v>High Volatility</v>
      </c>
      <c r="N1916" s="2" t="str">
        <f t="shared" si="176"/>
        <v>Low Quality</v>
      </c>
      <c r="O1916" s="4" t="str">
        <f t="shared" si="177"/>
        <v>Operational Growth</v>
      </c>
      <c r="P1916" s="4" t="str">
        <f t="shared" si="178"/>
        <v>Low Quality</v>
      </c>
      <c r="Q1916" s="4" t="str">
        <f t="shared" si="179"/>
        <v>Weak Growth</v>
      </c>
    </row>
    <row r="1917" spans="1:17" x14ac:dyDescent="0.35">
      <c r="A1917" s="2" t="s">
        <v>1928</v>
      </c>
      <c r="B1917" s="2">
        <v>5</v>
      </c>
      <c r="C1917" s="2">
        <v>692943355.70000005</v>
      </c>
      <c r="D1917" s="2">
        <v>1</v>
      </c>
      <c r="E1917" s="2">
        <v>370155968</v>
      </c>
      <c r="F1917" s="2">
        <v>857041233.10000002</v>
      </c>
      <c r="G1917" s="2">
        <v>1</v>
      </c>
      <c r="H1917" s="2">
        <v>5</v>
      </c>
      <c r="I1917" s="2">
        <v>1</v>
      </c>
      <c r="J1917" s="2">
        <v>2.2000000000000002</v>
      </c>
      <c r="K1917" s="2" t="s">
        <v>1268</v>
      </c>
      <c r="L1917" s="2" t="str">
        <f t="shared" si="174"/>
        <v>Profitable</v>
      </c>
      <c r="M1917" s="2" t="str">
        <f t="shared" si="175"/>
        <v>High Volatility</v>
      </c>
      <c r="N1917" s="2" t="str">
        <f t="shared" si="176"/>
        <v>Low Quality</v>
      </c>
      <c r="O1917" s="4" t="str">
        <f t="shared" si="177"/>
        <v>Operational Growth</v>
      </c>
      <c r="P1917" s="4" t="str">
        <f t="shared" si="178"/>
        <v>Low Quality</v>
      </c>
      <c r="Q1917" s="4" t="str">
        <f t="shared" si="179"/>
        <v>Weak Growth</v>
      </c>
    </row>
    <row r="1918" spans="1:17" x14ac:dyDescent="0.35">
      <c r="A1918" s="2" t="s">
        <v>1929</v>
      </c>
      <c r="B1918" s="2">
        <v>5</v>
      </c>
      <c r="C1918" s="2">
        <v>1136083495</v>
      </c>
      <c r="D1918" s="2">
        <v>1</v>
      </c>
      <c r="E1918" s="2">
        <v>487211356.5</v>
      </c>
      <c r="F1918" s="2">
        <v>846377643</v>
      </c>
      <c r="G1918" s="2">
        <v>1</v>
      </c>
      <c r="H1918" s="2">
        <v>5</v>
      </c>
      <c r="I1918" s="2">
        <v>1</v>
      </c>
      <c r="J1918" s="2">
        <v>2.2000000000000002</v>
      </c>
      <c r="K1918" s="2" t="s">
        <v>1268</v>
      </c>
      <c r="L1918" s="2" t="str">
        <f t="shared" si="174"/>
        <v>Profitable</v>
      </c>
      <c r="M1918" s="2" t="str">
        <f t="shared" si="175"/>
        <v>High Volatility</v>
      </c>
      <c r="N1918" s="2" t="str">
        <f t="shared" si="176"/>
        <v>Low Quality</v>
      </c>
      <c r="O1918" s="4" t="str">
        <f t="shared" si="177"/>
        <v>Operational Growth</v>
      </c>
      <c r="P1918" s="4" t="str">
        <f t="shared" si="178"/>
        <v>Low Quality</v>
      </c>
      <c r="Q1918" s="4" t="str">
        <f t="shared" si="179"/>
        <v>Weak Growth</v>
      </c>
    </row>
    <row r="1919" spans="1:17" x14ac:dyDescent="0.35">
      <c r="A1919" s="2" t="s">
        <v>1930</v>
      </c>
      <c r="B1919" s="2">
        <v>5</v>
      </c>
      <c r="C1919" s="2">
        <v>1685920754</v>
      </c>
      <c r="D1919" s="2">
        <v>1</v>
      </c>
      <c r="E1919" s="2">
        <v>985601671</v>
      </c>
      <c r="F1919" s="2">
        <v>789378684</v>
      </c>
      <c r="G1919" s="2">
        <v>1</v>
      </c>
      <c r="H1919" s="2">
        <v>5</v>
      </c>
      <c r="I1919" s="2">
        <v>1</v>
      </c>
      <c r="J1919" s="2">
        <v>2.2000000000000002</v>
      </c>
      <c r="K1919" s="2" t="s">
        <v>1268</v>
      </c>
      <c r="L1919" s="2" t="str">
        <f t="shared" si="174"/>
        <v>Profitable</v>
      </c>
      <c r="M1919" s="2" t="str">
        <f t="shared" si="175"/>
        <v>High Volatility</v>
      </c>
      <c r="N1919" s="2" t="str">
        <f t="shared" si="176"/>
        <v>Low Quality</v>
      </c>
      <c r="O1919" s="4" t="str">
        <f t="shared" si="177"/>
        <v>Operational Growth</v>
      </c>
      <c r="P1919" s="4" t="str">
        <f t="shared" si="178"/>
        <v>Low Quality</v>
      </c>
      <c r="Q1919" s="4" t="str">
        <f t="shared" si="179"/>
        <v>Weak Growth</v>
      </c>
    </row>
    <row r="1920" spans="1:17" x14ac:dyDescent="0.35">
      <c r="A1920" s="2" t="s">
        <v>1931</v>
      </c>
      <c r="B1920" s="2">
        <v>5</v>
      </c>
      <c r="C1920" s="2">
        <v>9269788176</v>
      </c>
      <c r="D1920" s="2">
        <v>1</v>
      </c>
      <c r="E1920" s="2">
        <v>1382547293</v>
      </c>
      <c r="F1920" s="2">
        <v>2280351696</v>
      </c>
      <c r="G1920" s="2">
        <v>1</v>
      </c>
      <c r="H1920" s="2">
        <v>5</v>
      </c>
      <c r="I1920" s="2">
        <v>1</v>
      </c>
      <c r="J1920" s="2">
        <v>2.2000000000000002</v>
      </c>
      <c r="K1920" s="2" t="s">
        <v>1268</v>
      </c>
      <c r="L1920" s="2" t="str">
        <f t="shared" si="174"/>
        <v>Profitable</v>
      </c>
      <c r="M1920" s="2" t="str">
        <f t="shared" si="175"/>
        <v>High Volatility</v>
      </c>
      <c r="N1920" s="2" t="str">
        <f t="shared" si="176"/>
        <v>Low Quality</v>
      </c>
      <c r="O1920" s="4" t="str">
        <f t="shared" si="177"/>
        <v>Operational Growth</v>
      </c>
      <c r="P1920" s="4" t="str">
        <f t="shared" si="178"/>
        <v>Low Quality</v>
      </c>
      <c r="Q1920" s="4" t="str">
        <f t="shared" si="179"/>
        <v>Weak Growth</v>
      </c>
    </row>
    <row r="1921" spans="1:17" x14ac:dyDescent="0.35">
      <c r="A1921" s="2" t="s">
        <v>1932</v>
      </c>
      <c r="B1921" s="2">
        <v>5</v>
      </c>
      <c r="C1921" s="2">
        <v>4954085882</v>
      </c>
      <c r="D1921" s="2">
        <v>1</v>
      </c>
      <c r="E1921" s="2">
        <v>1147865468</v>
      </c>
      <c r="F1921" s="2">
        <v>2443604722</v>
      </c>
      <c r="G1921" s="2">
        <v>1</v>
      </c>
      <c r="H1921" s="2">
        <v>5</v>
      </c>
      <c r="I1921" s="2">
        <v>1</v>
      </c>
      <c r="J1921" s="2">
        <v>2.2000000000000002</v>
      </c>
      <c r="K1921" s="2" t="s">
        <v>1268</v>
      </c>
      <c r="L1921" s="2" t="str">
        <f t="shared" si="174"/>
        <v>Profitable</v>
      </c>
      <c r="M1921" s="2" t="str">
        <f t="shared" si="175"/>
        <v>High Volatility</v>
      </c>
      <c r="N1921" s="2" t="str">
        <f t="shared" si="176"/>
        <v>Low Quality</v>
      </c>
      <c r="O1921" s="4" t="str">
        <f t="shared" si="177"/>
        <v>Operational Growth</v>
      </c>
      <c r="P1921" s="4" t="str">
        <f t="shared" si="178"/>
        <v>Low Quality</v>
      </c>
      <c r="Q1921" s="4" t="str">
        <f t="shared" si="179"/>
        <v>Weak Growth</v>
      </c>
    </row>
    <row r="1922" spans="1:17" x14ac:dyDescent="0.35">
      <c r="A1922" s="2" t="s">
        <v>1933</v>
      </c>
      <c r="B1922" s="2">
        <v>5</v>
      </c>
      <c r="C1922" s="2">
        <v>4750853152</v>
      </c>
      <c r="D1922" s="2">
        <v>1</v>
      </c>
      <c r="E1922" s="2">
        <v>1002838948</v>
      </c>
      <c r="F1922" s="2">
        <v>2617813360</v>
      </c>
      <c r="G1922" s="2">
        <v>1</v>
      </c>
      <c r="H1922" s="2">
        <v>5</v>
      </c>
      <c r="I1922" s="2">
        <v>1</v>
      </c>
      <c r="J1922" s="2">
        <v>2.2000000000000002</v>
      </c>
      <c r="K1922" s="2" t="s">
        <v>1268</v>
      </c>
      <c r="L1922" s="2" t="str">
        <f t="shared" ref="L1922:L1985" si="180">IF(C1922&gt;0,"Profitable","Loss Making")</f>
        <v>Profitable</v>
      </c>
      <c r="M1922" s="2" t="str">
        <f t="shared" ref="M1922:M1985" si="181">IF(C1922&gt;500000000,"High Volatility","Stable Earnings")</f>
        <v>High Volatility</v>
      </c>
      <c r="N1922" s="2" t="str">
        <f t="shared" ref="N1922:N1985" si="182">IF(G1922&gt;=7,"High Quality",IF(G1922&gt;=4,"Moderate","Low Quality"))</f>
        <v>Low Quality</v>
      </c>
      <c r="O1922" s="4" t="str">
        <f t="shared" ref="O1922:O1985" si="183">IF(AND(F1922&gt;0,D1922&gt;0.6),"Operational Growth","Accounting Risk")</f>
        <v>Operational Growth</v>
      </c>
      <c r="P1922" s="4" t="str">
        <f t="shared" ref="P1922:P1985" si="184">IF(G1922&gt;=7,"High Quality", IF(G1922&gt;=4,"Moderate","Low Quality"))</f>
        <v>Low Quality</v>
      </c>
      <c r="Q1922" s="4" t="str">
        <f t="shared" ref="Q1922:Q1985" si="185">IF(I1922&gt;=4,"Strong Long-Term Growth",IF(I1922&gt;=2,"Moderate Growth","Weak Growth"))</f>
        <v>Weak Growth</v>
      </c>
    </row>
    <row r="1923" spans="1:17" x14ac:dyDescent="0.35">
      <c r="A1923" s="2" t="s">
        <v>1934</v>
      </c>
      <c r="B1923" s="2">
        <v>5</v>
      </c>
      <c r="C1923" s="2">
        <v>11638549451</v>
      </c>
      <c r="D1923" s="2">
        <v>1</v>
      </c>
      <c r="E1923" s="2">
        <v>4002602063</v>
      </c>
      <c r="F1923" s="2">
        <v>2570832987</v>
      </c>
      <c r="G1923" s="2">
        <v>1</v>
      </c>
      <c r="H1923" s="2">
        <v>5</v>
      </c>
      <c r="I1923" s="2">
        <v>1</v>
      </c>
      <c r="J1923" s="2">
        <v>2.2000000000000002</v>
      </c>
      <c r="K1923" s="2" t="s">
        <v>1268</v>
      </c>
      <c r="L1923" s="2" t="str">
        <f t="shared" si="180"/>
        <v>Profitable</v>
      </c>
      <c r="M1923" s="2" t="str">
        <f t="shared" si="181"/>
        <v>High Volatility</v>
      </c>
      <c r="N1923" s="2" t="str">
        <f t="shared" si="182"/>
        <v>Low Quality</v>
      </c>
      <c r="O1923" s="4" t="str">
        <f t="shared" si="183"/>
        <v>Operational Growth</v>
      </c>
      <c r="P1923" s="4" t="str">
        <f t="shared" si="184"/>
        <v>Low Quality</v>
      </c>
      <c r="Q1923" s="4" t="str">
        <f t="shared" si="185"/>
        <v>Weak Growth</v>
      </c>
    </row>
    <row r="1924" spans="1:17" x14ac:dyDescent="0.35">
      <c r="A1924" s="2" t="s">
        <v>1935</v>
      </c>
      <c r="B1924" s="2">
        <v>5</v>
      </c>
      <c r="C1924" s="2">
        <v>2118697298</v>
      </c>
      <c r="D1924" s="2">
        <v>1</v>
      </c>
      <c r="E1924" s="2">
        <v>1248243614</v>
      </c>
      <c r="F1924" s="2">
        <v>2929450986</v>
      </c>
      <c r="G1924" s="2">
        <v>1</v>
      </c>
      <c r="H1924" s="2">
        <v>5</v>
      </c>
      <c r="I1924" s="2">
        <v>1</v>
      </c>
      <c r="J1924" s="2">
        <v>2.2000000000000002</v>
      </c>
      <c r="K1924" s="2" t="s">
        <v>1268</v>
      </c>
      <c r="L1924" s="2" t="str">
        <f t="shared" si="180"/>
        <v>Profitable</v>
      </c>
      <c r="M1924" s="2" t="str">
        <f t="shared" si="181"/>
        <v>High Volatility</v>
      </c>
      <c r="N1924" s="2" t="str">
        <f t="shared" si="182"/>
        <v>Low Quality</v>
      </c>
      <c r="O1924" s="4" t="str">
        <f t="shared" si="183"/>
        <v>Operational Growth</v>
      </c>
      <c r="P1924" s="4" t="str">
        <f t="shared" si="184"/>
        <v>Low Quality</v>
      </c>
      <c r="Q1924" s="4" t="str">
        <f t="shared" si="185"/>
        <v>Weak Growth</v>
      </c>
    </row>
    <row r="1925" spans="1:17" x14ac:dyDescent="0.35">
      <c r="A1925" s="2" t="s">
        <v>1936</v>
      </c>
      <c r="B1925" s="2">
        <v>5</v>
      </c>
      <c r="C1925" s="2">
        <v>8941081451</v>
      </c>
      <c r="D1925" s="2">
        <v>1</v>
      </c>
      <c r="E1925" s="2">
        <v>1894367323</v>
      </c>
      <c r="F1925" s="2">
        <v>3066022919</v>
      </c>
      <c r="G1925" s="2">
        <v>1</v>
      </c>
      <c r="H1925" s="2">
        <v>5</v>
      </c>
      <c r="I1925" s="2">
        <v>1</v>
      </c>
      <c r="J1925" s="2">
        <v>2.2000000000000002</v>
      </c>
      <c r="K1925" s="2" t="s">
        <v>1268</v>
      </c>
      <c r="L1925" s="2" t="str">
        <f t="shared" si="180"/>
        <v>Profitable</v>
      </c>
      <c r="M1925" s="2" t="str">
        <f t="shared" si="181"/>
        <v>High Volatility</v>
      </c>
      <c r="N1925" s="2" t="str">
        <f t="shared" si="182"/>
        <v>Low Quality</v>
      </c>
      <c r="O1925" s="4" t="str">
        <f t="shared" si="183"/>
        <v>Operational Growth</v>
      </c>
      <c r="P1925" s="4" t="str">
        <f t="shared" si="184"/>
        <v>Low Quality</v>
      </c>
      <c r="Q1925" s="4" t="str">
        <f t="shared" si="185"/>
        <v>Weak Growth</v>
      </c>
    </row>
    <row r="1926" spans="1:17" x14ac:dyDescent="0.35">
      <c r="A1926" s="2" t="s">
        <v>1937</v>
      </c>
      <c r="B1926" s="2">
        <v>5</v>
      </c>
      <c r="C1926" s="2">
        <v>3851964200</v>
      </c>
      <c r="D1926" s="2">
        <v>1</v>
      </c>
      <c r="E1926" s="2">
        <v>1477018769</v>
      </c>
      <c r="F1926" s="2">
        <v>3048423970</v>
      </c>
      <c r="G1926" s="2">
        <v>1</v>
      </c>
      <c r="H1926" s="2">
        <v>5</v>
      </c>
      <c r="I1926" s="2">
        <v>1</v>
      </c>
      <c r="J1926" s="2">
        <v>2.2000000000000002</v>
      </c>
      <c r="K1926" s="2" t="s">
        <v>1268</v>
      </c>
      <c r="L1926" s="2" t="str">
        <f t="shared" si="180"/>
        <v>Profitable</v>
      </c>
      <c r="M1926" s="2" t="str">
        <f t="shared" si="181"/>
        <v>High Volatility</v>
      </c>
      <c r="N1926" s="2" t="str">
        <f t="shared" si="182"/>
        <v>Low Quality</v>
      </c>
      <c r="O1926" s="4" t="str">
        <f t="shared" si="183"/>
        <v>Operational Growth</v>
      </c>
      <c r="P1926" s="4" t="str">
        <f t="shared" si="184"/>
        <v>Low Quality</v>
      </c>
      <c r="Q1926" s="4" t="str">
        <f t="shared" si="185"/>
        <v>Weak Growth</v>
      </c>
    </row>
    <row r="1927" spans="1:17" x14ac:dyDescent="0.35">
      <c r="A1927" s="2" t="s">
        <v>1938</v>
      </c>
      <c r="B1927" s="2">
        <v>5</v>
      </c>
      <c r="C1927" s="2">
        <v>3830755205</v>
      </c>
      <c r="D1927" s="2">
        <v>1</v>
      </c>
      <c r="E1927" s="2">
        <v>1801016342</v>
      </c>
      <c r="F1927" s="2">
        <v>3293773980</v>
      </c>
      <c r="G1927" s="2">
        <v>1</v>
      </c>
      <c r="H1927" s="2">
        <v>5</v>
      </c>
      <c r="I1927" s="2">
        <v>1</v>
      </c>
      <c r="J1927" s="2">
        <v>2.2000000000000002</v>
      </c>
      <c r="K1927" s="2" t="s">
        <v>1268</v>
      </c>
      <c r="L1927" s="2" t="str">
        <f t="shared" si="180"/>
        <v>Profitable</v>
      </c>
      <c r="M1927" s="2" t="str">
        <f t="shared" si="181"/>
        <v>High Volatility</v>
      </c>
      <c r="N1927" s="2" t="str">
        <f t="shared" si="182"/>
        <v>Low Quality</v>
      </c>
      <c r="O1927" s="4" t="str">
        <f t="shared" si="183"/>
        <v>Operational Growth</v>
      </c>
      <c r="P1927" s="4" t="str">
        <f t="shared" si="184"/>
        <v>Low Quality</v>
      </c>
      <c r="Q1927" s="4" t="str">
        <f t="shared" si="185"/>
        <v>Weak Growth</v>
      </c>
    </row>
    <row r="1928" spans="1:17" x14ac:dyDescent="0.35">
      <c r="A1928" s="2" t="s">
        <v>1939</v>
      </c>
      <c r="B1928" s="2">
        <v>5</v>
      </c>
      <c r="C1928" s="2">
        <v>14827529696</v>
      </c>
      <c r="D1928" s="2">
        <v>1</v>
      </c>
      <c r="E1928" s="2">
        <v>2755119444</v>
      </c>
      <c r="F1928" s="2">
        <v>3218851097</v>
      </c>
      <c r="G1928" s="2">
        <v>1</v>
      </c>
      <c r="H1928" s="2">
        <v>5</v>
      </c>
      <c r="I1928" s="2">
        <v>1</v>
      </c>
      <c r="J1928" s="2">
        <v>2.2000000000000002</v>
      </c>
      <c r="K1928" s="2" t="s">
        <v>1268</v>
      </c>
      <c r="L1928" s="2" t="str">
        <f t="shared" si="180"/>
        <v>Profitable</v>
      </c>
      <c r="M1928" s="2" t="str">
        <f t="shared" si="181"/>
        <v>High Volatility</v>
      </c>
      <c r="N1928" s="2" t="str">
        <f t="shared" si="182"/>
        <v>Low Quality</v>
      </c>
      <c r="O1928" s="4" t="str">
        <f t="shared" si="183"/>
        <v>Operational Growth</v>
      </c>
      <c r="P1928" s="4" t="str">
        <f t="shared" si="184"/>
        <v>Low Quality</v>
      </c>
      <c r="Q1928" s="4" t="str">
        <f t="shared" si="185"/>
        <v>Weak Growth</v>
      </c>
    </row>
    <row r="1929" spans="1:17" x14ac:dyDescent="0.35">
      <c r="A1929" s="2" t="s">
        <v>1940</v>
      </c>
      <c r="B1929" s="2">
        <v>5</v>
      </c>
      <c r="C1929" s="2">
        <v>6591544695</v>
      </c>
      <c r="D1929" s="2">
        <v>1</v>
      </c>
      <c r="E1929" s="2">
        <v>1550103076</v>
      </c>
      <c r="F1929" s="2">
        <v>3371146951</v>
      </c>
      <c r="G1929" s="2">
        <v>1</v>
      </c>
      <c r="H1929" s="2">
        <v>5</v>
      </c>
      <c r="I1929" s="2">
        <v>1</v>
      </c>
      <c r="J1929" s="2">
        <v>2.2000000000000002</v>
      </c>
      <c r="K1929" s="2" t="s">
        <v>1268</v>
      </c>
      <c r="L1929" s="2" t="str">
        <f t="shared" si="180"/>
        <v>Profitable</v>
      </c>
      <c r="M1929" s="2" t="str">
        <f t="shared" si="181"/>
        <v>High Volatility</v>
      </c>
      <c r="N1929" s="2" t="str">
        <f t="shared" si="182"/>
        <v>Low Quality</v>
      </c>
      <c r="O1929" s="4" t="str">
        <f t="shared" si="183"/>
        <v>Operational Growth</v>
      </c>
      <c r="P1929" s="4" t="str">
        <f t="shared" si="184"/>
        <v>Low Quality</v>
      </c>
      <c r="Q1929" s="4" t="str">
        <f t="shared" si="185"/>
        <v>Weak Growth</v>
      </c>
    </row>
    <row r="1930" spans="1:17" x14ac:dyDescent="0.35">
      <c r="A1930" s="2" t="s">
        <v>1941</v>
      </c>
      <c r="B1930" s="2">
        <v>5</v>
      </c>
      <c r="C1930" s="2">
        <v>8646674944</v>
      </c>
      <c r="D1930" s="2">
        <v>1</v>
      </c>
      <c r="E1930" s="2">
        <v>1934588762</v>
      </c>
      <c r="F1930" s="2">
        <v>3360942575</v>
      </c>
      <c r="G1930" s="2">
        <v>1</v>
      </c>
      <c r="H1930" s="2">
        <v>5</v>
      </c>
      <c r="I1930" s="2">
        <v>1</v>
      </c>
      <c r="J1930" s="2">
        <v>2.2000000000000002</v>
      </c>
      <c r="K1930" s="2" t="s">
        <v>1268</v>
      </c>
      <c r="L1930" s="2" t="str">
        <f t="shared" si="180"/>
        <v>Profitable</v>
      </c>
      <c r="M1930" s="2" t="str">
        <f t="shared" si="181"/>
        <v>High Volatility</v>
      </c>
      <c r="N1930" s="2" t="str">
        <f t="shared" si="182"/>
        <v>Low Quality</v>
      </c>
      <c r="O1930" s="4" t="str">
        <f t="shared" si="183"/>
        <v>Operational Growth</v>
      </c>
      <c r="P1930" s="4" t="str">
        <f t="shared" si="184"/>
        <v>Low Quality</v>
      </c>
      <c r="Q1930" s="4" t="str">
        <f t="shared" si="185"/>
        <v>Weak Growth</v>
      </c>
    </row>
    <row r="1931" spans="1:17" x14ac:dyDescent="0.35">
      <c r="A1931" s="2" t="s">
        <v>1942</v>
      </c>
      <c r="B1931" s="2">
        <v>5</v>
      </c>
      <c r="C1931" s="2">
        <v>2958247561</v>
      </c>
      <c r="D1931" s="2">
        <v>1</v>
      </c>
      <c r="E1931" s="2">
        <v>1951151592</v>
      </c>
      <c r="F1931" s="2">
        <v>3546603523</v>
      </c>
      <c r="G1931" s="2">
        <v>1</v>
      </c>
      <c r="H1931" s="2">
        <v>5</v>
      </c>
      <c r="I1931" s="2">
        <v>1</v>
      </c>
      <c r="J1931" s="2">
        <v>2.2000000000000002</v>
      </c>
      <c r="K1931" s="2" t="s">
        <v>1268</v>
      </c>
      <c r="L1931" s="2" t="str">
        <f t="shared" si="180"/>
        <v>Profitable</v>
      </c>
      <c r="M1931" s="2" t="str">
        <f t="shared" si="181"/>
        <v>High Volatility</v>
      </c>
      <c r="N1931" s="2" t="str">
        <f t="shared" si="182"/>
        <v>Low Quality</v>
      </c>
      <c r="O1931" s="4" t="str">
        <f t="shared" si="183"/>
        <v>Operational Growth</v>
      </c>
      <c r="P1931" s="4" t="str">
        <f t="shared" si="184"/>
        <v>Low Quality</v>
      </c>
      <c r="Q1931" s="4" t="str">
        <f t="shared" si="185"/>
        <v>Weak Growth</v>
      </c>
    </row>
    <row r="1932" spans="1:17" x14ac:dyDescent="0.35">
      <c r="A1932" s="2" t="s">
        <v>1943</v>
      </c>
      <c r="B1932" s="2">
        <v>5</v>
      </c>
      <c r="C1932" s="2">
        <v>3847457396</v>
      </c>
      <c r="D1932" s="2">
        <v>1</v>
      </c>
      <c r="E1932" s="2">
        <v>1647695281</v>
      </c>
      <c r="F1932" s="2">
        <v>4181709414</v>
      </c>
      <c r="G1932" s="2">
        <v>1</v>
      </c>
      <c r="H1932" s="2">
        <v>5</v>
      </c>
      <c r="I1932" s="2">
        <v>1</v>
      </c>
      <c r="J1932" s="2">
        <v>2.2000000000000002</v>
      </c>
      <c r="K1932" s="2" t="s">
        <v>1268</v>
      </c>
      <c r="L1932" s="2" t="str">
        <f t="shared" si="180"/>
        <v>Profitable</v>
      </c>
      <c r="M1932" s="2" t="str">
        <f t="shared" si="181"/>
        <v>High Volatility</v>
      </c>
      <c r="N1932" s="2" t="str">
        <f t="shared" si="182"/>
        <v>Low Quality</v>
      </c>
      <c r="O1932" s="4" t="str">
        <f t="shared" si="183"/>
        <v>Operational Growth</v>
      </c>
      <c r="P1932" s="4" t="str">
        <f t="shared" si="184"/>
        <v>Low Quality</v>
      </c>
      <c r="Q1932" s="4" t="str">
        <f t="shared" si="185"/>
        <v>Weak Growth</v>
      </c>
    </row>
    <row r="1933" spans="1:17" x14ac:dyDescent="0.35">
      <c r="A1933" s="2" t="s">
        <v>1944</v>
      </c>
      <c r="B1933" s="2">
        <v>5</v>
      </c>
      <c r="C1933" s="2">
        <v>2044571516</v>
      </c>
      <c r="D1933" s="2">
        <v>1</v>
      </c>
      <c r="E1933" s="2">
        <v>2037473826</v>
      </c>
      <c r="F1933" s="2">
        <v>4101871887</v>
      </c>
      <c r="G1933" s="2">
        <v>1</v>
      </c>
      <c r="H1933" s="2">
        <v>5</v>
      </c>
      <c r="I1933" s="2">
        <v>1</v>
      </c>
      <c r="J1933" s="2">
        <v>2.2000000000000002</v>
      </c>
      <c r="K1933" s="2" t="s">
        <v>1268</v>
      </c>
      <c r="L1933" s="2" t="str">
        <f t="shared" si="180"/>
        <v>Profitable</v>
      </c>
      <c r="M1933" s="2" t="str">
        <f t="shared" si="181"/>
        <v>High Volatility</v>
      </c>
      <c r="N1933" s="2" t="str">
        <f t="shared" si="182"/>
        <v>Low Quality</v>
      </c>
      <c r="O1933" s="4" t="str">
        <f t="shared" si="183"/>
        <v>Operational Growth</v>
      </c>
      <c r="P1933" s="4" t="str">
        <f t="shared" si="184"/>
        <v>Low Quality</v>
      </c>
      <c r="Q1933" s="4" t="str">
        <f t="shared" si="185"/>
        <v>Weak Growth</v>
      </c>
    </row>
    <row r="1934" spans="1:17" x14ac:dyDescent="0.35">
      <c r="A1934" s="2" t="s">
        <v>1945</v>
      </c>
      <c r="B1934" s="2">
        <v>5</v>
      </c>
      <c r="C1934" s="2">
        <v>5099602771</v>
      </c>
      <c r="D1934" s="2">
        <v>1</v>
      </c>
      <c r="E1934" s="2">
        <v>1857740301</v>
      </c>
      <c r="F1934" s="2">
        <v>3879912066</v>
      </c>
      <c r="G1934" s="2">
        <v>1</v>
      </c>
      <c r="H1934" s="2">
        <v>5</v>
      </c>
      <c r="I1934" s="2">
        <v>1</v>
      </c>
      <c r="J1934" s="2">
        <v>2.2000000000000002</v>
      </c>
      <c r="K1934" s="2" t="s">
        <v>1268</v>
      </c>
      <c r="L1934" s="2" t="str">
        <f t="shared" si="180"/>
        <v>Profitable</v>
      </c>
      <c r="M1934" s="2" t="str">
        <f t="shared" si="181"/>
        <v>High Volatility</v>
      </c>
      <c r="N1934" s="2" t="str">
        <f t="shared" si="182"/>
        <v>Low Quality</v>
      </c>
      <c r="O1934" s="4" t="str">
        <f t="shared" si="183"/>
        <v>Operational Growth</v>
      </c>
      <c r="P1934" s="4" t="str">
        <f t="shared" si="184"/>
        <v>Low Quality</v>
      </c>
      <c r="Q1934" s="4" t="str">
        <f t="shared" si="185"/>
        <v>Weak Growth</v>
      </c>
    </row>
    <row r="1935" spans="1:17" x14ac:dyDescent="0.35">
      <c r="A1935" s="2" t="s">
        <v>1946</v>
      </c>
      <c r="B1935" s="2">
        <v>5</v>
      </c>
      <c r="C1935" s="2">
        <v>6611749356</v>
      </c>
      <c r="D1935" s="2">
        <v>1</v>
      </c>
      <c r="E1935" s="2">
        <v>2764987933</v>
      </c>
      <c r="F1935" s="2">
        <v>4500696441</v>
      </c>
      <c r="G1935" s="2">
        <v>1</v>
      </c>
      <c r="H1935" s="2">
        <v>5</v>
      </c>
      <c r="I1935" s="2">
        <v>1</v>
      </c>
      <c r="J1935" s="2">
        <v>2.2000000000000002</v>
      </c>
      <c r="K1935" s="2" t="s">
        <v>1268</v>
      </c>
      <c r="L1935" s="2" t="str">
        <f t="shared" si="180"/>
        <v>Profitable</v>
      </c>
      <c r="M1935" s="2" t="str">
        <f t="shared" si="181"/>
        <v>High Volatility</v>
      </c>
      <c r="N1935" s="2" t="str">
        <f t="shared" si="182"/>
        <v>Low Quality</v>
      </c>
      <c r="O1935" s="4" t="str">
        <f t="shared" si="183"/>
        <v>Operational Growth</v>
      </c>
      <c r="P1935" s="4" t="str">
        <f t="shared" si="184"/>
        <v>Low Quality</v>
      </c>
      <c r="Q1935" s="4" t="str">
        <f t="shared" si="185"/>
        <v>Weak Growth</v>
      </c>
    </row>
    <row r="1936" spans="1:17" x14ac:dyDescent="0.35">
      <c r="A1936" s="2" t="s">
        <v>1947</v>
      </c>
      <c r="B1936" s="2">
        <v>5</v>
      </c>
      <c r="C1936" s="2">
        <v>4574909003</v>
      </c>
      <c r="D1936" s="2">
        <v>1</v>
      </c>
      <c r="E1936" s="2">
        <v>4865672008</v>
      </c>
      <c r="F1936" s="2">
        <v>10983603273</v>
      </c>
      <c r="G1936" s="2">
        <v>1</v>
      </c>
      <c r="H1936" s="2">
        <v>5</v>
      </c>
      <c r="I1936" s="2">
        <v>1</v>
      </c>
      <c r="J1936" s="2">
        <v>2.2000000000000002</v>
      </c>
      <c r="K1936" s="2" t="s">
        <v>1268</v>
      </c>
      <c r="L1936" s="2" t="str">
        <f t="shared" si="180"/>
        <v>Profitable</v>
      </c>
      <c r="M1936" s="2" t="str">
        <f t="shared" si="181"/>
        <v>High Volatility</v>
      </c>
      <c r="N1936" s="2" t="str">
        <f t="shared" si="182"/>
        <v>Low Quality</v>
      </c>
      <c r="O1936" s="4" t="str">
        <f t="shared" si="183"/>
        <v>Operational Growth</v>
      </c>
      <c r="P1936" s="4" t="str">
        <f t="shared" si="184"/>
        <v>Low Quality</v>
      </c>
      <c r="Q1936" s="4" t="str">
        <f t="shared" si="185"/>
        <v>Weak Growth</v>
      </c>
    </row>
    <row r="1937" spans="1:17" x14ac:dyDescent="0.35">
      <c r="A1937" s="2" t="s">
        <v>1948</v>
      </c>
      <c r="B1937" s="2">
        <v>5</v>
      </c>
      <c r="C1937" s="2">
        <v>5757488654</v>
      </c>
      <c r="D1937" s="2">
        <v>1</v>
      </c>
      <c r="E1937" s="2">
        <v>3045004712</v>
      </c>
      <c r="F1937" s="2">
        <v>6930744904</v>
      </c>
      <c r="G1937" s="2">
        <v>1</v>
      </c>
      <c r="H1937" s="2">
        <v>5</v>
      </c>
      <c r="I1937" s="2">
        <v>1</v>
      </c>
      <c r="J1937" s="2">
        <v>2.2000000000000002</v>
      </c>
      <c r="K1937" s="2" t="s">
        <v>1268</v>
      </c>
      <c r="L1937" s="2" t="str">
        <f t="shared" si="180"/>
        <v>Profitable</v>
      </c>
      <c r="M1937" s="2" t="str">
        <f t="shared" si="181"/>
        <v>High Volatility</v>
      </c>
      <c r="N1937" s="2" t="str">
        <f t="shared" si="182"/>
        <v>Low Quality</v>
      </c>
      <c r="O1937" s="4" t="str">
        <f t="shared" si="183"/>
        <v>Operational Growth</v>
      </c>
      <c r="P1937" s="4" t="str">
        <f t="shared" si="184"/>
        <v>Low Quality</v>
      </c>
      <c r="Q1937" s="4" t="str">
        <f t="shared" si="185"/>
        <v>Weak Growth</v>
      </c>
    </row>
    <row r="1938" spans="1:17" x14ac:dyDescent="0.35">
      <c r="A1938" s="2" t="s">
        <v>1949</v>
      </c>
      <c r="B1938" s="2">
        <v>5</v>
      </c>
      <c r="C1938" s="2">
        <v>7613724747</v>
      </c>
      <c r="D1938" s="2">
        <v>1</v>
      </c>
      <c r="E1938" s="2">
        <v>5077299879</v>
      </c>
      <c r="F1938" s="2">
        <v>11273314036</v>
      </c>
      <c r="G1938" s="2">
        <v>1</v>
      </c>
      <c r="H1938" s="2">
        <v>5</v>
      </c>
      <c r="I1938" s="2">
        <v>1</v>
      </c>
      <c r="J1938" s="2">
        <v>2.2000000000000002</v>
      </c>
      <c r="K1938" s="2" t="s">
        <v>1268</v>
      </c>
      <c r="L1938" s="2" t="str">
        <f t="shared" si="180"/>
        <v>Profitable</v>
      </c>
      <c r="M1938" s="2" t="str">
        <f t="shared" si="181"/>
        <v>High Volatility</v>
      </c>
      <c r="N1938" s="2" t="str">
        <f t="shared" si="182"/>
        <v>Low Quality</v>
      </c>
      <c r="O1938" s="4" t="str">
        <f t="shared" si="183"/>
        <v>Operational Growth</v>
      </c>
      <c r="P1938" s="4" t="str">
        <f t="shared" si="184"/>
        <v>Low Quality</v>
      </c>
      <c r="Q1938" s="4" t="str">
        <f t="shared" si="185"/>
        <v>Weak Growth</v>
      </c>
    </row>
    <row r="1939" spans="1:17" x14ac:dyDescent="0.35">
      <c r="A1939" s="2" t="s">
        <v>1950</v>
      </c>
      <c r="B1939" s="2">
        <v>5</v>
      </c>
      <c r="C1939" s="2">
        <v>83327311421</v>
      </c>
      <c r="D1939" s="2">
        <v>1</v>
      </c>
      <c r="E1939" s="2">
        <v>24281732902</v>
      </c>
      <c r="F1939" s="2">
        <v>43485737579</v>
      </c>
      <c r="G1939" s="2">
        <v>1</v>
      </c>
      <c r="H1939" s="2">
        <v>5</v>
      </c>
      <c r="I1939" s="2">
        <v>1</v>
      </c>
      <c r="J1939" s="2">
        <v>2.2000000000000002</v>
      </c>
      <c r="K1939" s="2" t="s">
        <v>1268</v>
      </c>
      <c r="L1939" s="2" t="str">
        <f t="shared" si="180"/>
        <v>Profitable</v>
      </c>
      <c r="M1939" s="2" t="str">
        <f t="shared" si="181"/>
        <v>High Volatility</v>
      </c>
      <c r="N1939" s="2" t="str">
        <f t="shared" si="182"/>
        <v>Low Quality</v>
      </c>
      <c r="O1939" s="4" t="str">
        <f t="shared" si="183"/>
        <v>Operational Growth</v>
      </c>
      <c r="P1939" s="4" t="str">
        <f t="shared" si="184"/>
        <v>Low Quality</v>
      </c>
      <c r="Q1939" s="4" t="str">
        <f t="shared" si="185"/>
        <v>Weak Growth</v>
      </c>
    </row>
    <row r="1940" spans="1:17" x14ac:dyDescent="0.35">
      <c r="A1940" s="2" t="s">
        <v>1951</v>
      </c>
      <c r="B1940" s="2">
        <v>5</v>
      </c>
      <c r="C1940" s="2">
        <v>56443616693</v>
      </c>
      <c r="D1940" s="2">
        <v>1</v>
      </c>
      <c r="E1940" s="2">
        <v>19038195044</v>
      </c>
      <c r="F1940" s="2">
        <v>38149944908</v>
      </c>
      <c r="G1940" s="2">
        <v>1</v>
      </c>
      <c r="H1940" s="2">
        <v>5</v>
      </c>
      <c r="I1940" s="2">
        <v>1</v>
      </c>
      <c r="J1940" s="2">
        <v>2.2000000000000002</v>
      </c>
      <c r="K1940" s="2" t="s">
        <v>1268</v>
      </c>
      <c r="L1940" s="2" t="str">
        <f t="shared" si="180"/>
        <v>Profitable</v>
      </c>
      <c r="M1940" s="2" t="str">
        <f t="shared" si="181"/>
        <v>High Volatility</v>
      </c>
      <c r="N1940" s="2" t="str">
        <f t="shared" si="182"/>
        <v>Low Quality</v>
      </c>
      <c r="O1940" s="4" t="str">
        <f t="shared" si="183"/>
        <v>Operational Growth</v>
      </c>
      <c r="P1940" s="4" t="str">
        <f t="shared" si="184"/>
        <v>Low Quality</v>
      </c>
      <c r="Q1940" s="4" t="str">
        <f t="shared" si="185"/>
        <v>Weak Growth</v>
      </c>
    </row>
    <row r="1941" spans="1:17" x14ac:dyDescent="0.35">
      <c r="A1941" s="2" t="s">
        <v>1952</v>
      </c>
      <c r="B1941" s="2">
        <v>5</v>
      </c>
      <c r="C1941" s="2">
        <v>20212799714</v>
      </c>
      <c r="D1941" s="2">
        <v>1</v>
      </c>
      <c r="E1941" s="2">
        <v>8026564303</v>
      </c>
      <c r="F1941" s="2">
        <v>19002725820</v>
      </c>
      <c r="G1941" s="2">
        <v>1</v>
      </c>
      <c r="H1941" s="2">
        <v>5</v>
      </c>
      <c r="I1941" s="2">
        <v>1</v>
      </c>
      <c r="J1941" s="2">
        <v>2.2000000000000002</v>
      </c>
      <c r="K1941" s="2" t="s">
        <v>1268</v>
      </c>
      <c r="L1941" s="2" t="str">
        <f t="shared" si="180"/>
        <v>Profitable</v>
      </c>
      <c r="M1941" s="2" t="str">
        <f t="shared" si="181"/>
        <v>High Volatility</v>
      </c>
      <c r="N1941" s="2" t="str">
        <f t="shared" si="182"/>
        <v>Low Quality</v>
      </c>
      <c r="O1941" s="4" t="str">
        <f t="shared" si="183"/>
        <v>Operational Growth</v>
      </c>
      <c r="P1941" s="4" t="str">
        <f t="shared" si="184"/>
        <v>Low Quality</v>
      </c>
      <c r="Q1941" s="4" t="str">
        <f t="shared" si="185"/>
        <v>Weak Growth</v>
      </c>
    </row>
    <row r="1942" spans="1:17" x14ac:dyDescent="0.35">
      <c r="A1942" s="2" t="s">
        <v>1953</v>
      </c>
      <c r="B1942" s="2">
        <v>5</v>
      </c>
      <c r="C1942" s="2">
        <v>1394836801</v>
      </c>
      <c r="D1942" s="2">
        <v>1</v>
      </c>
      <c r="E1942" s="2">
        <v>975418491</v>
      </c>
      <c r="F1942" s="2">
        <v>1829766440</v>
      </c>
      <c r="G1942" s="2">
        <v>1</v>
      </c>
      <c r="H1942" s="2">
        <v>5</v>
      </c>
      <c r="I1942" s="2">
        <v>1</v>
      </c>
      <c r="J1942" s="2">
        <v>2.2000000000000002</v>
      </c>
      <c r="K1942" s="2" t="s">
        <v>1268</v>
      </c>
      <c r="L1942" s="2" t="str">
        <f t="shared" si="180"/>
        <v>Profitable</v>
      </c>
      <c r="M1942" s="2" t="str">
        <f t="shared" si="181"/>
        <v>High Volatility</v>
      </c>
      <c r="N1942" s="2" t="str">
        <f t="shared" si="182"/>
        <v>Low Quality</v>
      </c>
      <c r="O1942" s="4" t="str">
        <f t="shared" si="183"/>
        <v>Operational Growth</v>
      </c>
      <c r="P1942" s="4" t="str">
        <f t="shared" si="184"/>
        <v>Low Quality</v>
      </c>
      <c r="Q1942" s="4" t="str">
        <f t="shared" si="185"/>
        <v>Weak Growth</v>
      </c>
    </row>
    <row r="1943" spans="1:17" x14ac:dyDescent="0.35">
      <c r="A1943" s="2" t="s">
        <v>1954</v>
      </c>
      <c r="B1943" s="2">
        <v>5</v>
      </c>
      <c r="C1943" s="2">
        <v>5119785860</v>
      </c>
      <c r="D1943" s="2">
        <v>1</v>
      </c>
      <c r="E1943" s="2">
        <v>1846290641</v>
      </c>
      <c r="F1943" s="2">
        <v>1755071355</v>
      </c>
      <c r="G1943" s="2">
        <v>1</v>
      </c>
      <c r="H1943" s="2">
        <v>5</v>
      </c>
      <c r="I1943" s="2">
        <v>1</v>
      </c>
      <c r="J1943" s="2">
        <v>2.2000000000000002</v>
      </c>
      <c r="K1943" s="2" t="s">
        <v>1268</v>
      </c>
      <c r="L1943" s="2" t="str">
        <f t="shared" si="180"/>
        <v>Profitable</v>
      </c>
      <c r="M1943" s="2" t="str">
        <f t="shared" si="181"/>
        <v>High Volatility</v>
      </c>
      <c r="N1943" s="2" t="str">
        <f t="shared" si="182"/>
        <v>Low Quality</v>
      </c>
      <c r="O1943" s="4" t="str">
        <f t="shared" si="183"/>
        <v>Operational Growth</v>
      </c>
      <c r="P1943" s="4" t="str">
        <f t="shared" si="184"/>
        <v>Low Quality</v>
      </c>
      <c r="Q1943" s="4" t="str">
        <f t="shared" si="185"/>
        <v>Weak Growth</v>
      </c>
    </row>
    <row r="1944" spans="1:17" x14ac:dyDescent="0.35">
      <c r="A1944" s="2" t="s">
        <v>1955</v>
      </c>
      <c r="B1944" s="2">
        <v>5</v>
      </c>
      <c r="C1944" s="2">
        <v>5886947132</v>
      </c>
      <c r="D1944" s="2">
        <v>1</v>
      </c>
      <c r="E1944" s="2">
        <v>788603509.70000005</v>
      </c>
      <c r="F1944" s="2">
        <v>1731070626</v>
      </c>
      <c r="G1944" s="2">
        <v>1</v>
      </c>
      <c r="H1944" s="2">
        <v>5</v>
      </c>
      <c r="I1944" s="2">
        <v>1</v>
      </c>
      <c r="J1944" s="2">
        <v>2.2000000000000002</v>
      </c>
      <c r="K1944" s="2" t="s">
        <v>1268</v>
      </c>
      <c r="L1944" s="2" t="str">
        <f t="shared" si="180"/>
        <v>Profitable</v>
      </c>
      <c r="M1944" s="2" t="str">
        <f t="shared" si="181"/>
        <v>High Volatility</v>
      </c>
      <c r="N1944" s="2" t="str">
        <f t="shared" si="182"/>
        <v>Low Quality</v>
      </c>
      <c r="O1944" s="4" t="str">
        <f t="shared" si="183"/>
        <v>Operational Growth</v>
      </c>
      <c r="P1944" s="4" t="str">
        <f t="shared" si="184"/>
        <v>Low Quality</v>
      </c>
      <c r="Q1944" s="4" t="str">
        <f t="shared" si="185"/>
        <v>Weak Growth</v>
      </c>
    </row>
    <row r="1945" spans="1:17" x14ac:dyDescent="0.35">
      <c r="A1945" s="2" t="s">
        <v>1956</v>
      </c>
      <c r="B1945" s="2">
        <v>5</v>
      </c>
      <c r="C1945" s="2">
        <v>1795588702</v>
      </c>
      <c r="D1945" s="2">
        <v>1</v>
      </c>
      <c r="E1945" s="2">
        <v>1023677921</v>
      </c>
      <c r="F1945" s="2">
        <v>2231986557</v>
      </c>
      <c r="G1945" s="2">
        <v>1</v>
      </c>
      <c r="H1945" s="2">
        <v>5</v>
      </c>
      <c r="I1945" s="2">
        <v>1</v>
      </c>
      <c r="J1945" s="2">
        <v>2.2000000000000002</v>
      </c>
      <c r="K1945" s="2" t="s">
        <v>1268</v>
      </c>
      <c r="L1945" s="2" t="str">
        <f t="shared" si="180"/>
        <v>Profitable</v>
      </c>
      <c r="M1945" s="2" t="str">
        <f t="shared" si="181"/>
        <v>High Volatility</v>
      </c>
      <c r="N1945" s="2" t="str">
        <f t="shared" si="182"/>
        <v>Low Quality</v>
      </c>
      <c r="O1945" s="4" t="str">
        <f t="shared" si="183"/>
        <v>Operational Growth</v>
      </c>
      <c r="P1945" s="4" t="str">
        <f t="shared" si="184"/>
        <v>Low Quality</v>
      </c>
      <c r="Q1945" s="4" t="str">
        <f t="shared" si="185"/>
        <v>Weak Growth</v>
      </c>
    </row>
    <row r="1946" spans="1:17" x14ac:dyDescent="0.35">
      <c r="A1946" s="2" t="s">
        <v>1957</v>
      </c>
      <c r="B1946" s="2">
        <v>5</v>
      </c>
      <c r="C1946" s="2">
        <v>3421041678</v>
      </c>
      <c r="D1946" s="2">
        <v>1</v>
      </c>
      <c r="E1946" s="2">
        <v>1169486282</v>
      </c>
      <c r="F1946" s="2">
        <v>2195635980</v>
      </c>
      <c r="G1946" s="2">
        <v>1</v>
      </c>
      <c r="H1946" s="2">
        <v>5</v>
      </c>
      <c r="I1946" s="2">
        <v>1</v>
      </c>
      <c r="J1946" s="2">
        <v>2.2000000000000002</v>
      </c>
      <c r="K1946" s="2" t="s">
        <v>1268</v>
      </c>
      <c r="L1946" s="2" t="str">
        <f t="shared" si="180"/>
        <v>Profitable</v>
      </c>
      <c r="M1946" s="2" t="str">
        <f t="shared" si="181"/>
        <v>High Volatility</v>
      </c>
      <c r="N1946" s="2" t="str">
        <f t="shared" si="182"/>
        <v>Low Quality</v>
      </c>
      <c r="O1946" s="4" t="str">
        <f t="shared" si="183"/>
        <v>Operational Growth</v>
      </c>
      <c r="P1946" s="4" t="str">
        <f t="shared" si="184"/>
        <v>Low Quality</v>
      </c>
      <c r="Q1946" s="4" t="str">
        <f t="shared" si="185"/>
        <v>Weak Growth</v>
      </c>
    </row>
    <row r="1947" spans="1:17" x14ac:dyDescent="0.35">
      <c r="A1947" s="2" t="s">
        <v>1958</v>
      </c>
      <c r="B1947" s="2">
        <v>5</v>
      </c>
      <c r="C1947" s="2">
        <v>2269226396</v>
      </c>
      <c r="D1947" s="2">
        <v>1</v>
      </c>
      <c r="E1947" s="2">
        <v>1085814674</v>
      </c>
      <c r="F1947" s="2">
        <v>2177562102</v>
      </c>
      <c r="G1947" s="2">
        <v>1</v>
      </c>
      <c r="H1947" s="2">
        <v>5</v>
      </c>
      <c r="I1947" s="2">
        <v>1</v>
      </c>
      <c r="J1947" s="2">
        <v>2.2000000000000002</v>
      </c>
      <c r="K1947" s="2" t="s">
        <v>1268</v>
      </c>
      <c r="L1947" s="2" t="str">
        <f t="shared" si="180"/>
        <v>Profitable</v>
      </c>
      <c r="M1947" s="2" t="str">
        <f t="shared" si="181"/>
        <v>High Volatility</v>
      </c>
      <c r="N1947" s="2" t="str">
        <f t="shared" si="182"/>
        <v>Low Quality</v>
      </c>
      <c r="O1947" s="4" t="str">
        <f t="shared" si="183"/>
        <v>Operational Growth</v>
      </c>
      <c r="P1947" s="4" t="str">
        <f t="shared" si="184"/>
        <v>Low Quality</v>
      </c>
      <c r="Q1947" s="4" t="str">
        <f t="shared" si="185"/>
        <v>Weak Growth</v>
      </c>
    </row>
    <row r="1948" spans="1:17" x14ac:dyDescent="0.35">
      <c r="A1948" s="2" t="s">
        <v>1959</v>
      </c>
      <c r="B1948" s="2">
        <v>5</v>
      </c>
      <c r="C1948" s="2">
        <v>5559422808</v>
      </c>
      <c r="D1948" s="2">
        <v>1</v>
      </c>
      <c r="E1948" s="2">
        <v>1613723373</v>
      </c>
      <c r="F1948" s="2">
        <v>2110470383</v>
      </c>
      <c r="G1948" s="2">
        <v>1</v>
      </c>
      <c r="H1948" s="2">
        <v>5</v>
      </c>
      <c r="I1948" s="2">
        <v>1</v>
      </c>
      <c r="J1948" s="2">
        <v>2.2000000000000002</v>
      </c>
      <c r="K1948" s="2" t="s">
        <v>1268</v>
      </c>
      <c r="L1948" s="2" t="str">
        <f t="shared" si="180"/>
        <v>Profitable</v>
      </c>
      <c r="M1948" s="2" t="str">
        <f t="shared" si="181"/>
        <v>High Volatility</v>
      </c>
      <c r="N1948" s="2" t="str">
        <f t="shared" si="182"/>
        <v>Low Quality</v>
      </c>
      <c r="O1948" s="4" t="str">
        <f t="shared" si="183"/>
        <v>Operational Growth</v>
      </c>
      <c r="P1948" s="4" t="str">
        <f t="shared" si="184"/>
        <v>Low Quality</v>
      </c>
      <c r="Q1948" s="4" t="str">
        <f t="shared" si="185"/>
        <v>Weak Growth</v>
      </c>
    </row>
    <row r="1949" spans="1:17" x14ac:dyDescent="0.35">
      <c r="A1949" s="2" t="s">
        <v>1960</v>
      </c>
      <c r="B1949" s="2">
        <v>5</v>
      </c>
      <c r="C1949" s="2">
        <v>6906864788</v>
      </c>
      <c r="D1949" s="2">
        <v>1</v>
      </c>
      <c r="E1949" s="2">
        <v>1647504683</v>
      </c>
      <c r="F1949" s="2">
        <v>2031475840</v>
      </c>
      <c r="G1949" s="2">
        <v>1</v>
      </c>
      <c r="H1949" s="2">
        <v>5</v>
      </c>
      <c r="I1949" s="2">
        <v>1</v>
      </c>
      <c r="J1949" s="2">
        <v>2.2000000000000002</v>
      </c>
      <c r="K1949" s="2" t="s">
        <v>1268</v>
      </c>
      <c r="L1949" s="2" t="str">
        <f t="shared" si="180"/>
        <v>Profitable</v>
      </c>
      <c r="M1949" s="2" t="str">
        <f t="shared" si="181"/>
        <v>High Volatility</v>
      </c>
      <c r="N1949" s="2" t="str">
        <f t="shared" si="182"/>
        <v>Low Quality</v>
      </c>
      <c r="O1949" s="4" t="str">
        <f t="shared" si="183"/>
        <v>Operational Growth</v>
      </c>
      <c r="P1949" s="4" t="str">
        <f t="shared" si="184"/>
        <v>Low Quality</v>
      </c>
      <c r="Q1949" s="4" t="str">
        <f t="shared" si="185"/>
        <v>Weak Growth</v>
      </c>
    </row>
    <row r="1950" spans="1:17" x14ac:dyDescent="0.35">
      <c r="A1950" s="2" t="s">
        <v>1961</v>
      </c>
      <c r="B1950" s="2">
        <v>5</v>
      </c>
      <c r="C1950" s="2">
        <v>2000779844</v>
      </c>
      <c r="D1950" s="2">
        <v>1</v>
      </c>
      <c r="E1950" s="2">
        <v>930455738</v>
      </c>
      <c r="F1950" s="2">
        <v>1862671387</v>
      </c>
      <c r="G1950" s="2">
        <v>1</v>
      </c>
      <c r="H1950" s="2">
        <v>5</v>
      </c>
      <c r="I1950" s="2">
        <v>1</v>
      </c>
      <c r="J1950" s="2">
        <v>2.2000000000000002</v>
      </c>
      <c r="K1950" s="2" t="s">
        <v>1268</v>
      </c>
      <c r="L1950" s="2" t="str">
        <f t="shared" si="180"/>
        <v>Profitable</v>
      </c>
      <c r="M1950" s="2" t="str">
        <f t="shared" si="181"/>
        <v>High Volatility</v>
      </c>
      <c r="N1950" s="2" t="str">
        <f t="shared" si="182"/>
        <v>Low Quality</v>
      </c>
      <c r="O1950" s="4" t="str">
        <f t="shared" si="183"/>
        <v>Operational Growth</v>
      </c>
      <c r="P1950" s="4" t="str">
        <f t="shared" si="184"/>
        <v>Low Quality</v>
      </c>
      <c r="Q1950" s="4" t="str">
        <f t="shared" si="185"/>
        <v>Weak Growth</v>
      </c>
    </row>
    <row r="1951" spans="1:17" x14ac:dyDescent="0.35">
      <c r="A1951" s="2" t="s">
        <v>1962</v>
      </c>
      <c r="B1951" s="2">
        <v>5</v>
      </c>
      <c r="C1951" s="2">
        <v>1176932198</v>
      </c>
      <c r="D1951" s="2">
        <v>1</v>
      </c>
      <c r="E1951" s="2">
        <v>627882608.10000002</v>
      </c>
      <c r="F1951" s="2">
        <v>1363706609</v>
      </c>
      <c r="G1951" s="2">
        <v>1</v>
      </c>
      <c r="H1951" s="2">
        <v>5</v>
      </c>
      <c r="I1951" s="2">
        <v>1</v>
      </c>
      <c r="J1951" s="2">
        <v>2.2000000000000002</v>
      </c>
      <c r="K1951" s="2" t="s">
        <v>1268</v>
      </c>
      <c r="L1951" s="2" t="str">
        <f t="shared" si="180"/>
        <v>Profitable</v>
      </c>
      <c r="M1951" s="2" t="str">
        <f t="shared" si="181"/>
        <v>High Volatility</v>
      </c>
      <c r="N1951" s="2" t="str">
        <f t="shared" si="182"/>
        <v>Low Quality</v>
      </c>
      <c r="O1951" s="4" t="str">
        <f t="shared" si="183"/>
        <v>Operational Growth</v>
      </c>
      <c r="P1951" s="4" t="str">
        <f t="shared" si="184"/>
        <v>Low Quality</v>
      </c>
      <c r="Q1951" s="4" t="str">
        <f t="shared" si="185"/>
        <v>Weak Growth</v>
      </c>
    </row>
    <row r="1952" spans="1:17" x14ac:dyDescent="0.35">
      <c r="A1952" s="2" t="s">
        <v>1963</v>
      </c>
      <c r="B1952" s="2">
        <v>5</v>
      </c>
      <c r="C1952" s="2">
        <v>1695626201</v>
      </c>
      <c r="D1952" s="2">
        <v>1</v>
      </c>
      <c r="E1952" s="2">
        <v>662848529.29999995</v>
      </c>
      <c r="F1952" s="2">
        <v>1486239945</v>
      </c>
      <c r="G1952" s="2">
        <v>1</v>
      </c>
      <c r="H1952" s="2">
        <v>5</v>
      </c>
      <c r="I1952" s="2">
        <v>1</v>
      </c>
      <c r="J1952" s="2">
        <v>2.2000000000000002</v>
      </c>
      <c r="K1952" s="2" t="s">
        <v>1268</v>
      </c>
      <c r="L1952" s="2" t="str">
        <f t="shared" si="180"/>
        <v>Profitable</v>
      </c>
      <c r="M1952" s="2" t="str">
        <f t="shared" si="181"/>
        <v>High Volatility</v>
      </c>
      <c r="N1952" s="2" t="str">
        <f t="shared" si="182"/>
        <v>Low Quality</v>
      </c>
      <c r="O1952" s="4" t="str">
        <f t="shared" si="183"/>
        <v>Operational Growth</v>
      </c>
      <c r="P1952" s="4" t="str">
        <f t="shared" si="184"/>
        <v>Low Quality</v>
      </c>
      <c r="Q1952" s="4" t="str">
        <f t="shared" si="185"/>
        <v>Weak Growth</v>
      </c>
    </row>
    <row r="1953" spans="1:17" x14ac:dyDescent="0.35">
      <c r="A1953" s="2" t="s">
        <v>1964</v>
      </c>
      <c r="B1953" s="2">
        <v>5</v>
      </c>
      <c r="C1953" s="2">
        <v>1308423892</v>
      </c>
      <c r="D1953" s="2">
        <v>1</v>
      </c>
      <c r="E1953" s="2">
        <v>1086355971</v>
      </c>
      <c r="F1953" s="2">
        <v>1274973399</v>
      </c>
      <c r="G1953" s="2">
        <v>1</v>
      </c>
      <c r="H1953" s="2">
        <v>5</v>
      </c>
      <c r="I1953" s="2">
        <v>1</v>
      </c>
      <c r="J1953" s="2">
        <v>2.2000000000000002</v>
      </c>
      <c r="K1953" s="2" t="s">
        <v>1268</v>
      </c>
      <c r="L1953" s="2" t="str">
        <f t="shared" si="180"/>
        <v>Profitable</v>
      </c>
      <c r="M1953" s="2" t="str">
        <f t="shared" si="181"/>
        <v>High Volatility</v>
      </c>
      <c r="N1953" s="2" t="str">
        <f t="shared" si="182"/>
        <v>Low Quality</v>
      </c>
      <c r="O1953" s="4" t="str">
        <f t="shared" si="183"/>
        <v>Operational Growth</v>
      </c>
      <c r="P1953" s="4" t="str">
        <f t="shared" si="184"/>
        <v>Low Quality</v>
      </c>
      <c r="Q1953" s="4" t="str">
        <f t="shared" si="185"/>
        <v>Weak Growth</v>
      </c>
    </row>
    <row r="1954" spans="1:17" x14ac:dyDescent="0.35">
      <c r="A1954" s="2" t="s">
        <v>1965</v>
      </c>
      <c r="B1954" s="2">
        <v>5</v>
      </c>
      <c r="C1954" s="2">
        <v>281798880.69999999</v>
      </c>
      <c r="D1954" s="2">
        <v>1</v>
      </c>
      <c r="E1954" s="2">
        <v>576533333.29999995</v>
      </c>
      <c r="F1954" s="2">
        <v>1273771480</v>
      </c>
      <c r="G1954" s="2">
        <v>1</v>
      </c>
      <c r="H1954" s="2">
        <v>5</v>
      </c>
      <c r="I1954" s="2">
        <v>1</v>
      </c>
      <c r="J1954" s="2">
        <v>2.2000000000000002</v>
      </c>
      <c r="K1954" s="2" t="s">
        <v>1268</v>
      </c>
      <c r="L1954" s="2" t="str">
        <f t="shared" si="180"/>
        <v>Profitable</v>
      </c>
      <c r="M1954" s="2" t="str">
        <f t="shared" si="181"/>
        <v>Stable Earnings</v>
      </c>
      <c r="N1954" s="2" t="str">
        <f t="shared" si="182"/>
        <v>Low Quality</v>
      </c>
      <c r="O1954" s="4" t="str">
        <f t="shared" si="183"/>
        <v>Operational Growth</v>
      </c>
      <c r="P1954" s="4" t="str">
        <f t="shared" si="184"/>
        <v>Low Quality</v>
      </c>
      <c r="Q1954" s="4" t="str">
        <f t="shared" si="185"/>
        <v>Weak Growth</v>
      </c>
    </row>
    <row r="1955" spans="1:17" x14ac:dyDescent="0.35">
      <c r="A1955" s="2" t="s">
        <v>1966</v>
      </c>
      <c r="B1955" s="2">
        <v>5</v>
      </c>
      <c r="C1955" s="2">
        <v>5295239004</v>
      </c>
      <c r="D1955" s="2">
        <v>1</v>
      </c>
      <c r="E1955" s="2">
        <v>514653812.80000001</v>
      </c>
      <c r="F1955" s="2">
        <v>1245906295</v>
      </c>
      <c r="G1955" s="2">
        <v>1</v>
      </c>
      <c r="H1955" s="2">
        <v>5</v>
      </c>
      <c r="I1955" s="2">
        <v>1</v>
      </c>
      <c r="J1955" s="2">
        <v>2.2000000000000002</v>
      </c>
      <c r="K1955" s="2" t="s">
        <v>1268</v>
      </c>
      <c r="L1955" s="2" t="str">
        <f t="shared" si="180"/>
        <v>Profitable</v>
      </c>
      <c r="M1955" s="2" t="str">
        <f t="shared" si="181"/>
        <v>High Volatility</v>
      </c>
      <c r="N1955" s="2" t="str">
        <f t="shared" si="182"/>
        <v>Low Quality</v>
      </c>
      <c r="O1955" s="4" t="str">
        <f t="shared" si="183"/>
        <v>Operational Growth</v>
      </c>
      <c r="P1955" s="4" t="str">
        <f t="shared" si="184"/>
        <v>Low Quality</v>
      </c>
      <c r="Q1955" s="4" t="str">
        <f t="shared" si="185"/>
        <v>Weak Growth</v>
      </c>
    </row>
    <row r="1956" spans="1:17" x14ac:dyDescent="0.35">
      <c r="A1956" s="2" t="s">
        <v>1967</v>
      </c>
      <c r="B1956" s="2">
        <v>5</v>
      </c>
      <c r="C1956" s="2">
        <v>764208915</v>
      </c>
      <c r="D1956" s="2">
        <v>1</v>
      </c>
      <c r="E1956" s="2">
        <v>498995297</v>
      </c>
      <c r="F1956" s="2">
        <v>1114126968</v>
      </c>
      <c r="G1956" s="2">
        <v>1</v>
      </c>
      <c r="H1956" s="2">
        <v>5</v>
      </c>
      <c r="I1956" s="2">
        <v>1</v>
      </c>
      <c r="J1956" s="2">
        <v>2.2000000000000002</v>
      </c>
      <c r="K1956" s="2" t="s">
        <v>1268</v>
      </c>
      <c r="L1956" s="2" t="str">
        <f t="shared" si="180"/>
        <v>Profitable</v>
      </c>
      <c r="M1956" s="2" t="str">
        <f t="shared" si="181"/>
        <v>High Volatility</v>
      </c>
      <c r="N1956" s="2" t="str">
        <f t="shared" si="182"/>
        <v>Low Quality</v>
      </c>
      <c r="O1956" s="4" t="str">
        <f t="shared" si="183"/>
        <v>Operational Growth</v>
      </c>
      <c r="P1956" s="4" t="str">
        <f t="shared" si="184"/>
        <v>Low Quality</v>
      </c>
      <c r="Q1956" s="4" t="str">
        <f t="shared" si="185"/>
        <v>Weak Growth</v>
      </c>
    </row>
    <row r="1957" spans="1:17" x14ac:dyDescent="0.35">
      <c r="A1957" s="2" t="s">
        <v>1968</v>
      </c>
      <c r="B1957" s="2">
        <v>5</v>
      </c>
      <c r="C1957" s="2">
        <v>1723831685</v>
      </c>
      <c r="D1957" s="2">
        <v>1</v>
      </c>
      <c r="E1957" s="2">
        <v>492759108.69999999</v>
      </c>
      <c r="F1957" s="2">
        <v>1136645238</v>
      </c>
      <c r="G1957" s="2">
        <v>1</v>
      </c>
      <c r="H1957" s="2">
        <v>5</v>
      </c>
      <c r="I1957" s="2">
        <v>1</v>
      </c>
      <c r="J1957" s="2">
        <v>2.2000000000000002</v>
      </c>
      <c r="K1957" s="2" t="s">
        <v>1268</v>
      </c>
      <c r="L1957" s="2" t="str">
        <f t="shared" si="180"/>
        <v>Profitable</v>
      </c>
      <c r="M1957" s="2" t="str">
        <f t="shared" si="181"/>
        <v>High Volatility</v>
      </c>
      <c r="N1957" s="2" t="str">
        <f t="shared" si="182"/>
        <v>Low Quality</v>
      </c>
      <c r="O1957" s="4" t="str">
        <f t="shared" si="183"/>
        <v>Operational Growth</v>
      </c>
      <c r="P1957" s="4" t="str">
        <f t="shared" si="184"/>
        <v>Low Quality</v>
      </c>
      <c r="Q1957" s="4" t="str">
        <f t="shared" si="185"/>
        <v>Weak Growth</v>
      </c>
    </row>
    <row r="1958" spans="1:17" x14ac:dyDescent="0.35">
      <c r="A1958" s="2" t="s">
        <v>1969</v>
      </c>
      <c r="B1958" s="2">
        <v>5</v>
      </c>
      <c r="C1958" s="2">
        <v>2280008763</v>
      </c>
      <c r="D1958" s="2">
        <v>1</v>
      </c>
      <c r="E1958" s="2">
        <v>677734368.79999995</v>
      </c>
      <c r="F1958" s="2">
        <v>1134645981</v>
      </c>
      <c r="G1958" s="2">
        <v>1</v>
      </c>
      <c r="H1958" s="2">
        <v>5</v>
      </c>
      <c r="I1958" s="2">
        <v>1</v>
      </c>
      <c r="J1958" s="2">
        <v>2.2000000000000002</v>
      </c>
      <c r="K1958" s="2" t="s">
        <v>1268</v>
      </c>
      <c r="L1958" s="2" t="str">
        <f t="shared" si="180"/>
        <v>Profitable</v>
      </c>
      <c r="M1958" s="2" t="str">
        <f t="shared" si="181"/>
        <v>High Volatility</v>
      </c>
      <c r="N1958" s="2" t="str">
        <f t="shared" si="182"/>
        <v>Low Quality</v>
      </c>
      <c r="O1958" s="4" t="str">
        <f t="shared" si="183"/>
        <v>Operational Growth</v>
      </c>
      <c r="P1958" s="4" t="str">
        <f t="shared" si="184"/>
        <v>Low Quality</v>
      </c>
      <c r="Q1958" s="4" t="str">
        <f t="shared" si="185"/>
        <v>Weak Growth</v>
      </c>
    </row>
    <row r="1959" spans="1:17" x14ac:dyDescent="0.35">
      <c r="A1959" s="2" t="s">
        <v>1970</v>
      </c>
      <c r="B1959" s="2">
        <v>5</v>
      </c>
      <c r="C1959" s="2">
        <v>2102234590</v>
      </c>
      <c r="D1959" s="2">
        <v>1</v>
      </c>
      <c r="E1959" s="2">
        <v>440121327.60000002</v>
      </c>
      <c r="F1959" s="2">
        <v>991665798</v>
      </c>
      <c r="G1959" s="2">
        <v>1</v>
      </c>
      <c r="H1959" s="2">
        <v>5</v>
      </c>
      <c r="I1959" s="2">
        <v>1</v>
      </c>
      <c r="J1959" s="2">
        <v>2.2000000000000002</v>
      </c>
      <c r="K1959" s="2" t="s">
        <v>1268</v>
      </c>
      <c r="L1959" s="2" t="str">
        <f t="shared" si="180"/>
        <v>Profitable</v>
      </c>
      <c r="M1959" s="2" t="str">
        <f t="shared" si="181"/>
        <v>High Volatility</v>
      </c>
      <c r="N1959" s="2" t="str">
        <f t="shared" si="182"/>
        <v>Low Quality</v>
      </c>
      <c r="O1959" s="4" t="str">
        <f t="shared" si="183"/>
        <v>Operational Growth</v>
      </c>
      <c r="P1959" s="4" t="str">
        <f t="shared" si="184"/>
        <v>Low Quality</v>
      </c>
      <c r="Q1959" s="4" t="str">
        <f t="shared" si="185"/>
        <v>Weak Growth</v>
      </c>
    </row>
    <row r="1960" spans="1:17" x14ac:dyDescent="0.35">
      <c r="A1960" s="2" t="s">
        <v>1971</v>
      </c>
      <c r="B1960" s="2">
        <v>5</v>
      </c>
      <c r="C1960" s="2">
        <v>11416869453</v>
      </c>
      <c r="D1960" s="2">
        <v>1</v>
      </c>
      <c r="E1960" s="2">
        <v>699882507.29999995</v>
      </c>
      <c r="F1960" s="2">
        <v>1108050628</v>
      </c>
      <c r="G1960" s="2">
        <v>1</v>
      </c>
      <c r="H1960" s="2">
        <v>5</v>
      </c>
      <c r="I1960" s="2">
        <v>1</v>
      </c>
      <c r="J1960" s="2">
        <v>2.2000000000000002</v>
      </c>
      <c r="K1960" s="2" t="s">
        <v>1268</v>
      </c>
      <c r="L1960" s="2" t="str">
        <f t="shared" si="180"/>
        <v>Profitable</v>
      </c>
      <c r="M1960" s="2" t="str">
        <f t="shared" si="181"/>
        <v>High Volatility</v>
      </c>
      <c r="N1960" s="2" t="str">
        <f t="shared" si="182"/>
        <v>Low Quality</v>
      </c>
      <c r="O1960" s="4" t="str">
        <f t="shared" si="183"/>
        <v>Operational Growth</v>
      </c>
      <c r="P1960" s="4" t="str">
        <f t="shared" si="184"/>
        <v>Low Quality</v>
      </c>
      <c r="Q1960" s="4" t="str">
        <f t="shared" si="185"/>
        <v>Weak Growth</v>
      </c>
    </row>
    <row r="1961" spans="1:17" x14ac:dyDescent="0.35">
      <c r="A1961" s="2" t="s">
        <v>1972</v>
      </c>
      <c r="B1961" s="2">
        <v>5</v>
      </c>
      <c r="C1961" s="2">
        <v>1963461476</v>
      </c>
      <c r="D1961" s="2">
        <v>1</v>
      </c>
      <c r="E1961" s="2">
        <v>635877281.60000002</v>
      </c>
      <c r="F1961" s="2">
        <v>1076036949</v>
      </c>
      <c r="G1961" s="2">
        <v>1</v>
      </c>
      <c r="H1961" s="2">
        <v>5</v>
      </c>
      <c r="I1961" s="2">
        <v>1</v>
      </c>
      <c r="J1961" s="2">
        <v>2.2000000000000002</v>
      </c>
      <c r="K1961" s="2" t="s">
        <v>1268</v>
      </c>
      <c r="L1961" s="2" t="str">
        <f t="shared" si="180"/>
        <v>Profitable</v>
      </c>
      <c r="M1961" s="2" t="str">
        <f t="shared" si="181"/>
        <v>High Volatility</v>
      </c>
      <c r="N1961" s="2" t="str">
        <f t="shared" si="182"/>
        <v>Low Quality</v>
      </c>
      <c r="O1961" s="4" t="str">
        <f t="shared" si="183"/>
        <v>Operational Growth</v>
      </c>
      <c r="P1961" s="4" t="str">
        <f t="shared" si="184"/>
        <v>Low Quality</v>
      </c>
      <c r="Q1961" s="4" t="str">
        <f t="shared" si="185"/>
        <v>Weak Growth</v>
      </c>
    </row>
    <row r="1962" spans="1:17" x14ac:dyDescent="0.35">
      <c r="A1962" s="2" t="s">
        <v>1973</v>
      </c>
      <c r="B1962" s="2">
        <v>5</v>
      </c>
      <c r="C1962" s="2">
        <v>707540330.20000005</v>
      </c>
      <c r="D1962" s="2">
        <v>1</v>
      </c>
      <c r="E1962" s="2">
        <v>424840535</v>
      </c>
      <c r="F1962" s="2">
        <v>1063562497</v>
      </c>
      <c r="G1962" s="2">
        <v>1</v>
      </c>
      <c r="H1962" s="2">
        <v>5</v>
      </c>
      <c r="I1962" s="2">
        <v>1</v>
      </c>
      <c r="J1962" s="2">
        <v>2.2000000000000002</v>
      </c>
      <c r="K1962" s="2" t="s">
        <v>1268</v>
      </c>
      <c r="L1962" s="2" t="str">
        <f t="shared" si="180"/>
        <v>Profitable</v>
      </c>
      <c r="M1962" s="2" t="str">
        <f t="shared" si="181"/>
        <v>High Volatility</v>
      </c>
      <c r="N1962" s="2" t="str">
        <f t="shared" si="182"/>
        <v>Low Quality</v>
      </c>
      <c r="O1962" s="4" t="str">
        <f t="shared" si="183"/>
        <v>Operational Growth</v>
      </c>
      <c r="P1962" s="4" t="str">
        <f t="shared" si="184"/>
        <v>Low Quality</v>
      </c>
      <c r="Q1962" s="4" t="str">
        <f t="shared" si="185"/>
        <v>Weak Growth</v>
      </c>
    </row>
    <row r="1963" spans="1:17" x14ac:dyDescent="0.35">
      <c r="A1963" s="2" t="s">
        <v>1974</v>
      </c>
      <c r="B1963" s="2">
        <v>5</v>
      </c>
      <c r="C1963" s="2">
        <v>139647491.80000001</v>
      </c>
      <c r="D1963" s="2">
        <v>1</v>
      </c>
      <c r="E1963" s="2">
        <v>67085498.810000002</v>
      </c>
      <c r="F1963" s="2">
        <v>-19215247.800000001</v>
      </c>
      <c r="G1963" s="2">
        <v>1</v>
      </c>
      <c r="H1963" s="2">
        <v>3</v>
      </c>
      <c r="I1963" s="2">
        <v>4</v>
      </c>
      <c r="J1963" s="2">
        <v>2.2000000000000002</v>
      </c>
      <c r="K1963" s="2" t="s">
        <v>1268</v>
      </c>
      <c r="L1963" s="2" t="str">
        <f t="shared" si="180"/>
        <v>Profitable</v>
      </c>
      <c r="M1963" s="2" t="str">
        <f t="shared" si="181"/>
        <v>Stable Earnings</v>
      </c>
      <c r="N1963" s="2" t="str">
        <f t="shared" si="182"/>
        <v>Low Quality</v>
      </c>
      <c r="O1963" s="4" t="str">
        <f t="shared" si="183"/>
        <v>Accounting Risk</v>
      </c>
      <c r="P1963" s="4" t="str">
        <f t="shared" si="184"/>
        <v>Low Quality</v>
      </c>
      <c r="Q1963" s="4" t="str">
        <f t="shared" si="185"/>
        <v>Strong Long-Term Growth</v>
      </c>
    </row>
    <row r="1964" spans="1:17" x14ac:dyDescent="0.35">
      <c r="A1964" s="2" t="s">
        <v>1975</v>
      </c>
      <c r="B1964" s="2">
        <v>5</v>
      </c>
      <c r="C1964" s="2">
        <v>343374932.89999998</v>
      </c>
      <c r="D1964" s="2">
        <v>1</v>
      </c>
      <c r="E1964" s="2">
        <v>100859481.59999999</v>
      </c>
      <c r="F1964" s="2">
        <v>-19590851.100000001</v>
      </c>
      <c r="G1964" s="2">
        <v>1</v>
      </c>
      <c r="H1964" s="2">
        <v>3</v>
      </c>
      <c r="I1964" s="2">
        <v>4</v>
      </c>
      <c r="J1964" s="2">
        <v>2.2000000000000002</v>
      </c>
      <c r="K1964" s="2" t="s">
        <v>1268</v>
      </c>
      <c r="L1964" s="2" t="str">
        <f t="shared" si="180"/>
        <v>Profitable</v>
      </c>
      <c r="M1964" s="2" t="str">
        <f t="shared" si="181"/>
        <v>Stable Earnings</v>
      </c>
      <c r="N1964" s="2" t="str">
        <f t="shared" si="182"/>
        <v>Low Quality</v>
      </c>
      <c r="O1964" s="4" t="str">
        <f t="shared" si="183"/>
        <v>Accounting Risk</v>
      </c>
      <c r="P1964" s="4" t="str">
        <f t="shared" si="184"/>
        <v>Low Quality</v>
      </c>
      <c r="Q1964" s="4" t="str">
        <f t="shared" si="185"/>
        <v>Strong Long-Term Growth</v>
      </c>
    </row>
    <row r="1965" spans="1:17" x14ac:dyDescent="0.35">
      <c r="A1965" s="2" t="s">
        <v>1976</v>
      </c>
      <c r="B1965" s="2">
        <v>5</v>
      </c>
      <c r="C1965" s="2">
        <v>375909263</v>
      </c>
      <c r="D1965" s="2">
        <v>1</v>
      </c>
      <c r="E1965" s="2">
        <v>53867513.140000001</v>
      </c>
      <c r="F1965" s="2">
        <v>-21303292.100000001</v>
      </c>
      <c r="G1965" s="2">
        <v>1</v>
      </c>
      <c r="H1965" s="2">
        <v>3</v>
      </c>
      <c r="I1965" s="2">
        <v>4</v>
      </c>
      <c r="J1965" s="2">
        <v>2.2000000000000002</v>
      </c>
      <c r="K1965" s="2" t="s">
        <v>1268</v>
      </c>
      <c r="L1965" s="2" t="str">
        <f t="shared" si="180"/>
        <v>Profitable</v>
      </c>
      <c r="M1965" s="2" t="str">
        <f t="shared" si="181"/>
        <v>Stable Earnings</v>
      </c>
      <c r="N1965" s="2" t="str">
        <f t="shared" si="182"/>
        <v>Low Quality</v>
      </c>
      <c r="O1965" s="4" t="str">
        <f t="shared" si="183"/>
        <v>Accounting Risk</v>
      </c>
      <c r="P1965" s="4" t="str">
        <f t="shared" si="184"/>
        <v>Low Quality</v>
      </c>
      <c r="Q1965" s="4" t="str">
        <f t="shared" si="185"/>
        <v>Strong Long-Term Growth</v>
      </c>
    </row>
    <row r="1966" spans="1:17" x14ac:dyDescent="0.35">
      <c r="A1966" s="2" t="s">
        <v>1977</v>
      </c>
      <c r="B1966" s="2">
        <v>5</v>
      </c>
      <c r="C1966" s="2">
        <v>836964363.29999995</v>
      </c>
      <c r="D1966" s="2">
        <v>1</v>
      </c>
      <c r="E1966" s="2">
        <v>53761005.609999999</v>
      </c>
      <c r="F1966" s="2">
        <v>-29437144.5</v>
      </c>
      <c r="G1966" s="2">
        <v>1</v>
      </c>
      <c r="H1966" s="2">
        <v>3</v>
      </c>
      <c r="I1966" s="2">
        <v>4</v>
      </c>
      <c r="J1966" s="2">
        <v>2.2000000000000002</v>
      </c>
      <c r="K1966" s="2" t="s">
        <v>1268</v>
      </c>
      <c r="L1966" s="2" t="str">
        <f t="shared" si="180"/>
        <v>Profitable</v>
      </c>
      <c r="M1966" s="2" t="str">
        <f t="shared" si="181"/>
        <v>High Volatility</v>
      </c>
      <c r="N1966" s="2" t="str">
        <f t="shared" si="182"/>
        <v>Low Quality</v>
      </c>
      <c r="O1966" s="4" t="str">
        <f t="shared" si="183"/>
        <v>Accounting Risk</v>
      </c>
      <c r="P1966" s="4" t="str">
        <f t="shared" si="184"/>
        <v>Low Quality</v>
      </c>
      <c r="Q1966" s="4" t="str">
        <f t="shared" si="185"/>
        <v>Strong Long-Term Growth</v>
      </c>
    </row>
    <row r="1967" spans="1:17" x14ac:dyDescent="0.35">
      <c r="A1967" s="2" t="s">
        <v>1978</v>
      </c>
      <c r="B1967" s="2">
        <v>5</v>
      </c>
      <c r="C1967" s="2">
        <v>237932554.30000001</v>
      </c>
      <c r="D1967" s="2">
        <v>1</v>
      </c>
      <c r="E1967" s="2">
        <v>81628737.890000001</v>
      </c>
      <c r="F1967" s="2">
        <v>-36643022.200000003</v>
      </c>
      <c r="G1967" s="2">
        <v>1</v>
      </c>
      <c r="H1967" s="2">
        <v>3</v>
      </c>
      <c r="I1967" s="2">
        <v>4</v>
      </c>
      <c r="J1967" s="2">
        <v>2.2000000000000002</v>
      </c>
      <c r="K1967" s="2" t="s">
        <v>1268</v>
      </c>
      <c r="L1967" s="2" t="str">
        <f t="shared" si="180"/>
        <v>Profitable</v>
      </c>
      <c r="M1967" s="2" t="str">
        <f t="shared" si="181"/>
        <v>Stable Earnings</v>
      </c>
      <c r="N1967" s="2" t="str">
        <f t="shared" si="182"/>
        <v>Low Quality</v>
      </c>
      <c r="O1967" s="4" t="str">
        <f t="shared" si="183"/>
        <v>Accounting Risk</v>
      </c>
      <c r="P1967" s="4" t="str">
        <f t="shared" si="184"/>
        <v>Low Quality</v>
      </c>
      <c r="Q1967" s="4" t="str">
        <f t="shared" si="185"/>
        <v>Strong Long-Term Growth</v>
      </c>
    </row>
    <row r="1968" spans="1:17" x14ac:dyDescent="0.35">
      <c r="A1968" s="2" t="s">
        <v>1979</v>
      </c>
      <c r="B1968" s="2">
        <v>5</v>
      </c>
      <c r="C1968" s="2">
        <v>471455377.89999998</v>
      </c>
      <c r="D1968" s="2">
        <v>1</v>
      </c>
      <c r="E1968" s="2">
        <v>61074598.619999997</v>
      </c>
      <c r="F1968" s="2">
        <v>-11876248</v>
      </c>
      <c r="G1968" s="2">
        <v>1</v>
      </c>
      <c r="H1968" s="2">
        <v>3</v>
      </c>
      <c r="I1968" s="2">
        <v>4</v>
      </c>
      <c r="J1968" s="2">
        <v>2.2000000000000002</v>
      </c>
      <c r="K1968" s="2" t="s">
        <v>1268</v>
      </c>
      <c r="L1968" s="2" t="str">
        <f t="shared" si="180"/>
        <v>Profitable</v>
      </c>
      <c r="M1968" s="2" t="str">
        <f t="shared" si="181"/>
        <v>Stable Earnings</v>
      </c>
      <c r="N1968" s="2" t="str">
        <f t="shared" si="182"/>
        <v>Low Quality</v>
      </c>
      <c r="O1968" s="4" t="str">
        <f t="shared" si="183"/>
        <v>Accounting Risk</v>
      </c>
      <c r="P1968" s="4" t="str">
        <f t="shared" si="184"/>
        <v>Low Quality</v>
      </c>
      <c r="Q1968" s="4" t="str">
        <f t="shared" si="185"/>
        <v>Strong Long-Term Growth</v>
      </c>
    </row>
    <row r="1969" spans="1:17" x14ac:dyDescent="0.35">
      <c r="A1969" s="2" t="s">
        <v>1980</v>
      </c>
      <c r="B1969" s="2">
        <v>5</v>
      </c>
      <c r="C1969" s="2">
        <v>141923393.59999999</v>
      </c>
      <c r="D1969" s="2">
        <v>1</v>
      </c>
      <c r="E1969" s="2">
        <v>51462929.770000003</v>
      </c>
      <c r="F1969" s="2">
        <v>-9028181.5</v>
      </c>
      <c r="G1969" s="2">
        <v>1</v>
      </c>
      <c r="H1969" s="2">
        <v>3</v>
      </c>
      <c r="I1969" s="2">
        <v>4</v>
      </c>
      <c r="J1969" s="2">
        <v>2.2000000000000002</v>
      </c>
      <c r="K1969" s="2" t="s">
        <v>1268</v>
      </c>
      <c r="L1969" s="2" t="str">
        <f t="shared" si="180"/>
        <v>Profitable</v>
      </c>
      <c r="M1969" s="2" t="str">
        <f t="shared" si="181"/>
        <v>Stable Earnings</v>
      </c>
      <c r="N1969" s="2" t="str">
        <f t="shared" si="182"/>
        <v>Low Quality</v>
      </c>
      <c r="O1969" s="4" t="str">
        <f t="shared" si="183"/>
        <v>Accounting Risk</v>
      </c>
      <c r="P1969" s="4" t="str">
        <f t="shared" si="184"/>
        <v>Low Quality</v>
      </c>
      <c r="Q1969" s="4" t="str">
        <f t="shared" si="185"/>
        <v>Strong Long-Term Growth</v>
      </c>
    </row>
    <row r="1970" spans="1:17" x14ac:dyDescent="0.35">
      <c r="A1970" s="2" t="s">
        <v>1981</v>
      </c>
      <c r="B1970" s="2">
        <v>5</v>
      </c>
      <c r="C1970" s="2">
        <v>356600715.19999999</v>
      </c>
      <c r="D1970" s="2">
        <v>1</v>
      </c>
      <c r="E1970" s="2">
        <v>52053674.170000002</v>
      </c>
      <c r="F1970" s="2">
        <v>-17667742.5</v>
      </c>
      <c r="G1970" s="2">
        <v>1</v>
      </c>
      <c r="H1970" s="2">
        <v>3</v>
      </c>
      <c r="I1970" s="2">
        <v>4</v>
      </c>
      <c r="J1970" s="2">
        <v>2.2000000000000002</v>
      </c>
      <c r="K1970" s="2" t="s">
        <v>1268</v>
      </c>
      <c r="L1970" s="2" t="str">
        <f t="shared" si="180"/>
        <v>Profitable</v>
      </c>
      <c r="M1970" s="2" t="str">
        <f t="shared" si="181"/>
        <v>Stable Earnings</v>
      </c>
      <c r="N1970" s="2" t="str">
        <f t="shared" si="182"/>
        <v>Low Quality</v>
      </c>
      <c r="O1970" s="4" t="str">
        <f t="shared" si="183"/>
        <v>Accounting Risk</v>
      </c>
      <c r="P1970" s="4" t="str">
        <f t="shared" si="184"/>
        <v>Low Quality</v>
      </c>
      <c r="Q1970" s="4" t="str">
        <f t="shared" si="185"/>
        <v>Strong Long-Term Growth</v>
      </c>
    </row>
    <row r="1971" spans="1:17" x14ac:dyDescent="0.35">
      <c r="A1971" s="2" t="s">
        <v>1982</v>
      </c>
      <c r="B1971" s="2">
        <v>5</v>
      </c>
      <c r="C1971" s="2">
        <v>48308446.979999997</v>
      </c>
      <c r="D1971" s="2">
        <v>1</v>
      </c>
      <c r="E1971" s="2">
        <v>48367277.780000001</v>
      </c>
      <c r="F1971" s="2">
        <v>-14975893.800000001</v>
      </c>
      <c r="G1971" s="2">
        <v>1</v>
      </c>
      <c r="H1971" s="2">
        <v>3</v>
      </c>
      <c r="I1971" s="2">
        <v>4</v>
      </c>
      <c r="J1971" s="2">
        <v>2.2000000000000002</v>
      </c>
      <c r="K1971" s="2" t="s">
        <v>1268</v>
      </c>
      <c r="L1971" s="2" t="str">
        <f t="shared" si="180"/>
        <v>Profitable</v>
      </c>
      <c r="M1971" s="2" t="str">
        <f t="shared" si="181"/>
        <v>Stable Earnings</v>
      </c>
      <c r="N1971" s="2" t="str">
        <f t="shared" si="182"/>
        <v>Low Quality</v>
      </c>
      <c r="O1971" s="4" t="str">
        <f t="shared" si="183"/>
        <v>Accounting Risk</v>
      </c>
      <c r="P1971" s="4" t="str">
        <f t="shared" si="184"/>
        <v>Low Quality</v>
      </c>
      <c r="Q1971" s="4" t="str">
        <f t="shared" si="185"/>
        <v>Strong Long-Term Growth</v>
      </c>
    </row>
    <row r="1972" spans="1:17" x14ac:dyDescent="0.35">
      <c r="A1972" s="2" t="s">
        <v>1983</v>
      </c>
      <c r="B1972" s="2">
        <v>5</v>
      </c>
      <c r="C1972" s="2">
        <v>11564118.18</v>
      </c>
      <c r="D1972" s="2">
        <v>0.8</v>
      </c>
      <c r="E1972" s="2">
        <v>28480487.649999999</v>
      </c>
      <c r="F1972" s="2">
        <v>-3949908.2</v>
      </c>
      <c r="G1972" s="2">
        <v>2</v>
      </c>
      <c r="H1972" s="2">
        <v>2</v>
      </c>
      <c r="I1972" s="2">
        <v>3</v>
      </c>
      <c r="J1972" s="2">
        <v>2.2000000000000002</v>
      </c>
      <c r="K1972" s="2" t="s">
        <v>1268</v>
      </c>
      <c r="L1972" s="2" t="str">
        <f t="shared" si="180"/>
        <v>Profitable</v>
      </c>
      <c r="M1972" s="2" t="str">
        <f t="shared" si="181"/>
        <v>Stable Earnings</v>
      </c>
      <c r="N1972" s="2" t="str">
        <f t="shared" si="182"/>
        <v>Low Quality</v>
      </c>
      <c r="O1972" s="4" t="str">
        <f t="shared" si="183"/>
        <v>Accounting Risk</v>
      </c>
      <c r="P1972" s="4" t="str">
        <f t="shared" si="184"/>
        <v>Low Quality</v>
      </c>
      <c r="Q1972" s="4" t="str">
        <f t="shared" si="185"/>
        <v>Moderate Growth</v>
      </c>
    </row>
    <row r="1973" spans="1:17" x14ac:dyDescent="0.35">
      <c r="A1973" s="2" t="s">
        <v>1984</v>
      </c>
      <c r="B1973" s="2">
        <v>5</v>
      </c>
      <c r="C1973" s="2">
        <v>21446809.32</v>
      </c>
      <c r="D1973" s="2">
        <v>0.8</v>
      </c>
      <c r="E1973" s="2">
        <v>19365051.530000001</v>
      </c>
      <c r="F1973" s="2">
        <v>3680131.8</v>
      </c>
      <c r="G1973" s="2">
        <v>2</v>
      </c>
      <c r="H1973" s="2">
        <v>2</v>
      </c>
      <c r="I1973" s="2">
        <v>3</v>
      </c>
      <c r="J1973" s="2">
        <v>2.2000000000000002</v>
      </c>
      <c r="K1973" s="2" t="s">
        <v>1268</v>
      </c>
      <c r="L1973" s="2" t="str">
        <f t="shared" si="180"/>
        <v>Profitable</v>
      </c>
      <c r="M1973" s="2" t="str">
        <f t="shared" si="181"/>
        <v>Stable Earnings</v>
      </c>
      <c r="N1973" s="2" t="str">
        <f t="shared" si="182"/>
        <v>Low Quality</v>
      </c>
      <c r="O1973" s="4" t="str">
        <f t="shared" si="183"/>
        <v>Operational Growth</v>
      </c>
      <c r="P1973" s="4" t="str">
        <f t="shared" si="184"/>
        <v>Low Quality</v>
      </c>
      <c r="Q1973" s="4" t="str">
        <f t="shared" si="185"/>
        <v>Moderate Growth</v>
      </c>
    </row>
    <row r="1974" spans="1:17" x14ac:dyDescent="0.35">
      <c r="A1974" s="2" t="s">
        <v>1985</v>
      </c>
      <c r="B1974" s="2">
        <v>5</v>
      </c>
      <c r="C1974" s="2">
        <v>17843395.600000001</v>
      </c>
      <c r="D1974" s="2">
        <v>0.8</v>
      </c>
      <c r="E1974" s="2">
        <v>23488025.329999998</v>
      </c>
      <c r="F1974" s="2">
        <v>5360725.4000000004</v>
      </c>
      <c r="G1974" s="2">
        <v>2</v>
      </c>
      <c r="H1974" s="2">
        <v>2</v>
      </c>
      <c r="I1974" s="2">
        <v>3</v>
      </c>
      <c r="J1974" s="2">
        <v>2.2000000000000002</v>
      </c>
      <c r="K1974" s="2" t="s">
        <v>1268</v>
      </c>
      <c r="L1974" s="2" t="str">
        <f t="shared" si="180"/>
        <v>Profitable</v>
      </c>
      <c r="M1974" s="2" t="str">
        <f t="shared" si="181"/>
        <v>Stable Earnings</v>
      </c>
      <c r="N1974" s="2" t="str">
        <f t="shared" si="182"/>
        <v>Low Quality</v>
      </c>
      <c r="O1974" s="4" t="str">
        <f t="shared" si="183"/>
        <v>Operational Growth</v>
      </c>
      <c r="P1974" s="4" t="str">
        <f t="shared" si="184"/>
        <v>Low Quality</v>
      </c>
      <c r="Q1974" s="4" t="str">
        <f t="shared" si="185"/>
        <v>Moderate Growth</v>
      </c>
    </row>
    <row r="1975" spans="1:17" x14ac:dyDescent="0.35">
      <c r="A1975" s="2" t="s">
        <v>1986</v>
      </c>
      <c r="B1975" s="2">
        <v>5</v>
      </c>
      <c r="C1975" s="2">
        <v>105631051</v>
      </c>
      <c r="D1975" s="2">
        <v>1</v>
      </c>
      <c r="E1975" s="2">
        <v>20964736.809999999</v>
      </c>
      <c r="F1975" s="2">
        <v>6990955.5999999996</v>
      </c>
      <c r="G1975" s="2">
        <v>2</v>
      </c>
      <c r="H1975" s="2">
        <v>2</v>
      </c>
      <c r="I1975" s="2">
        <v>3</v>
      </c>
      <c r="J1975" s="2">
        <v>2.2000000000000002</v>
      </c>
      <c r="K1975" s="2" t="s">
        <v>1268</v>
      </c>
      <c r="L1975" s="2" t="str">
        <f t="shared" si="180"/>
        <v>Profitable</v>
      </c>
      <c r="M1975" s="2" t="str">
        <f t="shared" si="181"/>
        <v>Stable Earnings</v>
      </c>
      <c r="N1975" s="2" t="str">
        <f t="shared" si="182"/>
        <v>Low Quality</v>
      </c>
      <c r="O1975" s="4" t="str">
        <f t="shared" si="183"/>
        <v>Operational Growth</v>
      </c>
      <c r="P1975" s="4" t="str">
        <f t="shared" si="184"/>
        <v>Low Quality</v>
      </c>
      <c r="Q1975" s="4" t="str">
        <f t="shared" si="185"/>
        <v>Moderate Growth</v>
      </c>
    </row>
    <row r="1976" spans="1:17" x14ac:dyDescent="0.35">
      <c r="A1976" s="2" t="s">
        <v>1987</v>
      </c>
      <c r="B1976" s="2">
        <v>5</v>
      </c>
      <c r="C1976" s="2">
        <v>25258815.82</v>
      </c>
      <c r="D1976" s="2">
        <v>1</v>
      </c>
      <c r="E1976" s="2">
        <v>20312601.219999999</v>
      </c>
      <c r="F1976" s="2">
        <v>2793182.2</v>
      </c>
      <c r="G1976" s="2">
        <v>2</v>
      </c>
      <c r="H1976" s="2">
        <v>2</v>
      </c>
      <c r="I1976" s="2">
        <v>3</v>
      </c>
      <c r="J1976" s="2">
        <v>2.2000000000000002</v>
      </c>
      <c r="K1976" s="2" t="s">
        <v>1268</v>
      </c>
      <c r="L1976" s="2" t="str">
        <f t="shared" si="180"/>
        <v>Profitable</v>
      </c>
      <c r="M1976" s="2" t="str">
        <f t="shared" si="181"/>
        <v>Stable Earnings</v>
      </c>
      <c r="N1976" s="2" t="str">
        <f t="shared" si="182"/>
        <v>Low Quality</v>
      </c>
      <c r="O1976" s="4" t="str">
        <f t="shared" si="183"/>
        <v>Operational Growth</v>
      </c>
      <c r="P1976" s="4" t="str">
        <f t="shared" si="184"/>
        <v>Low Quality</v>
      </c>
      <c r="Q1976" s="4" t="str">
        <f t="shared" si="185"/>
        <v>Moderate Growth</v>
      </c>
    </row>
    <row r="1977" spans="1:17" x14ac:dyDescent="0.35">
      <c r="A1977" s="2" t="s">
        <v>1988</v>
      </c>
      <c r="B1977" s="2">
        <v>5</v>
      </c>
      <c r="C1977" s="2">
        <v>13600422.18</v>
      </c>
      <c r="D1977" s="2">
        <v>0.8</v>
      </c>
      <c r="E1977" s="2">
        <v>21335934.949999999</v>
      </c>
      <c r="F1977" s="2">
        <v>1062998.3999999999</v>
      </c>
      <c r="G1977" s="2">
        <v>2</v>
      </c>
      <c r="H1977" s="2">
        <v>2</v>
      </c>
      <c r="I1977" s="2">
        <v>3</v>
      </c>
      <c r="J1977" s="2">
        <v>2.2000000000000002</v>
      </c>
      <c r="K1977" s="2" t="s">
        <v>1268</v>
      </c>
      <c r="L1977" s="2" t="str">
        <f t="shared" si="180"/>
        <v>Profitable</v>
      </c>
      <c r="M1977" s="2" t="str">
        <f t="shared" si="181"/>
        <v>Stable Earnings</v>
      </c>
      <c r="N1977" s="2" t="str">
        <f t="shared" si="182"/>
        <v>Low Quality</v>
      </c>
      <c r="O1977" s="4" t="str">
        <f t="shared" si="183"/>
        <v>Operational Growth</v>
      </c>
      <c r="P1977" s="4" t="str">
        <f t="shared" si="184"/>
        <v>Low Quality</v>
      </c>
      <c r="Q1977" s="4" t="str">
        <f t="shared" si="185"/>
        <v>Moderate Growth</v>
      </c>
    </row>
    <row r="1978" spans="1:17" x14ac:dyDescent="0.35">
      <c r="A1978" s="2" t="s">
        <v>1989</v>
      </c>
      <c r="B1978" s="2">
        <v>5</v>
      </c>
      <c r="C1978" s="2">
        <v>269812485.5</v>
      </c>
      <c r="D1978" s="2">
        <v>1</v>
      </c>
      <c r="E1978" s="2">
        <v>98698405.409999996</v>
      </c>
      <c r="F1978" s="2">
        <v>-73345437.799999997</v>
      </c>
      <c r="G1978" s="2">
        <v>1</v>
      </c>
      <c r="H1978" s="2">
        <v>3</v>
      </c>
      <c r="I1978" s="2">
        <v>4</v>
      </c>
      <c r="J1978" s="2">
        <v>2.2000000000000002</v>
      </c>
      <c r="K1978" s="2" t="s">
        <v>1268</v>
      </c>
      <c r="L1978" s="2" t="str">
        <f t="shared" si="180"/>
        <v>Profitable</v>
      </c>
      <c r="M1978" s="2" t="str">
        <f t="shared" si="181"/>
        <v>Stable Earnings</v>
      </c>
      <c r="N1978" s="2" t="str">
        <f t="shared" si="182"/>
        <v>Low Quality</v>
      </c>
      <c r="O1978" s="4" t="str">
        <f t="shared" si="183"/>
        <v>Accounting Risk</v>
      </c>
      <c r="P1978" s="4" t="str">
        <f t="shared" si="184"/>
        <v>Low Quality</v>
      </c>
      <c r="Q1978" s="4" t="str">
        <f t="shared" si="185"/>
        <v>Strong Long-Term Growth</v>
      </c>
    </row>
    <row r="1979" spans="1:17" x14ac:dyDescent="0.35">
      <c r="A1979" s="2" t="s">
        <v>1990</v>
      </c>
      <c r="B1979" s="2">
        <v>5</v>
      </c>
      <c r="C1979" s="2">
        <v>183880156.90000001</v>
      </c>
      <c r="D1979" s="2">
        <v>1</v>
      </c>
      <c r="E1979" s="2">
        <v>78603264.569999993</v>
      </c>
      <c r="F1979" s="2">
        <v>-67543822.900000006</v>
      </c>
      <c r="G1979" s="2">
        <v>1</v>
      </c>
      <c r="H1979" s="2">
        <v>3</v>
      </c>
      <c r="I1979" s="2">
        <v>4</v>
      </c>
      <c r="J1979" s="2">
        <v>2.2000000000000002</v>
      </c>
      <c r="K1979" s="2" t="s">
        <v>1268</v>
      </c>
      <c r="L1979" s="2" t="str">
        <f t="shared" si="180"/>
        <v>Profitable</v>
      </c>
      <c r="M1979" s="2" t="str">
        <f t="shared" si="181"/>
        <v>Stable Earnings</v>
      </c>
      <c r="N1979" s="2" t="str">
        <f t="shared" si="182"/>
        <v>Low Quality</v>
      </c>
      <c r="O1979" s="4" t="str">
        <f t="shared" si="183"/>
        <v>Accounting Risk</v>
      </c>
      <c r="P1979" s="4" t="str">
        <f t="shared" si="184"/>
        <v>Low Quality</v>
      </c>
      <c r="Q1979" s="4" t="str">
        <f t="shared" si="185"/>
        <v>Strong Long-Term Growth</v>
      </c>
    </row>
    <row r="1980" spans="1:17" x14ac:dyDescent="0.35">
      <c r="A1980" s="2" t="s">
        <v>1991</v>
      </c>
      <c r="B1980" s="2">
        <v>5</v>
      </c>
      <c r="C1980" s="2">
        <v>173728326.30000001</v>
      </c>
      <c r="D1980" s="2">
        <v>1</v>
      </c>
      <c r="E1980" s="2">
        <v>49433295.030000001</v>
      </c>
      <c r="F1980" s="2">
        <v>-66437769.100000001</v>
      </c>
      <c r="G1980" s="2">
        <v>1</v>
      </c>
      <c r="H1980" s="2">
        <v>3</v>
      </c>
      <c r="I1980" s="2">
        <v>4</v>
      </c>
      <c r="J1980" s="2">
        <v>2.2000000000000002</v>
      </c>
      <c r="K1980" s="2" t="s">
        <v>1268</v>
      </c>
      <c r="L1980" s="2" t="str">
        <f t="shared" si="180"/>
        <v>Profitable</v>
      </c>
      <c r="M1980" s="2" t="str">
        <f t="shared" si="181"/>
        <v>Stable Earnings</v>
      </c>
      <c r="N1980" s="2" t="str">
        <f t="shared" si="182"/>
        <v>Low Quality</v>
      </c>
      <c r="O1980" s="4" t="str">
        <f t="shared" si="183"/>
        <v>Accounting Risk</v>
      </c>
      <c r="P1980" s="4" t="str">
        <f t="shared" si="184"/>
        <v>Low Quality</v>
      </c>
      <c r="Q1980" s="4" t="str">
        <f t="shared" si="185"/>
        <v>Strong Long-Term Growth</v>
      </c>
    </row>
    <row r="1981" spans="1:17" x14ac:dyDescent="0.35">
      <c r="A1981" s="2" t="s">
        <v>1992</v>
      </c>
      <c r="B1981" s="2">
        <v>5</v>
      </c>
      <c r="C1981" s="2">
        <v>275758263.39999998</v>
      </c>
      <c r="D1981" s="2">
        <v>1</v>
      </c>
      <c r="E1981" s="2">
        <v>92307770.180000007</v>
      </c>
      <c r="F1981" s="2">
        <v>-65072319.299999997</v>
      </c>
      <c r="G1981" s="2">
        <v>1</v>
      </c>
      <c r="H1981" s="2">
        <v>3</v>
      </c>
      <c r="I1981" s="2">
        <v>4</v>
      </c>
      <c r="J1981" s="2">
        <v>2.2000000000000002</v>
      </c>
      <c r="K1981" s="2" t="s">
        <v>1268</v>
      </c>
      <c r="L1981" s="2" t="str">
        <f t="shared" si="180"/>
        <v>Profitable</v>
      </c>
      <c r="M1981" s="2" t="str">
        <f t="shared" si="181"/>
        <v>Stable Earnings</v>
      </c>
      <c r="N1981" s="2" t="str">
        <f t="shared" si="182"/>
        <v>Low Quality</v>
      </c>
      <c r="O1981" s="4" t="str">
        <f t="shared" si="183"/>
        <v>Accounting Risk</v>
      </c>
      <c r="P1981" s="4" t="str">
        <f t="shared" si="184"/>
        <v>Low Quality</v>
      </c>
      <c r="Q1981" s="4" t="str">
        <f t="shared" si="185"/>
        <v>Strong Long-Term Growth</v>
      </c>
    </row>
    <row r="1982" spans="1:17" x14ac:dyDescent="0.35">
      <c r="A1982" s="2" t="s">
        <v>1993</v>
      </c>
      <c r="B1982" s="2">
        <v>5</v>
      </c>
      <c r="C1982" s="2">
        <v>109253667.09999999</v>
      </c>
      <c r="D1982" s="2">
        <v>1</v>
      </c>
      <c r="E1982" s="2">
        <v>50786512.030000001</v>
      </c>
      <c r="F1982" s="2">
        <v>-52115209.799999997</v>
      </c>
      <c r="G1982" s="2">
        <v>1</v>
      </c>
      <c r="H1982" s="2">
        <v>3</v>
      </c>
      <c r="I1982" s="2">
        <v>4</v>
      </c>
      <c r="J1982" s="2">
        <v>2.2000000000000002</v>
      </c>
      <c r="K1982" s="2" t="s">
        <v>1268</v>
      </c>
      <c r="L1982" s="2" t="str">
        <f t="shared" si="180"/>
        <v>Profitable</v>
      </c>
      <c r="M1982" s="2" t="str">
        <f t="shared" si="181"/>
        <v>Stable Earnings</v>
      </c>
      <c r="N1982" s="2" t="str">
        <f t="shared" si="182"/>
        <v>Low Quality</v>
      </c>
      <c r="O1982" s="4" t="str">
        <f t="shared" si="183"/>
        <v>Accounting Risk</v>
      </c>
      <c r="P1982" s="4" t="str">
        <f t="shared" si="184"/>
        <v>Low Quality</v>
      </c>
      <c r="Q1982" s="4" t="str">
        <f t="shared" si="185"/>
        <v>Strong Long-Term Growth</v>
      </c>
    </row>
    <row r="1983" spans="1:17" x14ac:dyDescent="0.35">
      <c r="A1983" s="2" t="s">
        <v>1994</v>
      </c>
      <c r="B1983" s="2">
        <v>5</v>
      </c>
      <c r="C1983" s="2">
        <v>232936023.5</v>
      </c>
      <c r="D1983" s="2">
        <v>1</v>
      </c>
      <c r="E1983" s="2">
        <v>46199642.880000003</v>
      </c>
      <c r="F1983" s="2">
        <v>-47381364.100000001</v>
      </c>
      <c r="G1983" s="2">
        <v>1</v>
      </c>
      <c r="H1983" s="2">
        <v>3</v>
      </c>
      <c r="I1983" s="2">
        <v>4</v>
      </c>
      <c r="J1983" s="2">
        <v>2.2000000000000002</v>
      </c>
      <c r="K1983" s="2" t="s">
        <v>1268</v>
      </c>
      <c r="L1983" s="2" t="str">
        <f t="shared" si="180"/>
        <v>Profitable</v>
      </c>
      <c r="M1983" s="2" t="str">
        <f t="shared" si="181"/>
        <v>Stable Earnings</v>
      </c>
      <c r="N1983" s="2" t="str">
        <f t="shared" si="182"/>
        <v>Low Quality</v>
      </c>
      <c r="O1983" s="4" t="str">
        <f t="shared" si="183"/>
        <v>Accounting Risk</v>
      </c>
      <c r="P1983" s="4" t="str">
        <f t="shared" si="184"/>
        <v>Low Quality</v>
      </c>
      <c r="Q1983" s="4" t="str">
        <f t="shared" si="185"/>
        <v>Strong Long-Term Growth</v>
      </c>
    </row>
    <row r="1984" spans="1:17" x14ac:dyDescent="0.35">
      <c r="A1984" s="2" t="s">
        <v>1995</v>
      </c>
      <c r="B1984" s="2">
        <v>5</v>
      </c>
      <c r="C1984" s="2">
        <v>48807131.159999996</v>
      </c>
      <c r="D1984" s="2">
        <v>1</v>
      </c>
      <c r="E1984" s="2">
        <v>37592519.18</v>
      </c>
      <c r="F1984" s="2">
        <v>-97314565.700000003</v>
      </c>
      <c r="G1984" s="2">
        <v>1</v>
      </c>
      <c r="H1984" s="2">
        <v>2</v>
      </c>
      <c r="I1984" s="2">
        <v>5</v>
      </c>
      <c r="J1984" s="2">
        <v>2.1</v>
      </c>
      <c r="K1984" s="2" t="s">
        <v>1268</v>
      </c>
      <c r="L1984" s="2" t="str">
        <f t="shared" si="180"/>
        <v>Profitable</v>
      </c>
      <c r="M1984" s="2" t="str">
        <f t="shared" si="181"/>
        <v>Stable Earnings</v>
      </c>
      <c r="N1984" s="2" t="str">
        <f t="shared" si="182"/>
        <v>Low Quality</v>
      </c>
      <c r="O1984" s="4" t="str">
        <f t="shared" si="183"/>
        <v>Accounting Risk</v>
      </c>
      <c r="P1984" s="4" t="str">
        <f t="shared" si="184"/>
        <v>Low Quality</v>
      </c>
      <c r="Q1984" s="4" t="str">
        <f t="shared" si="185"/>
        <v>Strong Long-Term Growth</v>
      </c>
    </row>
    <row r="1985" spans="1:17" x14ac:dyDescent="0.35">
      <c r="A1985" s="2" t="s">
        <v>1996</v>
      </c>
      <c r="B1985" s="2">
        <v>5</v>
      </c>
      <c r="C1985" s="2">
        <v>16851465.620000001</v>
      </c>
      <c r="D1985" s="2">
        <v>1</v>
      </c>
      <c r="E1985" s="2">
        <v>8501569.5429999996</v>
      </c>
      <c r="F1985" s="2">
        <v>-6783479.5999999996</v>
      </c>
      <c r="G1985" s="2">
        <v>2</v>
      </c>
      <c r="H1985" s="2">
        <v>1</v>
      </c>
      <c r="I1985" s="2">
        <v>4</v>
      </c>
      <c r="J1985" s="2">
        <v>2.1</v>
      </c>
      <c r="K1985" s="2" t="s">
        <v>1268</v>
      </c>
      <c r="L1985" s="2" t="str">
        <f t="shared" si="180"/>
        <v>Profitable</v>
      </c>
      <c r="M1985" s="2" t="str">
        <f t="shared" si="181"/>
        <v>Stable Earnings</v>
      </c>
      <c r="N1985" s="2" t="str">
        <f t="shared" si="182"/>
        <v>Low Quality</v>
      </c>
      <c r="O1985" s="4" t="str">
        <f t="shared" si="183"/>
        <v>Accounting Risk</v>
      </c>
      <c r="P1985" s="4" t="str">
        <f t="shared" si="184"/>
        <v>Low Quality</v>
      </c>
      <c r="Q1985" s="4" t="str">
        <f t="shared" si="185"/>
        <v>Strong Long-Term Growth</v>
      </c>
    </row>
    <row r="1986" spans="1:17" x14ac:dyDescent="0.35">
      <c r="A1986" s="2" t="s">
        <v>1997</v>
      </c>
      <c r="B1986" s="2">
        <v>5</v>
      </c>
      <c r="C1986" s="2">
        <v>44559143.700000003</v>
      </c>
      <c r="D1986" s="2">
        <v>1</v>
      </c>
      <c r="E1986" s="2">
        <v>10967437.890000001</v>
      </c>
      <c r="F1986" s="2">
        <v>-13957977.9</v>
      </c>
      <c r="G1986" s="2">
        <v>2</v>
      </c>
      <c r="H1986" s="2">
        <v>1</v>
      </c>
      <c r="I1986" s="2">
        <v>4</v>
      </c>
      <c r="J1986" s="2">
        <v>2.1</v>
      </c>
      <c r="K1986" s="2" t="s">
        <v>1268</v>
      </c>
      <c r="L1986" s="2" t="str">
        <f t="shared" ref="L1986:L2049" si="186">IF(C1986&gt;0,"Profitable","Loss Making")</f>
        <v>Profitable</v>
      </c>
      <c r="M1986" s="2" t="str">
        <f t="shared" ref="M1986:M2049" si="187">IF(C1986&gt;500000000,"High Volatility","Stable Earnings")</f>
        <v>Stable Earnings</v>
      </c>
      <c r="N1986" s="2" t="str">
        <f t="shared" ref="N1986:N2049" si="188">IF(G1986&gt;=7,"High Quality",IF(G1986&gt;=4,"Moderate","Low Quality"))</f>
        <v>Low Quality</v>
      </c>
      <c r="O1986" s="4" t="str">
        <f t="shared" ref="O1986:O2049" si="189">IF(AND(F1986&gt;0,D1986&gt;0.6),"Operational Growth","Accounting Risk")</f>
        <v>Accounting Risk</v>
      </c>
      <c r="P1986" s="4" t="str">
        <f t="shared" ref="P1986:P2049" si="190">IF(G1986&gt;=7,"High Quality", IF(G1986&gt;=4,"Moderate","Low Quality"))</f>
        <v>Low Quality</v>
      </c>
      <c r="Q1986" s="4" t="str">
        <f t="shared" ref="Q1986:Q2049" si="191">IF(I1986&gt;=4,"Strong Long-Term Growth",IF(I1986&gt;=2,"Moderate Growth","Weak Growth"))</f>
        <v>Strong Long-Term Growth</v>
      </c>
    </row>
    <row r="1987" spans="1:17" x14ac:dyDescent="0.35">
      <c r="A1987" s="2" t="s">
        <v>1998</v>
      </c>
      <c r="B1987" s="2">
        <v>5</v>
      </c>
      <c r="C1987" s="2">
        <v>16109372.060000001</v>
      </c>
      <c r="D1987" s="2">
        <v>1</v>
      </c>
      <c r="E1987" s="2">
        <v>15257188.23</v>
      </c>
      <c r="F1987" s="2">
        <v>-13095988.800000001</v>
      </c>
      <c r="G1987" s="2">
        <v>2</v>
      </c>
      <c r="H1987" s="2">
        <v>1</v>
      </c>
      <c r="I1987" s="2">
        <v>4</v>
      </c>
      <c r="J1987" s="2">
        <v>2.1</v>
      </c>
      <c r="K1987" s="2" t="s">
        <v>1268</v>
      </c>
      <c r="L1987" s="2" t="str">
        <f t="shared" si="186"/>
        <v>Profitable</v>
      </c>
      <c r="M1987" s="2" t="str">
        <f t="shared" si="187"/>
        <v>Stable Earnings</v>
      </c>
      <c r="N1987" s="2" t="str">
        <f t="shared" si="188"/>
        <v>Low Quality</v>
      </c>
      <c r="O1987" s="4" t="str">
        <f t="shared" si="189"/>
        <v>Accounting Risk</v>
      </c>
      <c r="P1987" s="4" t="str">
        <f t="shared" si="190"/>
        <v>Low Quality</v>
      </c>
      <c r="Q1987" s="4" t="str">
        <f t="shared" si="191"/>
        <v>Strong Long-Term Growth</v>
      </c>
    </row>
    <row r="1988" spans="1:17" x14ac:dyDescent="0.35">
      <c r="A1988" s="2" t="s">
        <v>1999</v>
      </c>
      <c r="B1988" s="2">
        <v>5</v>
      </c>
      <c r="C1988" s="2">
        <v>7634526.8399999999</v>
      </c>
      <c r="D1988" s="2">
        <v>0.8</v>
      </c>
      <c r="E1988" s="2">
        <v>14821529.85</v>
      </c>
      <c r="F1988" s="2">
        <v>-11343024.800000001</v>
      </c>
      <c r="G1988" s="2">
        <v>2</v>
      </c>
      <c r="H1988" s="2">
        <v>1</v>
      </c>
      <c r="I1988" s="2">
        <v>4</v>
      </c>
      <c r="J1988" s="2">
        <v>2.1</v>
      </c>
      <c r="K1988" s="2" t="s">
        <v>1268</v>
      </c>
      <c r="L1988" s="2" t="str">
        <f t="shared" si="186"/>
        <v>Profitable</v>
      </c>
      <c r="M1988" s="2" t="str">
        <f t="shared" si="187"/>
        <v>Stable Earnings</v>
      </c>
      <c r="N1988" s="2" t="str">
        <f t="shared" si="188"/>
        <v>Low Quality</v>
      </c>
      <c r="O1988" s="4" t="str">
        <f t="shared" si="189"/>
        <v>Accounting Risk</v>
      </c>
      <c r="P1988" s="4" t="str">
        <f t="shared" si="190"/>
        <v>Low Quality</v>
      </c>
      <c r="Q1988" s="4" t="str">
        <f t="shared" si="191"/>
        <v>Strong Long-Term Growth</v>
      </c>
    </row>
    <row r="1989" spans="1:17" x14ac:dyDescent="0.35">
      <c r="A1989" s="2" t="s">
        <v>2000</v>
      </c>
      <c r="B1989" s="2">
        <v>5</v>
      </c>
      <c r="C1989" s="2">
        <v>18343575.32</v>
      </c>
      <c r="D1989" s="2">
        <v>1</v>
      </c>
      <c r="E1989" s="2">
        <v>4399115.324</v>
      </c>
      <c r="F1989" s="2">
        <v>-7462513.9000000004</v>
      </c>
      <c r="G1989" s="2">
        <v>2</v>
      </c>
      <c r="H1989" s="2">
        <v>1</v>
      </c>
      <c r="I1989" s="2">
        <v>4</v>
      </c>
      <c r="J1989" s="2">
        <v>2.1</v>
      </c>
      <c r="K1989" s="2" t="s">
        <v>1268</v>
      </c>
      <c r="L1989" s="2" t="str">
        <f t="shared" si="186"/>
        <v>Profitable</v>
      </c>
      <c r="M1989" s="2" t="str">
        <f t="shared" si="187"/>
        <v>Stable Earnings</v>
      </c>
      <c r="N1989" s="2" t="str">
        <f t="shared" si="188"/>
        <v>Low Quality</v>
      </c>
      <c r="O1989" s="4" t="str">
        <f t="shared" si="189"/>
        <v>Accounting Risk</v>
      </c>
      <c r="P1989" s="4" t="str">
        <f t="shared" si="190"/>
        <v>Low Quality</v>
      </c>
      <c r="Q1989" s="4" t="str">
        <f t="shared" si="191"/>
        <v>Strong Long-Term Growth</v>
      </c>
    </row>
    <row r="1990" spans="1:17" x14ac:dyDescent="0.35">
      <c r="A1990" s="2" t="s">
        <v>2001</v>
      </c>
      <c r="B1990" s="2">
        <v>5</v>
      </c>
      <c r="C1990" s="2">
        <v>6826691.2800000003</v>
      </c>
      <c r="D1990" s="2">
        <v>0.8</v>
      </c>
      <c r="E1990" s="2">
        <v>6489346.9850000003</v>
      </c>
      <c r="F1990" s="2">
        <v>-7294178.2000000002</v>
      </c>
      <c r="G1990" s="2">
        <v>2</v>
      </c>
      <c r="H1990" s="2">
        <v>1</v>
      </c>
      <c r="I1990" s="2">
        <v>4</v>
      </c>
      <c r="J1990" s="2">
        <v>2.1</v>
      </c>
      <c r="K1990" s="2" t="s">
        <v>1268</v>
      </c>
      <c r="L1990" s="2" t="str">
        <f t="shared" si="186"/>
        <v>Profitable</v>
      </c>
      <c r="M1990" s="2" t="str">
        <f t="shared" si="187"/>
        <v>Stable Earnings</v>
      </c>
      <c r="N1990" s="2" t="str">
        <f t="shared" si="188"/>
        <v>Low Quality</v>
      </c>
      <c r="O1990" s="4" t="str">
        <f t="shared" si="189"/>
        <v>Accounting Risk</v>
      </c>
      <c r="P1990" s="4" t="str">
        <f t="shared" si="190"/>
        <v>Low Quality</v>
      </c>
      <c r="Q1990" s="4" t="str">
        <f t="shared" si="191"/>
        <v>Strong Long-Term Growth</v>
      </c>
    </row>
    <row r="1991" spans="1:17" x14ac:dyDescent="0.35">
      <c r="A1991" s="2" t="s">
        <v>2002</v>
      </c>
      <c r="B1991" s="2">
        <v>5</v>
      </c>
      <c r="C1991" s="2">
        <v>45360479.460000001</v>
      </c>
      <c r="D1991" s="2">
        <v>1</v>
      </c>
      <c r="E1991" s="2">
        <v>11938590.869999999</v>
      </c>
      <c r="F1991" s="2">
        <v>-22833727.399999999</v>
      </c>
      <c r="G1991" s="2">
        <v>2</v>
      </c>
      <c r="H1991" s="2">
        <v>1</v>
      </c>
      <c r="I1991" s="2">
        <v>4</v>
      </c>
      <c r="J1991" s="2">
        <v>2.1</v>
      </c>
      <c r="K1991" s="2" t="s">
        <v>1268</v>
      </c>
      <c r="L1991" s="2" t="str">
        <f t="shared" si="186"/>
        <v>Profitable</v>
      </c>
      <c r="M1991" s="2" t="str">
        <f t="shared" si="187"/>
        <v>Stable Earnings</v>
      </c>
      <c r="N1991" s="2" t="str">
        <f t="shared" si="188"/>
        <v>Low Quality</v>
      </c>
      <c r="O1991" s="4" t="str">
        <f t="shared" si="189"/>
        <v>Accounting Risk</v>
      </c>
      <c r="P1991" s="4" t="str">
        <f t="shared" si="190"/>
        <v>Low Quality</v>
      </c>
      <c r="Q1991" s="4" t="str">
        <f t="shared" si="191"/>
        <v>Strong Long-Term Growth</v>
      </c>
    </row>
    <row r="1992" spans="1:17" x14ac:dyDescent="0.35">
      <c r="A1992" s="2" t="s">
        <v>2003</v>
      </c>
      <c r="B1992" s="2">
        <v>5</v>
      </c>
      <c r="C1992" s="2">
        <v>224077711.30000001</v>
      </c>
      <c r="D1992" s="2">
        <v>1</v>
      </c>
      <c r="E1992" s="2">
        <v>108215017.40000001</v>
      </c>
      <c r="F1992" s="2">
        <v>271537436.60000002</v>
      </c>
      <c r="G1992" s="2">
        <v>2</v>
      </c>
      <c r="H1992" s="2">
        <v>3</v>
      </c>
      <c r="I1992" s="2">
        <v>1</v>
      </c>
      <c r="J1992" s="2">
        <v>2.1</v>
      </c>
      <c r="K1992" s="2" t="s">
        <v>1268</v>
      </c>
      <c r="L1992" s="2" t="str">
        <f t="shared" si="186"/>
        <v>Profitable</v>
      </c>
      <c r="M1992" s="2" t="str">
        <f t="shared" si="187"/>
        <v>Stable Earnings</v>
      </c>
      <c r="N1992" s="2" t="str">
        <f t="shared" si="188"/>
        <v>Low Quality</v>
      </c>
      <c r="O1992" s="4" t="str">
        <f t="shared" si="189"/>
        <v>Operational Growth</v>
      </c>
      <c r="P1992" s="4" t="str">
        <f t="shared" si="190"/>
        <v>Low Quality</v>
      </c>
      <c r="Q1992" s="4" t="str">
        <f t="shared" si="191"/>
        <v>Weak Growth</v>
      </c>
    </row>
    <row r="1993" spans="1:17" x14ac:dyDescent="0.35">
      <c r="A1993" s="2" t="s">
        <v>2004</v>
      </c>
      <c r="B1993" s="2">
        <v>5</v>
      </c>
      <c r="C1993" s="2">
        <v>762946163.60000002</v>
      </c>
      <c r="D1993" s="2">
        <v>1</v>
      </c>
      <c r="E1993" s="2">
        <v>107947282.7</v>
      </c>
      <c r="F1993" s="2">
        <v>245563063.30000001</v>
      </c>
      <c r="G1993" s="2">
        <v>2</v>
      </c>
      <c r="H1993" s="2">
        <v>3</v>
      </c>
      <c r="I1993" s="2">
        <v>1</v>
      </c>
      <c r="J1993" s="2">
        <v>2.1</v>
      </c>
      <c r="K1993" s="2" t="s">
        <v>1268</v>
      </c>
      <c r="L1993" s="2" t="str">
        <f t="shared" si="186"/>
        <v>Profitable</v>
      </c>
      <c r="M1993" s="2" t="str">
        <f t="shared" si="187"/>
        <v>High Volatility</v>
      </c>
      <c r="N1993" s="2" t="str">
        <f t="shared" si="188"/>
        <v>Low Quality</v>
      </c>
      <c r="O1993" s="4" t="str">
        <f t="shared" si="189"/>
        <v>Operational Growth</v>
      </c>
      <c r="P1993" s="4" t="str">
        <f t="shared" si="190"/>
        <v>Low Quality</v>
      </c>
      <c r="Q1993" s="4" t="str">
        <f t="shared" si="191"/>
        <v>Weak Growth</v>
      </c>
    </row>
    <row r="1994" spans="1:17" x14ac:dyDescent="0.35">
      <c r="A1994" s="2" t="s">
        <v>2005</v>
      </c>
      <c r="B1994" s="2">
        <v>5</v>
      </c>
      <c r="C1994" s="2">
        <v>182039742.5</v>
      </c>
      <c r="D1994" s="2">
        <v>1</v>
      </c>
      <c r="E1994" s="2">
        <v>95115572.469999999</v>
      </c>
      <c r="F1994" s="2">
        <v>217530609.09999999</v>
      </c>
      <c r="G1994" s="2">
        <v>2</v>
      </c>
      <c r="H1994" s="2">
        <v>3</v>
      </c>
      <c r="I1994" s="2">
        <v>1</v>
      </c>
      <c r="J1994" s="2">
        <v>2.1</v>
      </c>
      <c r="K1994" s="2" t="s">
        <v>1268</v>
      </c>
      <c r="L1994" s="2" t="str">
        <f t="shared" si="186"/>
        <v>Profitable</v>
      </c>
      <c r="M1994" s="2" t="str">
        <f t="shared" si="187"/>
        <v>Stable Earnings</v>
      </c>
      <c r="N1994" s="2" t="str">
        <f t="shared" si="188"/>
        <v>Low Quality</v>
      </c>
      <c r="O1994" s="4" t="str">
        <f t="shared" si="189"/>
        <v>Operational Growth</v>
      </c>
      <c r="P1994" s="4" t="str">
        <f t="shared" si="190"/>
        <v>Low Quality</v>
      </c>
      <c r="Q1994" s="4" t="str">
        <f t="shared" si="191"/>
        <v>Weak Growth</v>
      </c>
    </row>
    <row r="1995" spans="1:17" x14ac:dyDescent="0.35">
      <c r="A1995" s="2" t="s">
        <v>2006</v>
      </c>
      <c r="B1995" s="2">
        <v>5</v>
      </c>
      <c r="C1995" s="2">
        <v>254806427.80000001</v>
      </c>
      <c r="D1995" s="2">
        <v>1</v>
      </c>
      <c r="E1995" s="2">
        <v>96404778.400000006</v>
      </c>
      <c r="F1995" s="2">
        <v>221597344</v>
      </c>
      <c r="G1995" s="2">
        <v>2</v>
      </c>
      <c r="H1995" s="2">
        <v>3</v>
      </c>
      <c r="I1995" s="2">
        <v>1</v>
      </c>
      <c r="J1995" s="2">
        <v>2.1</v>
      </c>
      <c r="K1995" s="2" t="s">
        <v>1268</v>
      </c>
      <c r="L1995" s="2" t="str">
        <f t="shared" si="186"/>
        <v>Profitable</v>
      </c>
      <c r="M1995" s="2" t="str">
        <f t="shared" si="187"/>
        <v>Stable Earnings</v>
      </c>
      <c r="N1995" s="2" t="str">
        <f t="shared" si="188"/>
        <v>Low Quality</v>
      </c>
      <c r="O1995" s="4" t="str">
        <f t="shared" si="189"/>
        <v>Operational Growth</v>
      </c>
      <c r="P1995" s="4" t="str">
        <f t="shared" si="190"/>
        <v>Low Quality</v>
      </c>
      <c r="Q1995" s="4" t="str">
        <f t="shared" si="191"/>
        <v>Weak Growth</v>
      </c>
    </row>
    <row r="1996" spans="1:17" x14ac:dyDescent="0.35">
      <c r="A1996" s="2" t="s">
        <v>2007</v>
      </c>
      <c r="B1996" s="2">
        <v>5</v>
      </c>
      <c r="C1996" s="2">
        <v>11287313.220000001</v>
      </c>
      <c r="D1996" s="2">
        <v>0.8</v>
      </c>
      <c r="E1996" s="2">
        <v>94860831.969999999</v>
      </c>
      <c r="F1996" s="2">
        <v>207599092.59999999</v>
      </c>
      <c r="G1996" s="2">
        <v>2</v>
      </c>
      <c r="H1996" s="2">
        <v>3</v>
      </c>
      <c r="I1996" s="2">
        <v>1</v>
      </c>
      <c r="J1996" s="2">
        <v>2.1</v>
      </c>
      <c r="K1996" s="2" t="s">
        <v>1268</v>
      </c>
      <c r="L1996" s="2" t="str">
        <f t="shared" si="186"/>
        <v>Profitable</v>
      </c>
      <c r="M1996" s="2" t="str">
        <f t="shared" si="187"/>
        <v>Stable Earnings</v>
      </c>
      <c r="N1996" s="2" t="str">
        <f t="shared" si="188"/>
        <v>Low Quality</v>
      </c>
      <c r="O1996" s="4" t="str">
        <f t="shared" si="189"/>
        <v>Operational Growth</v>
      </c>
      <c r="P1996" s="4" t="str">
        <f t="shared" si="190"/>
        <v>Low Quality</v>
      </c>
      <c r="Q1996" s="4" t="str">
        <f t="shared" si="191"/>
        <v>Weak Growth</v>
      </c>
    </row>
    <row r="1997" spans="1:17" x14ac:dyDescent="0.35">
      <c r="A1997" s="2" t="s">
        <v>2008</v>
      </c>
      <c r="B1997" s="2">
        <v>5</v>
      </c>
      <c r="C1997" s="2">
        <v>184025469.90000001</v>
      </c>
      <c r="D1997" s="2">
        <v>1</v>
      </c>
      <c r="E1997" s="2">
        <v>99738009.239999995</v>
      </c>
      <c r="F1997" s="2">
        <v>213296263.30000001</v>
      </c>
      <c r="G1997" s="2">
        <v>2</v>
      </c>
      <c r="H1997" s="2">
        <v>3</v>
      </c>
      <c r="I1997" s="2">
        <v>1</v>
      </c>
      <c r="J1997" s="2">
        <v>2.1</v>
      </c>
      <c r="K1997" s="2" t="s">
        <v>1268</v>
      </c>
      <c r="L1997" s="2" t="str">
        <f t="shared" si="186"/>
        <v>Profitable</v>
      </c>
      <c r="M1997" s="2" t="str">
        <f t="shared" si="187"/>
        <v>Stable Earnings</v>
      </c>
      <c r="N1997" s="2" t="str">
        <f t="shared" si="188"/>
        <v>Low Quality</v>
      </c>
      <c r="O1997" s="4" t="str">
        <f t="shared" si="189"/>
        <v>Operational Growth</v>
      </c>
      <c r="P1997" s="4" t="str">
        <f t="shared" si="190"/>
        <v>Low Quality</v>
      </c>
      <c r="Q1997" s="4" t="str">
        <f t="shared" si="191"/>
        <v>Weak Growth</v>
      </c>
    </row>
    <row r="1998" spans="1:17" x14ac:dyDescent="0.35">
      <c r="A1998" s="2" t="s">
        <v>2009</v>
      </c>
      <c r="B1998" s="2">
        <v>5</v>
      </c>
      <c r="C1998" s="2">
        <v>321762293.39999998</v>
      </c>
      <c r="D1998" s="2">
        <v>1</v>
      </c>
      <c r="E1998" s="2">
        <v>83395722.409999996</v>
      </c>
      <c r="F1998" s="2">
        <v>212667594.90000001</v>
      </c>
      <c r="G1998" s="2">
        <v>2</v>
      </c>
      <c r="H1998" s="2">
        <v>3</v>
      </c>
      <c r="I1998" s="2">
        <v>1</v>
      </c>
      <c r="J1998" s="2">
        <v>2.1</v>
      </c>
      <c r="K1998" s="2" t="s">
        <v>1268</v>
      </c>
      <c r="L1998" s="2" t="str">
        <f t="shared" si="186"/>
        <v>Profitable</v>
      </c>
      <c r="M1998" s="2" t="str">
        <f t="shared" si="187"/>
        <v>Stable Earnings</v>
      </c>
      <c r="N1998" s="2" t="str">
        <f t="shared" si="188"/>
        <v>Low Quality</v>
      </c>
      <c r="O1998" s="4" t="str">
        <f t="shared" si="189"/>
        <v>Operational Growth</v>
      </c>
      <c r="P1998" s="4" t="str">
        <f t="shared" si="190"/>
        <v>Low Quality</v>
      </c>
      <c r="Q1998" s="4" t="str">
        <f t="shared" si="191"/>
        <v>Weak Growth</v>
      </c>
    </row>
    <row r="1999" spans="1:17" x14ac:dyDescent="0.35">
      <c r="A1999" s="2" t="s">
        <v>2010</v>
      </c>
      <c r="B1999" s="2">
        <v>5</v>
      </c>
      <c r="C1999" s="2">
        <v>565402580.89999998</v>
      </c>
      <c r="D1999" s="2">
        <v>1</v>
      </c>
      <c r="E1999" s="2">
        <v>187848103.80000001</v>
      </c>
      <c r="F1999" s="2">
        <v>178942823.09999999</v>
      </c>
      <c r="G1999" s="2">
        <v>1</v>
      </c>
      <c r="H1999" s="2">
        <v>4</v>
      </c>
      <c r="I1999" s="2">
        <v>2</v>
      </c>
      <c r="J1999" s="2">
        <v>2.1</v>
      </c>
      <c r="K1999" s="2" t="s">
        <v>1268</v>
      </c>
      <c r="L1999" s="2" t="str">
        <f t="shared" si="186"/>
        <v>Profitable</v>
      </c>
      <c r="M1999" s="2" t="str">
        <f t="shared" si="187"/>
        <v>High Volatility</v>
      </c>
      <c r="N1999" s="2" t="str">
        <f t="shared" si="188"/>
        <v>Low Quality</v>
      </c>
      <c r="O1999" s="4" t="str">
        <f t="shared" si="189"/>
        <v>Operational Growth</v>
      </c>
      <c r="P1999" s="4" t="str">
        <f t="shared" si="190"/>
        <v>Low Quality</v>
      </c>
      <c r="Q1999" s="4" t="str">
        <f t="shared" si="191"/>
        <v>Moderate Growth</v>
      </c>
    </row>
    <row r="2000" spans="1:17" x14ac:dyDescent="0.35">
      <c r="A2000" s="2" t="s">
        <v>2011</v>
      </c>
      <c r="B2000" s="2">
        <v>5</v>
      </c>
      <c r="C2000" s="2">
        <v>892221766.29999995</v>
      </c>
      <c r="D2000" s="2">
        <v>1</v>
      </c>
      <c r="E2000" s="2">
        <v>278979723.80000001</v>
      </c>
      <c r="F2000" s="2">
        <v>185925240.5</v>
      </c>
      <c r="G2000" s="2">
        <v>1</v>
      </c>
      <c r="H2000" s="2">
        <v>4</v>
      </c>
      <c r="I2000" s="2">
        <v>2</v>
      </c>
      <c r="J2000" s="2">
        <v>2.1</v>
      </c>
      <c r="K2000" s="2" t="s">
        <v>1268</v>
      </c>
      <c r="L2000" s="2" t="str">
        <f t="shared" si="186"/>
        <v>Profitable</v>
      </c>
      <c r="M2000" s="2" t="str">
        <f t="shared" si="187"/>
        <v>High Volatility</v>
      </c>
      <c r="N2000" s="2" t="str">
        <f t="shared" si="188"/>
        <v>Low Quality</v>
      </c>
      <c r="O2000" s="4" t="str">
        <f t="shared" si="189"/>
        <v>Operational Growth</v>
      </c>
      <c r="P2000" s="4" t="str">
        <f t="shared" si="190"/>
        <v>Low Quality</v>
      </c>
      <c r="Q2000" s="4" t="str">
        <f t="shared" si="191"/>
        <v>Moderate Growth</v>
      </c>
    </row>
    <row r="2001" spans="1:17" x14ac:dyDescent="0.35">
      <c r="A2001" s="2" t="s">
        <v>2012</v>
      </c>
      <c r="B2001" s="2">
        <v>5</v>
      </c>
      <c r="C2001" s="2">
        <v>395946505.80000001</v>
      </c>
      <c r="D2001" s="2">
        <v>1</v>
      </c>
      <c r="E2001" s="2">
        <v>129909497.3</v>
      </c>
      <c r="F2001" s="2">
        <v>181923916.09999999</v>
      </c>
      <c r="G2001" s="2">
        <v>1</v>
      </c>
      <c r="H2001" s="2">
        <v>4</v>
      </c>
      <c r="I2001" s="2">
        <v>2</v>
      </c>
      <c r="J2001" s="2">
        <v>2.1</v>
      </c>
      <c r="K2001" s="2" t="s">
        <v>1268</v>
      </c>
      <c r="L2001" s="2" t="str">
        <f t="shared" si="186"/>
        <v>Profitable</v>
      </c>
      <c r="M2001" s="2" t="str">
        <f t="shared" si="187"/>
        <v>Stable Earnings</v>
      </c>
      <c r="N2001" s="2" t="str">
        <f t="shared" si="188"/>
        <v>Low Quality</v>
      </c>
      <c r="O2001" s="4" t="str">
        <f t="shared" si="189"/>
        <v>Operational Growth</v>
      </c>
      <c r="P2001" s="4" t="str">
        <f t="shared" si="190"/>
        <v>Low Quality</v>
      </c>
      <c r="Q2001" s="4" t="str">
        <f t="shared" si="191"/>
        <v>Moderate Growth</v>
      </c>
    </row>
    <row r="2002" spans="1:17" x14ac:dyDescent="0.35">
      <c r="A2002" s="2" t="s">
        <v>2013</v>
      </c>
      <c r="B2002" s="2">
        <v>5</v>
      </c>
      <c r="C2002" s="2">
        <v>286217074.80000001</v>
      </c>
      <c r="D2002" s="2">
        <v>1</v>
      </c>
      <c r="E2002" s="2">
        <v>134002741.5</v>
      </c>
      <c r="F2002" s="2">
        <v>191253290.90000001</v>
      </c>
      <c r="G2002" s="2">
        <v>1</v>
      </c>
      <c r="H2002" s="2">
        <v>4</v>
      </c>
      <c r="I2002" s="2">
        <v>2</v>
      </c>
      <c r="J2002" s="2">
        <v>2.1</v>
      </c>
      <c r="K2002" s="2" t="s">
        <v>1268</v>
      </c>
      <c r="L2002" s="2" t="str">
        <f t="shared" si="186"/>
        <v>Profitable</v>
      </c>
      <c r="M2002" s="2" t="str">
        <f t="shared" si="187"/>
        <v>Stable Earnings</v>
      </c>
      <c r="N2002" s="2" t="str">
        <f t="shared" si="188"/>
        <v>Low Quality</v>
      </c>
      <c r="O2002" s="4" t="str">
        <f t="shared" si="189"/>
        <v>Operational Growth</v>
      </c>
      <c r="P2002" s="4" t="str">
        <f t="shared" si="190"/>
        <v>Low Quality</v>
      </c>
      <c r="Q2002" s="4" t="str">
        <f t="shared" si="191"/>
        <v>Moderate Growth</v>
      </c>
    </row>
    <row r="2003" spans="1:17" x14ac:dyDescent="0.35">
      <c r="A2003" s="2" t="s">
        <v>2014</v>
      </c>
      <c r="B2003" s="2">
        <v>5</v>
      </c>
      <c r="C2003" s="2">
        <v>181304394</v>
      </c>
      <c r="D2003" s="2">
        <v>1</v>
      </c>
      <c r="E2003" s="2">
        <v>119680281.3</v>
      </c>
      <c r="F2003" s="2">
        <v>198653717.80000001</v>
      </c>
      <c r="G2003" s="2">
        <v>1</v>
      </c>
      <c r="H2003" s="2">
        <v>4</v>
      </c>
      <c r="I2003" s="2">
        <v>2</v>
      </c>
      <c r="J2003" s="2">
        <v>2.1</v>
      </c>
      <c r="K2003" s="2" t="s">
        <v>1268</v>
      </c>
      <c r="L2003" s="2" t="str">
        <f t="shared" si="186"/>
        <v>Profitable</v>
      </c>
      <c r="M2003" s="2" t="str">
        <f t="shared" si="187"/>
        <v>Stable Earnings</v>
      </c>
      <c r="N2003" s="2" t="str">
        <f t="shared" si="188"/>
        <v>Low Quality</v>
      </c>
      <c r="O2003" s="4" t="str">
        <f t="shared" si="189"/>
        <v>Operational Growth</v>
      </c>
      <c r="P2003" s="4" t="str">
        <f t="shared" si="190"/>
        <v>Low Quality</v>
      </c>
      <c r="Q2003" s="4" t="str">
        <f t="shared" si="191"/>
        <v>Moderate Growth</v>
      </c>
    </row>
    <row r="2004" spans="1:17" x14ac:dyDescent="0.35">
      <c r="A2004" s="2" t="s">
        <v>2015</v>
      </c>
      <c r="B2004" s="2">
        <v>5</v>
      </c>
      <c r="C2004" s="2">
        <v>213838088.90000001</v>
      </c>
      <c r="D2004" s="2">
        <v>1</v>
      </c>
      <c r="E2004" s="2">
        <v>125338924.2</v>
      </c>
      <c r="F2004" s="2">
        <v>137188920.40000001</v>
      </c>
      <c r="G2004" s="2">
        <v>1</v>
      </c>
      <c r="H2004" s="2">
        <v>4</v>
      </c>
      <c r="I2004" s="2">
        <v>2</v>
      </c>
      <c r="J2004" s="2">
        <v>2.1</v>
      </c>
      <c r="K2004" s="2" t="s">
        <v>1268</v>
      </c>
      <c r="L2004" s="2" t="str">
        <f t="shared" si="186"/>
        <v>Profitable</v>
      </c>
      <c r="M2004" s="2" t="str">
        <f t="shared" si="187"/>
        <v>Stable Earnings</v>
      </c>
      <c r="N2004" s="2" t="str">
        <f t="shared" si="188"/>
        <v>Low Quality</v>
      </c>
      <c r="O2004" s="4" t="str">
        <f t="shared" si="189"/>
        <v>Operational Growth</v>
      </c>
      <c r="P2004" s="4" t="str">
        <f t="shared" si="190"/>
        <v>Low Quality</v>
      </c>
      <c r="Q2004" s="4" t="str">
        <f t="shared" si="191"/>
        <v>Moderate Growth</v>
      </c>
    </row>
    <row r="2005" spans="1:17" x14ac:dyDescent="0.35">
      <c r="A2005" s="2" t="s">
        <v>2016</v>
      </c>
      <c r="B2005" s="2">
        <v>5</v>
      </c>
      <c r="C2005" s="2">
        <v>691763846.39999998</v>
      </c>
      <c r="D2005" s="2">
        <v>1</v>
      </c>
      <c r="E2005" s="2">
        <v>171491180.19999999</v>
      </c>
      <c r="F2005" s="2">
        <v>170590137.80000001</v>
      </c>
      <c r="G2005" s="2">
        <v>1</v>
      </c>
      <c r="H2005" s="2">
        <v>4</v>
      </c>
      <c r="I2005" s="2">
        <v>2</v>
      </c>
      <c r="J2005" s="2">
        <v>2.1</v>
      </c>
      <c r="K2005" s="2" t="s">
        <v>1268</v>
      </c>
      <c r="L2005" s="2" t="str">
        <f t="shared" si="186"/>
        <v>Profitable</v>
      </c>
      <c r="M2005" s="2" t="str">
        <f t="shared" si="187"/>
        <v>High Volatility</v>
      </c>
      <c r="N2005" s="2" t="str">
        <f t="shared" si="188"/>
        <v>Low Quality</v>
      </c>
      <c r="O2005" s="4" t="str">
        <f t="shared" si="189"/>
        <v>Operational Growth</v>
      </c>
      <c r="P2005" s="4" t="str">
        <f t="shared" si="190"/>
        <v>Low Quality</v>
      </c>
      <c r="Q2005" s="4" t="str">
        <f t="shared" si="191"/>
        <v>Moderate Growth</v>
      </c>
    </row>
    <row r="2006" spans="1:17" x14ac:dyDescent="0.35">
      <c r="A2006" s="2" t="s">
        <v>2017</v>
      </c>
      <c r="B2006" s="2">
        <v>5</v>
      </c>
      <c r="C2006" s="2">
        <v>687544160.20000005</v>
      </c>
      <c r="D2006" s="2">
        <v>1</v>
      </c>
      <c r="E2006" s="2">
        <v>125625507</v>
      </c>
      <c r="F2006" s="2">
        <v>161711877.80000001</v>
      </c>
      <c r="G2006" s="2">
        <v>1</v>
      </c>
      <c r="H2006" s="2">
        <v>4</v>
      </c>
      <c r="I2006" s="2">
        <v>2</v>
      </c>
      <c r="J2006" s="2">
        <v>2.1</v>
      </c>
      <c r="K2006" s="2" t="s">
        <v>1268</v>
      </c>
      <c r="L2006" s="2" t="str">
        <f t="shared" si="186"/>
        <v>Profitable</v>
      </c>
      <c r="M2006" s="2" t="str">
        <f t="shared" si="187"/>
        <v>High Volatility</v>
      </c>
      <c r="N2006" s="2" t="str">
        <f t="shared" si="188"/>
        <v>Low Quality</v>
      </c>
      <c r="O2006" s="4" t="str">
        <f t="shared" si="189"/>
        <v>Operational Growth</v>
      </c>
      <c r="P2006" s="4" t="str">
        <f t="shared" si="190"/>
        <v>Low Quality</v>
      </c>
      <c r="Q2006" s="4" t="str">
        <f t="shared" si="191"/>
        <v>Moderate Growth</v>
      </c>
    </row>
    <row r="2007" spans="1:17" x14ac:dyDescent="0.35">
      <c r="A2007" s="2" t="s">
        <v>2018</v>
      </c>
      <c r="B2007" s="2">
        <v>5</v>
      </c>
      <c r="C2007" s="2">
        <v>321874791.19999999</v>
      </c>
      <c r="D2007" s="2">
        <v>1</v>
      </c>
      <c r="E2007" s="2">
        <v>180675282.30000001</v>
      </c>
      <c r="F2007" s="2">
        <v>152708862.30000001</v>
      </c>
      <c r="G2007" s="2">
        <v>1</v>
      </c>
      <c r="H2007" s="2">
        <v>4</v>
      </c>
      <c r="I2007" s="2">
        <v>2</v>
      </c>
      <c r="J2007" s="2">
        <v>2.1</v>
      </c>
      <c r="K2007" s="2" t="s">
        <v>1268</v>
      </c>
      <c r="L2007" s="2" t="str">
        <f t="shared" si="186"/>
        <v>Profitable</v>
      </c>
      <c r="M2007" s="2" t="str">
        <f t="shared" si="187"/>
        <v>Stable Earnings</v>
      </c>
      <c r="N2007" s="2" t="str">
        <f t="shared" si="188"/>
        <v>Low Quality</v>
      </c>
      <c r="O2007" s="4" t="str">
        <f t="shared" si="189"/>
        <v>Operational Growth</v>
      </c>
      <c r="P2007" s="4" t="str">
        <f t="shared" si="190"/>
        <v>Low Quality</v>
      </c>
      <c r="Q2007" s="4" t="str">
        <f t="shared" si="191"/>
        <v>Moderate Growth</v>
      </c>
    </row>
    <row r="2008" spans="1:17" x14ac:dyDescent="0.35">
      <c r="A2008" s="2" t="s">
        <v>2019</v>
      </c>
      <c r="B2008" s="2">
        <v>5</v>
      </c>
      <c r="C2008" s="2">
        <v>863734354.10000002</v>
      </c>
      <c r="D2008" s="2">
        <v>1</v>
      </c>
      <c r="E2008" s="2">
        <v>229897737</v>
      </c>
      <c r="F2008" s="2">
        <v>28583953.699999999</v>
      </c>
      <c r="G2008" s="2">
        <v>1</v>
      </c>
      <c r="H2008" s="2">
        <v>4</v>
      </c>
      <c r="I2008" s="2">
        <v>2</v>
      </c>
      <c r="J2008" s="2">
        <v>2.1</v>
      </c>
      <c r="K2008" s="2" t="s">
        <v>1268</v>
      </c>
      <c r="L2008" s="2" t="str">
        <f t="shared" si="186"/>
        <v>Profitable</v>
      </c>
      <c r="M2008" s="2" t="str">
        <f t="shared" si="187"/>
        <v>High Volatility</v>
      </c>
      <c r="N2008" s="2" t="str">
        <f t="shared" si="188"/>
        <v>Low Quality</v>
      </c>
      <c r="O2008" s="4" t="str">
        <f t="shared" si="189"/>
        <v>Operational Growth</v>
      </c>
      <c r="P2008" s="4" t="str">
        <f t="shared" si="190"/>
        <v>Low Quality</v>
      </c>
      <c r="Q2008" s="4" t="str">
        <f t="shared" si="191"/>
        <v>Moderate Growth</v>
      </c>
    </row>
    <row r="2009" spans="1:17" x14ac:dyDescent="0.35">
      <c r="A2009" s="2" t="s">
        <v>2020</v>
      </c>
      <c r="B2009" s="2">
        <v>5</v>
      </c>
      <c r="C2009" s="2">
        <v>819768229.39999998</v>
      </c>
      <c r="D2009" s="2">
        <v>1</v>
      </c>
      <c r="E2009" s="2">
        <v>175299953.80000001</v>
      </c>
      <c r="F2009" s="2">
        <v>35545188.299999997</v>
      </c>
      <c r="G2009" s="2">
        <v>1</v>
      </c>
      <c r="H2009" s="2">
        <v>4</v>
      </c>
      <c r="I2009" s="2">
        <v>2</v>
      </c>
      <c r="J2009" s="2">
        <v>2.1</v>
      </c>
      <c r="K2009" s="2" t="s">
        <v>1268</v>
      </c>
      <c r="L2009" s="2" t="str">
        <f t="shared" si="186"/>
        <v>Profitable</v>
      </c>
      <c r="M2009" s="2" t="str">
        <f t="shared" si="187"/>
        <v>High Volatility</v>
      </c>
      <c r="N2009" s="2" t="str">
        <f t="shared" si="188"/>
        <v>Low Quality</v>
      </c>
      <c r="O2009" s="4" t="str">
        <f t="shared" si="189"/>
        <v>Operational Growth</v>
      </c>
      <c r="P2009" s="4" t="str">
        <f t="shared" si="190"/>
        <v>Low Quality</v>
      </c>
      <c r="Q2009" s="4" t="str">
        <f t="shared" si="191"/>
        <v>Moderate Growth</v>
      </c>
    </row>
    <row r="2010" spans="1:17" x14ac:dyDescent="0.35">
      <c r="A2010" s="2" t="s">
        <v>2021</v>
      </c>
      <c r="B2010" s="2">
        <v>5</v>
      </c>
      <c r="C2010" s="2">
        <v>180444425.19999999</v>
      </c>
      <c r="D2010" s="2">
        <v>1</v>
      </c>
      <c r="E2010" s="2">
        <v>196285618.40000001</v>
      </c>
      <c r="F2010" s="2">
        <v>42562688.799999997</v>
      </c>
      <c r="G2010" s="2">
        <v>1</v>
      </c>
      <c r="H2010" s="2">
        <v>4</v>
      </c>
      <c r="I2010" s="2">
        <v>2</v>
      </c>
      <c r="J2010" s="2">
        <v>2.1</v>
      </c>
      <c r="K2010" s="2" t="s">
        <v>1268</v>
      </c>
      <c r="L2010" s="2" t="str">
        <f t="shared" si="186"/>
        <v>Profitable</v>
      </c>
      <c r="M2010" s="2" t="str">
        <f t="shared" si="187"/>
        <v>Stable Earnings</v>
      </c>
      <c r="N2010" s="2" t="str">
        <f t="shared" si="188"/>
        <v>Low Quality</v>
      </c>
      <c r="O2010" s="4" t="str">
        <f t="shared" si="189"/>
        <v>Operational Growth</v>
      </c>
      <c r="P2010" s="4" t="str">
        <f t="shared" si="190"/>
        <v>Low Quality</v>
      </c>
      <c r="Q2010" s="4" t="str">
        <f t="shared" si="191"/>
        <v>Moderate Growth</v>
      </c>
    </row>
    <row r="2011" spans="1:17" x14ac:dyDescent="0.35">
      <c r="A2011" s="2" t="s">
        <v>2022</v>
      </c>
      <c r="B2011" s="2">
        <v>5</v>
      </c>
      <c r="C2011" s="2">
        <v>1121855265</v>
      </c>
      <c r="D2011" s="2">
        <v>1</v>
      </c>
      <c r="E2011" s="2">
        <v>226471170.40000001</v>
      </c>
      <c r="F2011" s="2">
        <v>48670327.100000001</v>
      </c>
      <c r="G2011" s="2">
        <v>1</v>
      </c>
      <c r="H2011" s="2">
        <v>4</v>
      </c>
      <c r="I2011" s="2">
        <v>2</v>
      </c>
      <c r="J2011" s="2">
        <v>2.1</v>
      </c>
      <c r="K2011" s="2" t="s">
        <v>1268</v>
      </c>
      <c r="L2011" s="2" t="str">
        <f t="shared" si="186"/>
        <v>Profitable</v>
      </c>
      <c r="M2011" s="2" t="str">
        <f t="shared" si="187"/>
        <v>High Volatility</v>
      </c>
      <c r="N2011" s="2" t="str">
        <f t="shared" si="188"/>
        <v>Low Quality</v>
      </c>
      <c r="O2011" s="4" t="str">
        <f t="shared" si="189"/>
        <v>Operational Growth</v>
      </c>
      <c r="P2011" s="4" t="str">
        <f t="shared" si="190"/>
        <v>Low Quality</v>
      </c>
      <c r="Q2011" s="4" t="str">
        <f t="shared" si="191"/>
        <v>Moderate Growth</v>
      </c>
    </row>
    <row r="2012" spans="1:17" x14ac:dyDescent="0.35">
      <c r="A2012" s="2" t="s">
        <v>2023</v>
      </c>
      <c r="B2012" s="2">
        <v>5</v>
      </c>
      <c r="C2012" s="2">
        <v>178006531.40000001</v>
      </c>
      <c r="D2012" s="2">
        <v>1</v>
      </c>
      <c r="E2012" s="2">
        <v>116080398.7</v>
      </c>
      <c r="F2012" s="2">
        <v>53925955.299999997</v>
      </c>
      <c r="G2012" s="2">
        <v>1</v>
      </c>
      <c r="H2012" s="2">
        <v>4</v>
      </c>
      <c r="I2012" s="2">
        <v>2</v>
      </c>
      <c r="J2012" s="2">
        <v>2.1</v>
      </c>
      <c r="K2012" s="2" t="s">
        <v>1268</v>
      </c>
      <c r="L2012" s="2" t="str">
        <f t="shared" si="186"/>
        <v>Profitable</v>
      </c>
      <c r="M2012" s="2" t="str">
        <f t="shared" si="187"/>
        <v>Stable Earnings</v>
      </c>
      <c r="N2012" s="2" t="str">
        <f t="shared" si="188"/>
        <v>Low Quality</v>
      </c>
      <c r="O2012" s="4" t="str">
        <f t="shared" si="189"/>
        <v>Operational Growth</v>
      </c>
      <c r="P2012" s="4" t="str">
        <f t="shared" si="190"/>
        <v>Low Quality</v>
      </c>
      <c r="Q2012" s="4" t="str">
        <f t="shared" si="191"/>
        <v>Moderate Growth</v>
      </c>
    </row>
    <row r="2013" spans="1:17" x14ac:dyDescent="0.35">
      <c r="A2013" s="2" t="s">
        <v>2024</v>
      </c>
      <c r="B2013" s="2">
        <v>5</v>
      </c>
      <c r="C2013" s="2">
        <v>138068730.19999999</v>
      </c>
      <c r="D2013" s="2">
        <v>1</v>
      </c>
      <c r="E2013" s="2">
        <v>125009494.59999999</v>
      </c>
      <c r="F2013" s="2">
        <v>107986051.2</v>
      </c>
      <c r="G2013" s="2">
        <v>1</v>
      </c>
      <c r="H2013" s="2">
        <v>4</v>
      </c>
      <c r="I2013" s="2">
        <v>2</v>
      </c>
      <c r="J2013" s="2">
        <v>2.1</v>
      </c>
      <c r="K2013" s="2" t="s">
        <v>1268</v>
      </c>
      <c r="L2013" s="2" t="str">
        <f t="shared" si="186"/>
        <v>Profitable</v>
      </c>
      <c r="M2013" s="2" t="str">
        <f t="shared" si="187"/>
        <v>Stable Earnings</v>
      </c>
      <c r="N2013" s="2" t="str">
        <f t="shared" si="188"/>
        <v>Low Quality</v>
      </c>
      <c r="O2013" s="4" t="str">
        <f t="shared" si="189"/>
        <v>Operational Growth</v>
      </c>
      <c r="P2013" s="4" t="str">
        <f t="shared" si="190"/>
        <v>Low Quality</v>
      </c>
      <c r="Q2013" s="4" t="str">
        <f t="shared" si="191"/>
        <v>Moderate Growth</v>
      </c>
    </row>
    <row r="2014" spans="1:17" x14ac:dyDescent="0.35">
      <c r="A2014" s="2" t="s">
        <v>2025</v>
      </c>
      <c r="B2014" s="2">
        <v>5</v>
      </c>
      <c r="C2014" s="2">
        <v>235587147.40000001</v>
      </c>
      <c r="D2014" s="2">
        <v>1</v>
      </c>
      <c r="E2014" s="2">
        <v>156947138</v>
      </c>
      <c r="F2014" s="2">
        <v>97494386.200000003</v>
      </c>
      <c r="G2014" s="2">
        <v>1</v>
      </c>
      <c r="H2014" s="2">
        <v>4</v>
      </c>
      <c r="I2014" s="2">
        <v>2</v>
      </c>
      <c r="J2014" s="2">
        <v>2.1</v>
      </c>
      <c r="K2014" s="2" t="s">
        <v>1268</v>
      </c>
      <c r="L2014" s="2" t="str">
        <f t="shared" si="186"/>
        <v>Profitable</v>
      </c>
      <c r="M2014" s="2" t="str">
        <f t="shared" si="187"/>
        <v>Stable Earnings</v>
      </c>
      <c r="N2014" s="2" t="str">
        <f t="shared" si="188"/>
        <v>Low Quality</v>
      </c>
      <c r="O2014" s="4" t="str">
        <f t="shared" si="189"/>
        <v>Operational Growth</v>
      </c>
      <c r="P2014" s="4" t="str">
        <f t="shared" si="190"/>
        <v>Low Quality</v>
      </c>
      <c r="Q2014" s="4" t="str">
        <f t="shared" si="191"/>
        <v>Moderate Growth</v>
      </c>
    </row>
    <row r="2015" spans="1:17" x14ac:dyDescent="0.35">
      <c r="A2015" s="2" t="s">
        <v>2026</v>
      </c>
      <c r="B2015" s="2">
        <v>5</v>
      </c>
      <c r="C2015" s="2">
        <v>956320488.5</v>
      </c>
      <c r="D2015" s="2">
        <v>1</v>
      </c>
      <c r="E2015" s="2">
        <v>154761113.80000001</v>
      </c>
      <c r="F2015" s="2">
        <v>114276342.90000001</v>
      </c>
      <c r="G2015" s="2">
        <v>1</v>
      </c>
      <c r="H2015" s="2">
        <v>4</v>
      </c>
      <c r="I2015" s="2">
        <v>2</v>
      </c>
      <c r="J2015" s="2">
        <v>2.1</v>
      </c>
      <c r="K2015" s="2" t="s">
        <v>1268</v>
      </c>
      <c r="L2015" s="2" t="str">
        <f t="shared" si="186"/>
        <v>Profitable</v>
      </c>
      <c r="M2015" s="2" t="str">
        <f t="shared" si="187"/>
        <v>High Volatility</v>
      </c>
      <c r="N2015" s="2" t="str">
        <f t="shared" si="188"/>
        <v>Low Quality</v>
      </c>
      <c r="O2015" s="4" t="str">
        <f t="shared" si="189"/>
        <v>Operational Growth</v>
      </c>
      <c r="P2015" s="4" t="str">
        <f t="shared" si="190"/>
        <v>Low Quality</v>
      </c>
      <c r="Q2015" s="4" t="str">
        <f t="shared" si="191"/>
        <v>Moderate Growth</v>
      </c>
    </row>
    <row r="2016" spans="1:17" x14ac:dyDescent="0.35">
      <c r="A2016" s="2" t="s">
        <v>2027</v>
      </c>
      <c r="B2016" s="2">
        <v>5</v>
      </c>
      <c r="C2016" s="2">
        <v>757167004.79999995</v>
      </c>
      <c r="D2016" s="2">
        <v>1</v>
      </c>
      <c r="E2016" s="2">
        <v>167154631.69999999</v>
      </c>
      <c r="F2016" s="2">
        <v>118933475.8</v>
      </c>
      <c r="G2016" s="2">
        <v>1</v>
      </c>
      <c r="H2016" s="2">
        <v>4</v>
      </c>
      <c r="I2016" s="2">
        <v>2</v>
      </c>
      <c r="J2016" s="2">
        <v>2.1</v>
      </c>
      <c r="K2016" s="2" t="s">
        <v>1268</v>
      </c>
      <c r="L2016" s="2" t="str">
        <f t="shared" si="186"/>
        <v>Profitable</v>
      </c>
      <c r="M2016" s="2" t="str">
        <f t="shared" si="187"/>
        <v>High Volatility</v>
      </c>
      <c r="N2016" s="2" t="str">
        <f t="shared" si="188"/>
        <v>Low Quality</v>
      </c>
      <c r="O2016" s="4" t="str">
        <f t="shared" si="189"/>
        <v>Operational Growth</v>
      </c>
      <c r="P2016" s="4" t="str">
        <f t="shared" si="190"/>
        <v>Low Quality</v>
      </c>
      <c r="Q2016" s="4" t="str">
        <f t="shared" si="191"/>
        <v>Moderate Growth</v>
      </c>
    </row>
    <row r="2017" spans="1:17" x14ac:dyDescent="0.35">
      <c r="A2017" s="2" t="s">
        <v>2028</v>
      </c>
      <c r="B2017" s="2">
        <v>5</v>
      </c>
      <c r="C2017" s="2">
        <v>299449823.19999999</v>
      </c>
      <c r="D2017" s="2">
        <v>1</v>
      </c>
      <c r="E2017" s="2">
        <v>134069795.3</v>
      </c>
      <c r="F2017" s="2">
        <v>89149400.599999994</v>
      </c>
      <c r="G2017" s="2">
        <v>1</v>
      </c>
      <c r="H2017" s="2">
        <v>4</v>
      </c>
      <c r="I2017" s="2">
        <v>2</v>
      </c>
      <c r="J2017" s="2">
        <v>2.1</v>
      </c>
      <c r="K2017" s="2" t="s">
        <v>1268</v>
      </c>
      <c r="L2017" s="2" t="str">
        <f t="shared" si="186"/>
        <v>Profitable</v>
      </c>
      <c r="M2017" s="2" t="str">
        <f t="shared" si="187"/>
        <v>Stable Earnings</v>
      </c>
      <c r="N2017" s="2" t="str">
        <f t="shared" si="188"/>
        <v>Low Quality</v>
      </c>
      <c r="O2017" s="4" t="str">
        <f t="shared" si="189"/>
        <v>Operational Growth</v>
      </c>
      <c r="P2017" s="4" t="str">
        <f t="shared" si="190"/>
        <v>Low Quality</v>
      </c>
      <c r="Q2017" s="4" t="str">
        <f t="shared" si="191"/>
        <v>Moderate Growth</v>
      </c>
    </row>
    <row r="2018" spans="1:17" x14ac:dyDescent="0.35">
      <c r="A2018" s="2" t="s">
        <v>2029</v>
      </c>
      <c r="B2018" s="2">
        <v>5</v>
      </c>
      <c r="C2018" s="2">
        <v>73227475.420000002</v>
      </c>
      <c r="D2018" s="2">
        <v>1</v>
      </c>
      <c r="E2018" s="2">
        <v>33126995.77</v>
      </c>
      <c r="F2018" s="2">
        <v>88314250</v>
      </c>
      <c r="G2018" s="2">
        <v>2</v>
      </c>
      <c r="H2018" s="2">
        <v>2</v>
      </c>
      <c r="I2018" s="2">
        <v>2</v>
      </c>
      <c r="J2018" s="2">
        <v>2</v>
      </c>
      <c r="K2018" s="2" t="s">
        <v>1268</v>
      </c>
      <c r="L2018" s="2" t="str">
        <f t="shared" si="186"/>
        <v>Profitable</v>
      </c>
      <c r="M2018" s="2" t="str">
        <f t="shared" si="187"/>
        <v>Stable Earnings</v>
      </c>
      <c r="N2018" s="2" t="str">
        <f t="shared" si="188"/>
        <v>Low Quality</v>
      </c>
      <c r="O2018" s="4" t="str">
        <f t="shared" si="189"/>
        <v>Operational Growth</v>
      </c>
      <c r="P2018" s="4" t="str">
        <f t="shared" si="190"/>
        <v>Low Quality</v>
      </c>
      <c r="Q2018" s="4" t="str">
        <f t="shared" si="191"/>
        <v>Moderate Growth</v>
      </c>
    </row>
    <row r="2019" spans="1:17" x14ac:dyDescent="0.35">
      <c r="A2019" s="2" t="s">
        <v>2030</v>
      </c>
      <c r="B2019" s="2">
        <v>5</v>
      </c>
      <c r="C2019" s="2">
        <v>85699579.840000004</v>
      </c>
      <c r="D2019" s="2">
        <v>1</v>
      </c>
      <c r="E2019" s="2">
        <v>34972822.659999996</v>
      </c>
      <c r="F2019" s="2">
        <v>87608583.099999994</v>
      </c>
      <c r="G2019" s="2">
        <v>2</v>
      </c>
      <c r="H2019" s="2">
        <v>2</v>
      </c>
      <c r="I2019" s="2">
        <v>2</v>
      </c>
      <c r="J2019" s="2">
        <v>2</v>
      </c>
      <c r="K2019" s="2" t="s">
        <v>1268</v>
      </c>
      <c r="L2019" s="2" t="str">
        <f t="shared" si="186"/>
        <v>Profitable</v>
      </c>
      <c r="M2019" s="2" t="str">
        <f t="shared" si="187"/>
        <v>Stable Earnings</v>
      </c>
      <c r="N2019" s="2" t="str">
        <f t="shared" si="188"/>
        <v>Low Quality</v>
      </c>
      <c r="O2019" s="4" t="str">
        <f t="shared" si="189"/>
        <v>Operational Growth</v>
      </c>
      <c r="P2019" s="4" t="str">
        <f t="shared" si="190"/>
        <v>Low Quality</v>
      </c>
      <c r="Q2019" s="4" t="str">
        <f t="shared" si="191"/>
        <v>Moderate Growth</v>
      </c>
    </row>
    <row r="2020" spans="1:17" x14ac:dyDescent="0.35">
      <c r="A2020" s="2" t="s">
        <v>2031</v>
      </c>
      <c r="B2020" s="2">
        <v>5</v>
      </c>
      <c r="C2020" s="2">
        <v>116783825.59999999</v>
      </c>
      <c r="D2020" s="2">
        <v>1</v>
      </c>
      <c r="E2020" s="2">
        <v>35211737.020000003</v>
      </c>
      <c r="F2020" s="2">
        <v>83657910</v>
      </c>
      <c r="G2020" s="2">
        <v>2</v>
      </c>
      <c r="H2020" s="2">
        <v>2</v>
      </c>
      <c r="I2020" s="2">
        <v>2</v>
      </c>
      <c r="J2020" s="2">
        <v>2</v>
      </c>
      <c r="K2020" s="2" t="s">
        <v>1268</v>
      </c>
      <c r="L2020" s="2" t="str">
        <f t="shared" si="186"/>
        <v>Profitable</v>
      </c>
      <c r="M2020" s="2" t="str">
        <f t="shared" si="187"/>
        <v>Stable Earnings</v>
      </c>
      <c r="N2020" s="2" t="str">
        <f t="shared" si="188"/>
        <v>Low Quality</v>
      </c>
      <c r="O2020" s="4" t="str">
        <f t="shared" si="189"/>
        <v>Operational Growth</v>
      </c>
      <c r="P2020" s="4" t="str">
        <f t="shared" si="190"/>
        <v>Low Quality</v>
      </c>
      <c r="Q2020" s="4" t="str">
        <f t="shared" si="191"/>
        <v>Moderate Growth</v>
      </c>
    </row>
    <row r="2021" spans="1:17" x14ac:dyDescent="0.35">
      <c r="A2021" s="2" t="s">
        <v>2032</v>
      </c>
      <c r="B2021" s="2">
        <v>5</v>
      </c>
      <c r="C2021" s="2">
        <v>39755939.719999999</v>
      </c>
      <c r="D2021" s="2">
        <v>0.8</v>
      </c>
      <c r="E2021" s="2">
        <v>30411063.050000001</v>
      </c>
      <c r="F2021" s="2">
        <v>73438332.799999997</v>
      </c>
      <c r="G2021" s="2">
        <v>2</v>
      </c>
      <c r="H2021" s="2">
        <v>2</v>
      </c>
      <c r="I2021" s="2">
        <v>2</v>
      </c>
      <c r="J2021" s="2">
        <v>2</v>
      </c>
      <c r="K2021" s="2" t="s">
        <v>1268</v>
      </c>
      <c r="L2021" s="2" t="str">
        <f t="shared" si="186"/>
        <v>Profitable</v>
      </c>
      <c r="M2021" s="2" t="str">
        <f t="shared" si="187"/>
        <v>Stable Earnings</v>
      </c>
      <c r="N2021" s="2" t="str">
        <f t="shared" si="188"/>
        <v>Low Quality</v>
      </c>
      <c r="O2021" s="4" t="str">
        <f t="shared" si="189"/>
        <v>Operational Growth</v>
      </c>
      <c r="P2021" s="4" t="str">
        <f t="shared" si="190"/>
        <v>Low Quality</v>
      </c>
      <c r="Q2021" s="4" t="str">
        <f t="shared" si="191"/>
        <v>Moderate Growth</v>
      </c>
    </row>
    <row r="2022" spans="1:17" x14ac:dyDescent="0.35">
      <c r="A2022" s="2" t="s">
        <v>2033</v>
      </c>
      <c r="B2022" s="2">
        <v>5</v>
      </c>
      <c r="C2022" s="2">
        <v>109605948.90000001</v>
      </c>
      <c r="D2022" s="2">
        <v>1</v>
      </c>
      <c r="E2022" s="2">
        <v>31535066.280000001</v>
      </c>
      <c r="F2022" s="2">
        <v>82173970.299999997</v>
      </c>
      <c r="G2022" s="2">
        <v>2</v>
      </c>
      <c r="H2022" s="2">
        <v>2</v>
      </c>
      <c r="I2022" s="2">
        <v>2</v>
      </c>
      <c r="J2022" s="2">
        <v>2</v>
      </c>
      <c r="K2022" s="2" t="s">
        <v>1268</v>
      </c>
      <c r="L2022" s="2" t="str">
        <f t="shared" si="186"/>
        <v>Profitable</v>
      </c>
      <c r="M2022" s="2" t="str">
        <f t="shared" si="187"/>
        <v>Stable Earnings</v>
      </c>
      <c r="N2022" s="2" t="str">
        <f t="shared" si="188"/>
        <v>Low Quality</v>
      </c>
      <c r="O2022" s="4" t="str">
        <f t="shared" si="189"/>
        <v>Operational Growth</v>
      </c>
      <c r="P2022" s="4" t="str">
        <f t="shared" si="190"/>
        <v>Low Quality</v>
      </c>
      <c r="Q2022" s="4" t="str">
        <f t="shared" si="191"/>
        <v>Moderate Growth</v>
      </c>
    </row>
    <row r="2023" spans="1:17" x14ac:dyDescent="0.35">
      <c r="A2023" s="2" t="s">
        <v>2034</v>
      </c>
      <c r="B2023" s="2">
        <v>5</v>
      </c>
      <c r="C2023" s="2">
        <v>62532438.979999997</v>
      </c>
      <c r="D2023" s="2">
        <v>1</v>
      </c>
      <c r="E2023" s="2">
        <v>45288404.159999996</v>
      </c>
      <c r="F2023" s="2">
        <v>96298143.299999997</v>
      </c>
      <c r="G2023" s="2">
        <v>2</v>
      </c>
      <c r="H2023" s="2">
        <v>2</v>
      </c>
      <c r="I2023" s="2">
        <v>2</v>
      </c>
      <c r="J2023" s="2">
        <v>2</v>
      </c>
      <c r="K2023" s="2" t="s">
        <v>1268</v>
      </c>
      <c r="L2023" s="2" t="str">
        <f t="shared" si="186"/>
        <v>Profitable</v>
      </c>
      <c r="M2023" s="2" t="str">
        <f t="shared" si="187"/>
        <v>Stable Earnings</v>
      </c>
      <c r="N2023" s="2" t="str">
        <f t="shared" si="188"/>
        <v>Low Quality</v>
      </c>
      <c r="O2023" s="4" t="str">
        <f t="shared" si="189"/>
        <v>Operational Growth</v>
      </c>
      <c r="P2023" s="4" t="str">
        <f t="shared" si="190"/>
        <v>Low Quality</v>
      </c>
      <c r="Q2023" s="4" t="str">
        <f t="shared" si="191"/>
        <v>Moderate Growth</v>
      </c>
    </row>
    <row r="2024" spans="1:17" x14ac:dyDescent="0.35">
      <c r="A2024" s="2" t="s">
        <v>2035</v>
      </c>
      <c r="B2024" s="2">
        <v>5</v>
      </c>
      <c r="C2024" s="2">
        <v>16522855.42</v>
      </c>
      <c r="D2024" s="2">
        <v>0.8</v>
      </c>
      <c r="E2024" s="2">
        <v>40215664.890000001</v>
      </c>
      <c r="F2024" s="2">
        <v>55550543.100000001</v>
      </c>
      <c r="G2024" s="2">
        <v>2</v>
      </c>
      <c r="H2024" s="2">
        <v>2</v>
      </c>
      <c r="I2024" s="2">
        <v>2</v>
      </c>
      <c r="J2024" s="2">
        <v>2</v>
      </c>
      <c r="K2024" s="2" t="s">
        <v>1268</v>
      </c>
      <c r="L2024" s="2" t="str">
        <f t="shared" si="186"/>
        <v>Profitable</v>
      </c>
      <c r="M2024" s="2" t="str">
        <f t="shared" si="187"/>
        <v>Stable Earnings</v>
      </c>
      <c r="N2024" s="2" t="str">
        <f t="shared" si="188"/>
        <v>Low Quality</v>
      </c>
      <c r="O2024" s="4" t="str">
        <f t="shared" si="189"/>
        <v>Operational Growth</v>
      </c>
      <c r="P2024" s="4" t="str">
        <f t="shared" si="190"/>
        <v>Low Quality</v>
      </c>
      <c r="Q2024" s="4" t="str">
        <f t="shared" si="191"/>
        <v>Moderate Growth</v>
      </c>
    </row>
    <row r="2025" spans="1:17" x14ac:dyDescent="0.35">
      <c r="A2025" s="2" t="s">
        <v>2036</v>
      </c>
      <c r="B2025" s="2">
        <v>5</v>
      </c>
      <c r="C2025" s="2">
        <v>166165770.30000001</v>
      </c>
      <c r="D2025" s="2">
        <v>1</v>
      </c>
      <c r="E2025" s="2">
        <v>37333807.439999998</v>
      </c>
      <c r="F2025" s="2">
        <v>58874619.399999999</v>
      </c>
      <c r="G2025" s="2">
        <v>2</v>
      </c>
      <c r="H2025" s="2">
        <v>2</v>
      </c>
      <c r="I2025" s="2">
        <v>2</v>
      </c>
      <c r="J2025" s="2">
        <v>2</v>
      </c>
      <c r="K2025" s="2" t="s">
        <v>1268</v>
      </c>
      <c r="L2025" s="2" t="str">
        <f t="shared" si="186"/>
        <v>Profitable</v>
      </c>
      <c r="M2025" s="2" t="str">
        <f t="shared" si="187"/>
        <v>Stable Earnings</v>
      </c>
      <c r="N2025" s="2" t="str">
        <f t="shared" si="188"/>
        <v>Low Quality</v>
      </c>
      <c r="O2025" s="4" t="str">
        <f t="shared" si="189"/>
        <v>Operational Growth</v>
      </c>
      <c r="P2025" s="4" t="str">
        <f t="shared" si="190"/>
        <v>Low Quality</v>
      </c>
      <c r="Q2025" s="4" t="str">
        <f t="shared" si="191"/>
        <v>Moderate Growth</v>
      </c>
    </row>
    <row r="2026" spans="1:17" x14ac:dyDescent="0.35">
      <c r="A2026" s="2" t="s">
        <v>2037</v>
      </c>
      <c r="B2026" s="2">
        <v>5</v>
      </c>
      <c r="C2026" s="2">
        <v>78215175.299999997</v>
      </c>
      <c r="D2026" s="2">
        <v>1</v>
      </c>
      <c r="E2026" s="2">
        <v>36086737.43</v>
      </c>
      <c r="F2026" s="2">
        <v>64032671.200000003</v>
      </c>
      <c r="G2026" s="2">
        <v>2</v>
      </c>
      <c r="H2026" s="2">
        <v>2</v>
      </c>
      <c r="I2026" s="2">
        <v>2</v>
      </c>
      <c r="J2026" s="2">
        <v>2</v>
      </c>
      <c r="K2026" s="2" t="s">
        <v>1268</v>
      </c>
      <c r="L2026" s="2" t="str">
        <f t="shared" si="186"/>
        <v>Profitable</v>
      </c>
      <c r="M2026" s="2" t="str">
        <f t="shared" si="187"/>
        <v>Stable Earnings</v>
      </c>
      <c r="N2026" s="2" t="str">
        <f t="shared" si="188"/>
        <v>Low Quality</v>
      </c>
      <c r="O2026" s="4" t="str">
        <f t="shared" si="189"/>
        <v>Operational Growth</v>
      </c>
      <c r="P2026" s="4" t="str">
        <f t="shared" si="190"/>
        <v>Low Quality</v>
      </c>
      <c r="Q2026" s="4" t="str">
        <f t="shared" si="191"/>
        <v>Moderate Growth</v>
      </c>
    </row>
    <row r="2027" spans="1:17" x14ac:dyDescent="0.35">
      <c r="A2027" s="2" t="s">
        <v>2038</v>
      </c>
      <c r="B2027" s="2">
        <v>5</v>
      </c>
      <c r="C2027" s="2">
        <v>101833655.3</v>
      </c>
      <c r="D2027" s="2">
        <v>1</v>
      </c>
      <c r="E2027" s="2">
        <v>34653035.789999999</v>
      </c>
      <c r="F2027" s="2">
        <v>56342900.299999997</v>
      </c>
      <c r="G2027" s="2">
        <v>2</v>
      </c>
      <c r="H2027" s="2">
        <v>2</v>
      </c>
      <c r="I2027" s="2">
        <v>2</v>
      </c>
      <c r="J2027" s="2">
        <v>2</v>
      </c>
      <c r="K2027" s="2" t="s">
        <v>1268</v>
      </c>
      <c r="L2027" s="2" t="str">
        <f t="shared" si="186"/>
        <v>Profitable</v>
      </c>
      <c r="M2027" s="2" t="str">
        <f t="shared" si="187"/>
        <v>Stable Earnings</v>
      </c>
      <c r="N2027" s="2" t="str">
        <f t="shared" si="188"/>
        <v>Low Quality</v>
      </c>
      <c r="O2027" s="4" t="str">
        <f t="shared" si="189"/>
        <v>Operational Growth</v>
      </c>
      <c r="P2027" s="4" t="str">
        <f t="shared" si="190"/>
        <v>Low Quality</v>
      </c>
      <c r="Q2027" s="4" t="str">
        <f t="shared" si="191"/>
        <v>Moderate Growth</v>
      </c>
    </row>
    <row r="2028" spans="1:17" x14ac:dyDescent="0.35">
      <c r="A2028" s="2" t="s">
        <v>2039</v>
      </c>
      <c r="B2028" s="2">
        <v>5</v>
      </c>
      <c r="C2028" s="2">
        <v>39390389.520000003</v>
      </c>
      <c r="D2028" s="2">
        <v>0.8</v>
      </c>
      <c r="E2028" s="2">
        <v>42607397.289999999</v>
      </c>
      <c r="F2028" s="2">
        <v>59900538.399999999</v>
      </c>
      <c r="G2028" s="2">
        <v>2</v>
      </c>
      <c r="H2028" s="2">
        <v>2</v>
      </c>
      <c r="I2028" s="2">
        <v>2</v>
      </c>
      <c r="J2028" s="2">
        <v>2</v>
      </c>
      <c r="K2028" s="2" t="s">
        <v>1268</v>
      </c>
      <c r="L2028" s="2" t="str">
        <f t="shared" si="186"/>
        <v>Profitable</v>
      </c>
      <c r="M2028" s="2" t="str">
        <f t="shared" si="187"/>
        <v>Stable Earnings</v>
      </c>
      <c r="N2028" s="2" t="str">
        <f t="shared" si="188"/>
        <v>Low Quality</v>
      </c>
      <c r="O2028" s="4" t="str">
        <f t="shared" si="189"/>
        <v>Operational Growth</v>
      </c>
      <c r="P2028" s="4" t="str">
        <f t="shared" si="190"/>
        <v>Low Quality</v>
      </c>
      <c r="Q2028" s="4" t="str">
        <f t="shared" si="191"/>
        <v>Moderate Growth</v>
      </c>
    </row>
    <row r="2029" spans="1:17" x14ac:dyDescent="0.35">
      <c r="A2029" s="2" t="s">
        <v>2040</v>
      </c>
      <c r="B2029" s="2">
        <v>5</v>
      </c>
      <c r="C2029" s="2">
        <v>64255869</v>
      </c>
      <c r="D2029" s="2">
        <v>1</v>
      </c>
      <c r="E2029" s="2">
        <v>36066814.789999999</v>
      </c>
      <c r="F2029" s="2">
        <v>59501816.700000003</v>
      </c>
      <c r="G2029" s="2">
        <v>2</v>
      </c>
      <c r="H2029" s="2">
        <v>2</v>
      </c>
      <c r="I2029" s="2">
        <v>2</v>
      </c>
      <c r="J2029" s="2">
        <v>2</v>
      </c>
      <c r="K2029" s="2" t="s">
        <v>1268</v>
      </c>
      <c r="L2029" s="2" t="str">
        <f t="shared" si="186"/>
        <v>Profitable</v>
      </c>
      <c r="M2029" s="2" t="str">
        <f t="shared" si="187"/>
        <v>Stable Earnings</v>
      </c>
      <c r="N2029" s="2" t="str">
        <f t="shared" si="188"/>
        <v>Low Quality</v>
      </c>
      <c r="O2029" s="4" t="str">
        <f t="shared" si="189"/>
        <v>Operational Growth</v>
      </c>
      <c r="P2029" s="4" t="str">
        <f t="shared" si="190"/>
        <v>Low Quality</v>
      </c>
      <c r="Q2029" s="4" t="str">
        <f t="shared" si="191"/>
        <v>Moderate Growth</v>
      </c>
    </row>
    <row r="2030" spans="1:17" x14ac:dyDescent="0.35">
      <c r="A2030" s="2" t="s">
        <v>2041</v>
      </c>
      <c r="B2030" s="2">
        <v>5</v>
      </c>
      <c r="C2030" s="2">
        <v>65984265.759999998</v>
      </c>
      <c r="D2030" s="2">
        <v>1</v>
      </c>
      <c r="E2030" s="2">
        <v>37088885.689999998</v>
      </c>
      <c r="F2030" s="2">
        <v>66945672.5</v>
      </c>
      <c r="G2030" s="2">
        <v>2</v>
      </c>
      <c r="H2030" s="2">
        <v>2</v>
      </c>
      <c r="I2030" s="2">
        <v>2</v>
      </c>
      <c r="J2030" s="2">
        <v>2</v>
      </c>
      <c r="K2030" s="2" t="s">
        <v>1268</v>
      </c>
      <c r="L2030" s="2" t="str">
        <f t="shared" si="186"/>
        <v>Profitable</v>
      </c>
      <c r="M2030" s="2" t="str">
        <f t="shared" si="187"/>
        <v>Stable Earnings</v>
      </c>
      <c r="N2030" s="2" t="str">
        <f t="shared" si="188"/>
        <v>Low Quality</v>
      </c>
      <c r="O2030" s="4" t="str">
        <f t="shared" si="189"/>
        <v>Operational Growth</v>
      </c>
      <c r="P2030" s="4" t="str">
        <f t="shared" si="190"/>
        <v>Low Quality</v>
      </c>
      <c r="Q2030" s="4" t="str">
        <f t="shared" si="191"/>
        <v>Moderate Growth</v>
      </c>
    </row>
    <row r="2031" spans="1:17" x14ac:dyDescent="0.35">
      <c r="A2031" s="2" t="s">
        <v>2042</v>
      </c>
      <c r="B2031" s="2">
        <v>5</v>
      </c>
      <c r="C2031" s="2">
        <v>63972116.979999997</v>
      </c>
      <c r="D2031" s="2">
        <v>1</v>
      </c>
      <c r="E2031" s="2">
        <v>29640520.07</v>
      </c>
      <c r="F2031" s="2">
        <v>65897063.100000001</v>
      </c>
      <c r="G2031" s="2">
        <v>2</v>
      </c>
      <c r="H2031" s="2">
        <v>2</v>
      </c>
      <c r="I2031" s="2">
        <v>2</v>
      </c>
      <c r="J2031" s="2">
        <v>2</v>
      </c>
      <c r="K2031" s="2" t="s">
        <v>1268</v>
      </c>
      <c r="L2031" s="2" t="str">
        <f t="shared" si="186"/>
        <v>Profitable</v>
      </c>
      <c r="M2031" s="2" t="str">
        <f t="shared" si="187"/>
        <v>Stable Earnings</v>
      </c>
      <c r="N2031" s="2" t="str">
        <f t="shared" si="188"/>
        <v>Low Quality</v>
      </c>
      <c r="O2031" s="4" t="str">
        <f t="shared" si="189"/>
        <v>Operational Growth</v>
      </c>
      <c r="P2031" s="4" t="str">
        <f t="shared" si="190"/>
        <v>Low Quality</v>
      </c>
      <c r="Q2031" s="4" t="str">
        <f t="shared" si="191"/>
        <v>Moderate Growth</v>
      </c>
    </row>
    <row r="2032" spans="1:17" x14ac:dyDescent="0.35">
      <c r="A2032" s="2" t="s">
        <v>2043</v>
      </c>
      <c r="B2032" s="2">
        <v>5</v>
      </c>
      <c r="C2032" s="2">
        <v>61369791.560000002</v>
      </c>
      <c r="D2032" s="2">
        <v>1</v>
      </c>
      <c r="E2032" s="2">
        <v>23123887.890000001</v>
      </c>
      <c r="F2032" s="2">
        <v>61232017</v>
      </c>
      <c r="G2032" s="2">
        <v>2</v>
      </c>
      <c r="H2032" s="2">
        <v>2</v>
      </c>
      <c r="I2032" s="2">
        <v>2</v>
      </c>
      <c r="J2032" s="2">
        <v>2</v>
      </c>
      <c r="K2032" s="2" t="s">
        <v>1268</v>
      </c>
      <c r="L2032" s="2" t="str">
        <f t="shared" si="186"/>
        <v>Profitable</v>
      </c>
      <c r="M2032" s="2" t="str">
        <f t="shared" si="187"/>
        <v>Stable Earnings</v>
      </c>
      <c r="N2032" s="2" t="str">
        <f t="shared" si="188"/>
        <v>Low Quality</v>
      </c>
      <c r="O2032" s="4" t="str">
        <f t="shared" si="189"/>
        <v>Operational Growth</v>
      </c>
      <c r="P2032" s="4" t="str">
        <f t="shared" si="190"/>
        <v>Low Quality</v>
      </c>
      <c r="Q2032" s="4" t="str">
        <f t="shared" si="191"/>
        <v>Moderate Growth</v>
      </c>
    </row>
    <row r="2033" spans="1:17" x14ac:dyDescent="0.35">
      <c r="A2033" s="2" t="s">
        <v>2044</v>
      </c>
      <c r="B2033" s="2">
        <v>5</v>
      </c>
      <c r="C2033" s="2">
        <v>99134791.140000001</v>
      </c>
      <c r="D2033" s="2">
        <v>1</v>
      </c>
      <c r="E2033" s="2">
        <v>31836330.07</v>
      </c>
      <c r="F2033" s="2">
        <v>77996872.299999997</v>
      </c>
      <c r="G2033" s="2">
        <v>2</v>
      </c>
      <c r="H2033" s="2">
        <v>2</v>
      </c>
      <c r="I2033" s="2">
        <v>2</v>
      </c>
      <c r="J2033" s="2">
        <v>2</v>
      </c>
      <c r="K2033" s="2" t="s">
        <v>1268</v>
      </c>
      <c r="L2033" s="2" t="str">
        <f t="shared" si="186"/>
        <v>Profitable</v>
      </c>
      <c r="M2033" s="2" t="str">
        <f t="shared" si="187"/>
        <v>Stable Earnings</v>
      </c>
      <c r="N2033" s="2" t="str">
        <f t="shared" si="188"/>
        <v>Low Quality</v>
      </c>
      <c r="O2033" s="4" t="str">
        <f t="shared" si="189"/>
        <v>Operational Growth</v>
      </c>
      <c r="P2033" s="4" t="str">
        <f t="shared" si="190"/>
        <v>Low Quality</v>
      </c>
      <c r="Q2033" s="4" t="str">
        <f t="shared" si="191"/>
        <v>Moderate Growth</v>
      </c>
    </row>
    <row r="2034" spans="1:17" x14ac:dyDescent="0.35">
      <c r="A2034" s="2" t="s">
        <v>2045</v>
      </c>
      <c r="B2034" s="2">
        <v>5</v>
      </c>
      <c r="C2034" s="2">
        <v>182401684.59999999</v>
      </c>
      <c r="D2034" s="2">
        <v>1</v>
      </c>
      <c r="E2034" s="2">
        <v>28060228.440000001</v>
      </c>
      <c r="F2034" s="2">
        <v>71936354.400000006</v>
      </c>
      <c r="G2034" s="2">
        <v>2</v>
      </c>
      <c r="H2034" s="2">
        <v>2</v>
      </c>
      <c r="I2034" s="2">
        <v>2</v>
      </c>
      <c r="J2034" s="2">
        <v>2</v>
      </c>
      <c r="K2034" s="2" t="s">
        <v>1268</v>
      </c>
      <c r="L2034" s="2" t="str">
        <f t="shared" si="186"/>
        <v>Profitable</v>
      </c>
      <c r="M2034" s="2" t="str">
        <f t="shared" si="187"/>
        <v>Stable Earnings</v>
      </c>
      <c r="N2034" s="2" t="str">
        <f t="shared" si="188"/>
        <v>Low Quality</v>
      </c>
      <c r="O2034" s="4" t="str">
        <f t="shared" si="189"/>
        <v>Operational Growth</v>
      </c>
      <c r="P2034" s="4" t="str">
        <f t="shared" si="190"/>
        <v>Low Quality</v>
      </c>
      <c r="Q2034" s="4" t="str">
        <f t="shared" si="191"/>
        <v>Moderate Growth</v>
      </c>
    </row>
    <row r="2035" spans="1:17" x14ac:dyDescent="0.35">
      <c r="A2035" s="2" t="s">
        <v>2046</v>
      </c>
      <c r="B2035" s="2">
        <v>5</v>
      </c>
      <c r="C2035" s="2">
        <v>64338167.82</v>
      </c>
      <c r="D2035" s="2">
        <v>1</v>
      </c>
      <c r="E2035" s="2">
        <v>43587332.079999998</v>
      </c>
      <c r="F2035" s="2">
        <v>67960221.900000006</v>
      </c>
      <c r="G2035" s="2">
        <v>2</v>
      </c>
      <c r="H2035" s="2">
        <v>2</v>
      </c>
      <c r="I2035" s="2">
        <v>2</v>
      </c>
      <c r="J2035" s="2">
        <v>2</v>
      </c>
      <c r="K2035" s="2" t="s">
        <v>1268</v>
      </c>
      <c r="L2035" s="2" t="str">
        <f t="shared" si="186"/>
        <v>Profitable</v>
      </c>
      <c r="M2035" s="2" t="str">
        <f t="shared" si="187"/>
        <v>Stable Earnings</v>
      </c>
      <c r="N2035" s="2" t="str">
        <f t="shared" si="188"/>
        <v>Low Quality</v>
      </c>
      <c r="O2035" s="4" t="str">
        <f t="shared" si="189"/>
        <v>Operational Growth</v>
      </c>
      <c r="P2035" s="4" t="str">
        <f t="shared" si="190"/>
        <v>Low Quality</v>
      </c>
      <c r="Q2035" s="4" t="str">
        <f t="shared" si="191"/>
        <v>Moderate Growth</v>
      </c>
    </row>
    <row r="2036" spans="1:17" x14ac:dyDescent="0.35">
      <c r="A2036" s="2" t="s">
        <v>2047</v>
      </c>
      <c r="B2036" s="2">
        <v>5</v>
      </c>
      <c r="C2036" s="2">
        <v>69797715.260000005</v>
      </c>
      <c r="D2036" s="2">
        <v>1</v>
      </c>
      <c r="E2036" s="2">
        <v>21304113.440000001</v>
      </c>
      <c r="F2036" s="2">
        <v>50761078.600000001</v>
      </c>
      <c r="G2036" s="2">
        <v>2</v>
      </c>
      <c r="H2036" s="2">
        <v>2</v>
      </c>
      <c r="I2036" s="2">
        <v>2</v>
      </c>
      <c r="J2036" s="2">
        <v>2</v>
      </c>
      <c r="K2036" s="2" t="s">
        <v>1268</v>
      </c>
      <c r="L2036" s="2" t="str">
        <f t="shared" si="186"/>
        <v>Profitable</v>
      </c>
      <c r="M2036" s="2" t="str">
        <f t="shared" si="187"/>
        <v>Stable Earnings</v>
      </c>
      <c r="N2036" s="2" t="str">
        <f t="shared" si="188"/>
        <v>Low Quality</v>
      </c>
      <c r="O2036" s="4" t="str">
        <f t="shared" si="189"/>
        <v>Operational Growth</v>
      </c>
      <c r="P2036" s="4" t="str">
        <f t="shared" si="190"/>
        <v>Low Quality</v>
      </c>
      <c r="Q2036" s="4" t="str">
        <f t="shared" si="191"/>
        <v>Moderate Growth</v>
      </c>
    </row>
    <row r="2037" spans="1:17" x14ac:dyDescent="0.35">
      <c r="A2037" s="2" t="s">
        <v>2048</v>
      </c>
      <c r="B2037" s="2">
        <v>5</v>
      </c>
      <c r="C2037" s="2">
        <v>42201310.659999996</v>
      </c>
      <c r="D2037" s="2">
        <v>1</v>
      </c>
      <c r="E2037" s="2">
        <v>19241130.550000001</v>
      </c>
      <c r="F2037" s="2">
        <v>47665194.600000001</v>
      </c>
      <c r="G2037" s="2">
        <v>2</v>
      </c>
      <c r="H2037" s="2">
        <v>2</v>
      </c>
      <c r="I2037" s="2">
        <v>2</v>
      </c>
      <c r="J2037" s="2">
        <v>2</v>
      </c>
      <c r="K2037" s="2" t="s">
        <v>1268</v>
      </c>
      <c r="L2037" s="2" t="str">
        <f t="shared" si="186"/>
        <v>Profitable</v>
      </c>
      <c r="M2037" s="2" t="str">
        <f t="shared" si="187"/>
        <v>Stable Earnings</v>
      </c>
      <c r="N2037" s="2" t="str">
        <f t="shared" si="188"/>
        <v>Low Quality</v>
      </c>
      <c r="O2037" s="4" t="str">
        <f t="shared" si="189"/>
        <v>Operational Growth</v>
      </c>
      <c r="P2037" s="4" t="str">
        <f t="shared" si="190"/>
        <v>Low Quality</v>
      </c>
      <c r="Q2037" s="4" t="str">
        <f t="shared" si="191"/>
        <v>Moderate Growth</v>
      </c>
    </row>
    <row r="2038" spans="1:17" x14ac:dyDescent="0.35">
      <c r="A2038" s="2" t="s">
        <v>2049</v>
      </c>
      <c r="B2038" s="2">
        <v>5</v>
      </c>
      <c r="C2038" s="2">
        <v>83730309.019999996</v>
      </c>
      <c r="D2038" s="2">
        <v>1</v>
      </c>
      <c r="E2038" s="2">
        <v>32420948.18</v>
      </c>
      <c r="F2038" s="2">
        <v>52072527.600000001</v>
      </c>
      <c r="G2038" s="2">
        <v>2</v>
      </c>
      <c r="H2038" s="2">
        <v>2</v>
      </c>
      <c r="I2038" s="2">
        <v>2</v>
      </c>
      <c r="J2038" s="2">
        <v>2</v>
      </c>
      <c r="K2038" s="2" t="s">
        <v>1268</v>
      </c>
      <c r="L2038" s="2" t="str">
        <f t="shared" si="186"/>
        <v>Profitable</v>
      </c>
      <c r="M2038" s="2" t="str">
        <f t="shared" si="187"/>
        <v>Stable Earnings</v>
      </c>
      <c r="N2038" s="2" t="str">
        <f t="shared" si="188"/>
        <v>Low Quality</v>
      </c>
      <c r="O2038" s="4" t="str">
        <f t="shared" si="189"/>
        <v>Operational Growth</v>
      </c>
      <c r="P2038" s="4" t="str">
        <f t="shared" si="190"/>
        <v>Low Quality</v>
      </c>
      <c r="Q2038" s="4" t="str">
        <f t="shared" si="191"/>
        <v>Moderate Growth</v>
      </c>
    </row>
    <row r="2039" spans="1:17" x14ac:dyDescent="0.35">
      <c r="A2039" s="2" t="s">
        <v>2050</v>
      </c>
      <c r="B2039" s="2">
        <v>5</v>
      </c>
      <c r="C2039" s="2">
        <v>57846298.18</v>
      </c>
      <c r="D2039" s="2">
        <v>1</v>
      </c>
      <c r="E2039" s="2">
        <v>27845406.390000001</v>
      </c>
      <c r="F2039" s="2">
        <v>46902456.100000001</v>
      </c>
      <c r="G2039" s="2">
        <v>2</v>
      </c>
      <c r="H2039" s="2">
        <v>2</v>
      </c>
      <c r="I2039" s="2">
        <v>2</v>
      </c>
      <c r="J2039" s="2">
        <v>2</v>
      </c>
      <c r="K2039" s="2" t="s">
        <v>1268</v>
      </c>
      <c r="L2039" s="2" t="str">
        <f t="shared" si="186"/>
        <v>Profitable</v>
      </c>
      <c r="M2039" s="2" t="str">
        <f t="shared" si="187"/>
        <v>Stable Earnings</v>
      </c>
      <c r="N2039" s="2" t="str">
        <f t="shared" si="188"/>
        <v>Low Quality</v>
      </c>
      <c r="O2039" s="4" t="str">
        <f t="shared" si="189"/>
        <v>Operational Growth</v>
      </c>
      <c r="P2039" s="4" t="str">
        <f t="shared" si="190"/>
        <v>Low Quality</v>
      </c>
      <c r="Q2039" s="4" t="str">
        <f t="shared" si="191"/>
        <v>Moderate Growth</v>
      </c>
    </row>
    <row r="2040" spans="1:17" x14ac:dyDescent="0.35">
      <c r="A2040" s="2" t="s">
        <v>2051</v>
      </c>
      <c r="B2040" s="2">
        <v>5</v>
      </c>
      <c r="C2040" s="2">
        <v>69550306.280000001</v>
      </c>
      <c r="D2040" s="2">
        <v>1</v>
      </c>
      <c r="E2040" s="2">
        <v>24899303.52</v>
      </c>
      <c r="F2040" s="2">
        <v>44065553.600000001</v>
      </c>
      <c r="G2040" s="2">
        <v>2</v>
      </c>
      <c r="H2040" s="2">
        <v>2</v>
      </c>
      <c r="I2040" s="2">
        <v>2</v>
      </c>
      <c r="J2040" s="2">
        <v>2</v>
      </c>
      <c r="K2040" s="2" t="s">
        <v>1268</v>
      </c>
      <c r="L2040" s="2" t="str">
        <f t="shared" si="186"/>
        <v>Profitable</v>
      </c>
      <c r="M2040" s="2" t="str">
        <f t="shared" si="187"/>
        <v>Stable Earnings</v>
      </c>
      <c r="N2040" s="2" t="str">
        <f t="shared" si="188"/>
        <v>Low Quality</v>
      </c>
      <c r="O2040" s="4" t="str">
        <f t="shared" si="189"/>
        <v>Operational Growth</v>
      </c>
      <c r="P2040" s="4" t="str">
        <f t="shared" si="190"/>
        <v>Low Quality</v>
      </c>
      <c r="Q2040" s="4" t="str">
        <f t="shared" si="191"/>
        <v>Moderate Growth</v>
      </c>
    </row>
    <row r="2041" spans="1:17" x14ac:dyDescent="0.35">
      <c r="A2041" s="2" t="s">
        <v>2052</v>
      </c>
      <c r="B2041" s="2">
        <v>5</v>
      </c>
      <c r="C2041" s="2">
        <v>41803060.219999999</v>
      </c>
      <c r="D2041" s="2">
        <v>1</v>
      </c>
      <c r="E2041" s="2">
        <v>19712299.359999999</v>
      </c>
      <c r="F2041" s="2">
        <v>46685677.399999999</v>
      </c>
      <c r="G2041" s="2">
        <v>2</v>
      </c>
      <c r="H2041" s="2">
        <v>2</v>
      </c>
      <c r="I2041" s="2">
        <v>2</v>
      </c>
      <c r="J2041" s="2">
        <v>2</v>
      </c>
      <c r="K2041" s="2" t="s">
        <v>1268</v>
      </c>
      <c r="L2041" s="2" t="str">
        <f t="shared" si="186"/>
        <v>Profitable</v>
      </c>
      <c r="M2041" s="2" t="str">
        <f t="shared" si="187"/>
        <v>Stable Earnings</v>
      </c>
      <c r="N2041" s="2" t="str">
        <f t="shared" si="188"/>
        <v>Low Quality</v>
      </c>
      <c r="O2041" s="4" t="str">
        <f t="shared" si="189"/>
        <v>Operational Growth</v>
      </c>
      <c r="P2041" s="4" t="str">
        <f t="shared" si="190"/>
        <v>Low Quality</v>
      </c>
      <c r="Q2041" s="4" t="str">
        <f t="shared" si="191"/>
        <v>Moderate Growth</v>
      </c>
    </row>
    <row r="2042" spans="1:17" x14ac:dyDescent="0.35">
      <c r="A2042" s="2" t="s">
        <v>2053</v>
      </c>
      <c r="B2042" s="2">
        <v>5</v>
      </c>
      <c r="C2042" s="2">
        <v>19383791.34</v>
      </c>
      <c r="D2042" s="2">
        <v>1</v>
      </c>
      <c r="E2042" s="2">
        <v>21364642.120000001</v>
      </c>
      <c r="F2042" s="2">
        <v>45772367.600000001</v>
      </c>
      <c r="G2042" s="2">
        <v>2</v>
      </c>
      <c r="H2042" s="2">
        <v>2</v>
      </c>
      <c r="I2042" s="2">
        <v>2</v>
      </c>
      <c r="J2042" s="2">
        <v>2</v>
      </c>
      <c r="K2042" s="2" t="s">
        <v>1268</v>
      </c>
      <c r="L2042" s="2" t="str">
        <f t="shared" si="186"/>
        <v>Profitable</v>
      </c>
      <c r="M2042" s="2" t="str">
        <f t="shared" si="187"/>
        <v>Stable Earnings</v>
      </c>
      <c r="N2042" s="2" t="str">
        <f t="shared" si="188"/>
        <v>Low Quality</v>
      </c>
      <c r="O2042" s="4" t="str">
        <f t="shared" si="189"/>
        <v>Operational Growth</v>
      </c>
      <c r="P2042" s="4" t="str">
        <f t="shared" si="190"/>
        <v>Low Quality</v>
      </c>
      <c r="Q2042" s="4" t="str">
        <f t="shared" si="191"/>
        <v>Moderate Growth</v>
      </c>
    </row>
    <row r="2043" spans="1:17" x14ac:dyDescent="0.35">
      <c r="A2043" s="2" t="s">
        <v>2054</v>
      </c>
      <c r="B2043" s="2">
        <v>5</v>
      </c>
      <c r="C2043" s="2">
        <v>109213260.3</v>
      </c>
      <c r="D2043" s="2">
        <v>1</v>
      </c>
      <c r="E2043" s="2">
        <v>35822966.229999997</v>
      </c>
      <c r="F2043" s="2">
        <v>46237346.799999997</v>
      </c>
      <c r="G2043" s="2">
        <v>2</v>
      </c>
      <c r="H2043" s="2">
        <v>2</v>
      </c>
      <c r="I2043" s="2">
        <v>2</v>
      </c>
      <c r="J2043" s="2">
        <v>2</v>
      </c>
      <c r="K2043" s="2" t="s">
        <v>1268</v>
      </c>
      <c r="L2043" s="2" t="str">
        <f t="shared" si="186"/>
        <v>Profitable</v>
      </c>
      <c r="M2043" s="2" t="str">
        <f t="shared" si="187"/>
        <v>Stable Earnings</v>
      </c>
      <c r="N2043" s="2" t="str">
        <f t="shared" si="188"/>
        <v>Low Quality</v>
      </c>
      <c r="O2043" s="4" t="str">
        <f t="shared" si="189"/>
        <v>Operational Growth</v>
      </c>
      <c r="P2043" s="4" t="str">
        <f t="shared" si="190"/>
        <v>Low Quality</v>
      </c>
      <c r="Q2043" s="4" t="str">
        <f t="shared" si="191"/>
        <v>Moderate Growth</v>
      </c>
    </row>
    <row r="2044" spans="1:17" x14ac:dyDescent="0.35">
      <c r="A2044" s="2" t="s">
        <v>2055</v>
      </c>
      <c r="B2044" s="2">
        <v>5</v>
      </c>
      <c r="C2044" s="2">
        <v>111167440.8</v>
      </c>
      <c r="D2044" s="2">
        <v>1</v>
      </c>
      <c r="E2044" s="2">
        <v>19741389.640000001</v>
      </c>
      <c r="F2044" s="2">
        <v>42655477.299999997</v>
      </c>
      <c r="G2044" s="2">
        <v>2</v>
      </c>
      <c r="H2044" s="2">
        <v>2</v>
      </c>
      <c r="I2044" s="2">
        <v>2</v>
      </c>
      <c r="J2044" s="2">
        <v>2</v>
      </c>
      <c r="K2044" s="2" t="s">
        <v>1268</v>
      </c>
      <c r="L2044" s="2" t="str">
        <f t="shared" si="186"/>
        <v>Profitable</v>
      </c>
      <c r="M2044" s="2" t="str">
        <f t="shared" si="187"/>
        <v>Stable Earnings</v>
      </c>
      <c r="N2044" s="2" t="str">
        <f t="shared" si="188"/>
        <v>Low Quality</v>
      </c>
      <c r="O2044" s="4" t="str">
        <f t="shared" si="189"/>
        <v>Operational Growth</v>
      </c>
      <c r="P2044" s="4" t="str">
        <f t="shared" si="190"/>
        <v>Low Quality</v>
      </c>
      <c r="Q2044" s="4" t="str">
        <f t="shared" si="191"/>
        <v>Moderate Growth</v>
      </c>
    </row>
    <row r="2045" spans="1:17" x14ac:dyDescent="0.35">
      <c r="A2045" s="2" t="s">
        <v>2056</v>
      </c>
      <c r="B2045" s="2">
        <v>5</v>
      </c>
      <c r="C2045" s="2">
        <v>34314159.079999998</v>
      </c>
      <c r="D2045" s="2">
        <v>1</v>
      </c>
      <c r="E2045" s="2">
        <v>21109140.25</v>
      </c>
      <c r="F2045" s="2">
        <v>40660718</v>
      </c>
      <c r="G2045" s="2">
        <v>2</v>
      </c>
      <c r="H2045" s="2">
        <v>2</v>
      </c>
      <c r="I2045" s="2">
        <v>2</v>
      </c>
      <c r="J2045" s="2">
        <v>2</v>
      </c>
      <c r="K2045" s="2" t="s">
        <v>1268</v>
      </c>
      <c r="L2045" s="2" t="str">
        <f t="shared" si="186"/>
        <v>Profitable</v>
      </c>
      <c r="M2045" s="2" t="str">
        <f t="shared" si="187"/>
        <v>Stable Earnings</v>
      </c>
      <c r="N2045" s="2" t="str">
        <f t="shared" si="188"/>
        <v>Low Quality</v>
      </c>
      <c r="O2045" s="4" t="str">
        <f t="shared" si="189"/>
        <v>Operational Growth</v>
      </c>
      <c r="P2045" s="4" t="str">
        <f t="shared" si="190"/>
        <v>Low Quality</v>
      </c>
      <c r="Q2045" s="4" t="str">
        <f t="shared" si="191"/>
        <v>Moderate Growth</v>
      </c>
    </row>
    <row r="2046" spans="1:17" x14ac:dyDescent="0.35">
      <c r="A2046" s="2" t="s">
        <v>2057</v>
      </c>
      <c r="B2046" s="2">
        <v>5</v>
      </c>
      <c r="C2046" s="2">
        <v>63782663.119999997</v>
      </c>
      <c r="D2046" s="2">
        <v>1</v>
      </c>
      <c r="E2046" s="2">
        <v>31476379.420000002</v>
      </c>
      <c r="F2046" s="2">
        <v>41708935.799999997</v>
      </c>
      <c r="G2046" s="2">
        <v>2</v>
      </c>
      <c r="H2046" s="2">
        <v>2</v>
      </c>
      <c r="I2046" s="2">
        <v>2</v>
      </c>
      <c r="J2046" s="2">
        <v>2</v>
      </c>
      <c r="K2046" s="2" t="s">
        <v>1268</v>
      </c>
      <c r="L2046" s="2" t="str">
        <f t="shared" si="186"/>
        <v>Profitable</v>
      </c>
      <c r="M2046" s="2" t="str">
        <f t="shared" si="187"/>
        <v>Stable Earnings</v>
      </c>
      <c r="N2046" s="2" t="str">
        <f t="shared" si="188"/>
        <v>Low Quality</v>
      </c>
      <c r="O2046" s="4" t="str">
        <f t="shared" si="189"/>
        <v>Operational Growth</v>
      </c>
      <c r="P2046" s="4" t="str">
        <f t="shared" si="190"/>
        <v>Low Quality</v>
      </c>
      <c r="Q2046" s="4" t="str">
        <f t="shared" si="191"/>
        <v>Moderate Growth</v>
      </c>
    </row>
    <row r="2047" spans="1:17" x14ac:dyDescent="0.35">
      <c r="A2047" s="2" t="s">
        <v>2058</v>
      </c>
      <c r="B2047" s="2">
        <v>5</v>
      </c>
      <c r="C2047" s="2">
        <v>41446466.420000002</v>
      </c>
      <c r="D2047" s="2">
        <v>0.8</v>
      </c>
      <c r="E2047" s="2">
        <v>38347551.170000002</v>
      </c>
      <c r="F2047" s="2">
        <v>39421913.299999997</v>
      </c>
      <c r="G2047" s="2">
        <v>2</v>
      </c>
      <c r="H2047" s="2">
        <v>2</v>
      </c>
      <c r="I2047" s="2">
        <v>2</v>
      </c>
      <c r="J2047" s="2">
        <v>2</v>
      </c>
      <c r="K2047" s="2" t="s">
        <v>1268</v>
      </c>
      <c r="L2047" s="2" t="str">
        <f t="shared" si="186"/>
        <v>Profitable</v>
      </c>
      <c r="M2047" s="2" t="str">
        <f t="shared" si="187"/>
        <v>Stable Earnings</v>
      </c>
      <c r="N2047" s="2" t="str">
        <f t="shared" si="188"/>
        <v>Low Quality</v>
      </c>
      <c r="O2047" s="4" t="str">
        <f t="shared" si="189"/>
        <v>Operational Growth</v>
      </c>
      <c r="P2047" s="4" t="str">
        <f t="shared" si="190"/>
        <v>Low Quality</v>
      </c>
      <c r="Q2047" s="4" t="str">
        <f t="shared" si="191"/>
        <v>Moderate Growth</v>
      </c>
    </row>
    <row r="2048" spans="1:17" x14ac:dyDescent="0.35">
      <c r="A2048" s="2" t="s">
        <v>2059</v>
      </c>
      <c r="B2048" s="2">
        <v>5</v>
      </c>
      <c r="C2048" s="2">
        <v>103863198.2</v>
      </c>
      <c r="D2048" s="2">
        <v>1</v>
      </c>
      <c r="E2048" s="2">
        <v>16453475.65</v>
      </c>
      <c r="F2048" s="2">
        <v>39187439.399999999</v>
      </c>
      <c r="G2048" s="2">
        <v>2</v>
      </c>
      <c r="H2048" s="2">
        <v>2</v>
      </c>
      <c r="I2048" s="2">
        <v>2</v>
      </c>
      <c r="J2048" s="2">
        <v>2</v>
      </c>
      <c r="K2048" s="2" t="s">
        <v>1268</v>
      </c>
      <c r="L2048" s="2" t="str">
        <f t="shared" si="186"/>
        <v>Profitable</v>
      </c>
      <c r="M2048" s="2" t="str">
        <f t="shared" si="187"/>
        <v>Stable Earnings</v>
      </c>
      <c r="N2048" s="2" t="str">
        <f t="shared" si="188"/>
        <v>Low Quality</v>
      </c>
      <c r="O2048" s="4" t="str">
        <f t="shared" si="189"/>
        <v>Operational Growth</v>
      </c>
      <c r="P2048" s="4" t="str">
        <f t="shared" si="190"/>
        <v>Low Quality</v>
      </c>
      <c r="Q2048" s="4" t="str">
        <f t="shared" si="191"/>
        <v>Moderate Growth</v>
      </c>
    </row>
    <row r="2049" spans="1:17" x14ac:dyDescent="0.35">
      <c r="A2049" s="2" t="s">
        <v>2060</v>
      </c>
      <c r="B2049" s="2">
        <v>5</v>
      </c>
      <c r="C2049" s="2">
        <v>125473001.8</v>
      </c>
      <c r="D2049" s="2">
        <v>1</v>
      </c>
      <c r="E2049" s="2">
        <v>15790493.52</v>
      </c>
      <c r="F2049" s="2">
        <v>39004791.100000001</v>
      </c>
      <c r="G2049" s="2">
        <v>2</v>
      </c>
      <c r="H2049" s="2">
        <v>2</v>
      </c>
      <c r="I2049" s="2">
        <v>2</v>
      </c>
      <c r="J2049" s="2">
        <v>2</v>
      </c>
      <c r="K2049" s="2" t="s">
        <v>1268</v>
      </c>
      <c r="L2049" s="2" t="str">
        <f t="shared" si="186"/>
        <v>Profitable</v>
      </c>
      <c r="M2049" s="2" t="str">
        <f t="shared" si="187"/>
        <v>Stable Earnings</v>
      </c>
      <c r="N2049" s="2" t="str">
        <f t="shared" si="188"/>
        <v>Low Quality</v>
      </c>
      <c r="O2049" s="4" t="str">
        <f t="shared" si="189"/>
        <v>Operational Growth</v>
      </c>
      <c r="P2049" s="4" t="str">
        <f t="shared" si="190"/>
        <v>Low Quality</v>
      </c>
      <c r="Q2049" s="4" t="str">
        <f t="shared" si="191"/>
        <v>Moderate Growth</v>
      </c>
    </row>
    <row r="2050" spans="1:17" x14ac:dyDescent="0.35">
      <c r="A2050" s="2" t="s">
        <v>2061</v>
      </c>
      <c r="B2050" s="2">
        <v>5</v>
      </c>
      <c r="C2050" s="2">
        <v>40314152.920000002</v>
      </c>
      <c r="D2050" s="2">
        <v>1</v>
      </c>
      <c r="E2050" s="2">
        <v>15999812.26</v>
      </c>
      <c r="F2050" s="2">
        <v>38974122.5</v>
      </c>
      <c r="G2050" s="2">
        <v>2</v>
      </c>
      <c r="H2050" s="2">
        <v>2</v>
      </c>
      <c r="I2050" s="2">
        <v>2</v>
      </c>
      <c r="J2050" s="2">
        <v>2</v>
      </c>
      <c r="K2050" s="2" t="s">
        <v>1268</v>
      </c>
      <c r="L2050" s="2" t="str">
        <f t="shared" ref="L2050:L2113" si="192">IF(C2050&gt;0,"Profitable","Loss Making")</f>
        <v>Profitable</v>
      </c>
      <c r="M2050" s="2" t="str">
        <f t="shared" ref="M2050:M2113" si="193">IF(C2050&gt;500000000,"High Volatility","Stable Earnings")</f>
        <v>Stable Earnings</v>
      </c>
      <c r="N2050" s="2" t="str">
        <f t="shared" ref="N2050:N2113" si="194">IF(G2050&gt;=7,"High Quality",IF(G2050&gt;=4,"Moderate","Low Quality"))</f>
        <v>Low Quality</v>
      </c>
      <c r="O2050" s="4" t="str">
        <f t="shared" ref="O2050:O2113" si="195">IF(AND(F2050&gt;0,D2050&gt;0.6),"Operational Growth","Accounting Risk")</f>
        <v>Operational Growth</v>
      </c>
      <c r="P2050" s="4" t="str">
        <f t="shared" ref="P2050:P2113" si="196">IF(G2050&gt;=7,"High Quality", IF(G2050&gt;=4,"Moderate","Low Quality"))</f>
        <v>Low Quality</v>
      </c>
      <c r="Q2050" s="4" t="str">
        <f t="shared" ref="Q2050:Q2113" si="197">IF(I2050&gt;=4,"Strong Long-Term Growth",IF(I2050&gt;=2,"Moderate Growth","Weak Growth"))</f>
        <v>Moderate Growth</v>
      </c>
    </row>
    <row r="2051" spans="1:17" x14ac:dyDescent="0.35">
      <c r="A2051" s="2" t="s">
        <v>2062</v>
      </c>
      <c r="B2051" s="2">
        <v>5</v>
      </c>
      <c r="C2051" s="2">
        <v>97199272.439999998</v>
      </c>
      <c r="D2051" s="2">
        <v>1</v>
      </c>
      <c r="E2051" s="2">
        <v>36241001.530000001</v>
      </c>
      <c r="F2051" s="2">
        <v>35414713.5</v>
      </c>
      <c r="G2051" s="2">
        <v>2</v>
      </c>
      <c r="H2051" s="2">
        <v>2</v>
      </c>
      <c r="I2051" s="2">
        <v>2</v>
      </c>
      <c r="J2051" s="2">
        <v>2</v>
      </c>
      <c r="K2051" s="2" t="s">
        <v>1268</v>
      </c>
      <c r="L2051" s="2" t="str">
        <f t="shared" si="192"/>
        <v>Profitable</v>
      </c>
      <c r="M2051" s="2" t="str">
        <f t="shared" si="193"/>
        <v>Stable Earnings</v>
      </c>
      <c r="N2051" s="2" t="str">
        <f t="shared" si="194"/>
        <v>Low Quality</v>
      </c>
      <c r="O2051" s="4" t="str">
        <f t="shared" si="195"/>
        <v>Operational Growth</v>
      </c>
      <c r="P2051" s="4" t="str">
        <f t="shared" si="196"/>
        <v>Low Quality</v>
      </c>
      <c r="Q2051" s="4" t="str">
        <f t="shared" si="197"/>
        <v>Moderate Growth</v>
      </c>
    </row>
    <row r="2052" spans="1:17" x14ac:dyDescent="0.35">
      <c r="A2052" s="2" t="s">
        <v>2063</v>
      </c>
      <c r="B2052" s="2">
        <v>5</v>
      </c>
      <c r="C2052" s="2">
        <v>10276435.82</v>
      </c>
      <c r="D2052" s="2">
        <v>0.8</v>
      </c>
      <c r="E2052" s="2">
        <v>41350046.780000001</v>
      </c>
      <c r="F2052" s="2">
        <v>32979439.800000001</v>
      </c>
      <c r="G2052" s="2">
        <v>2</v>
      </c>
      <c r="H2052" s="2">
        <v>2</v>
      </c>
      <c r="I2052" s="2">
        <v>2</v>
      </c>
      <c r="J2052" s="2">
        <v>2</v>
      </c>
      <c r="K2052" s="2" t="s">
        <v>1268</v>
      </c>
      <c r="L2052" s="2" t="str">
        <f t="shared" si="192"/>
        <v>Profitable</v>
      </c>
      <c r="M2052" s="2" t="str">
        <f t="shared" si="193"/>
        <v>Stable Earnings</v>
      </c>
      <c r="N2052" s="2" t="str">
        <f t="shared" si="194"/>
        <v>Low Quality</v>
      </c>
      <c r="O2052" s="4" t="str">
        <f t="shared" si="195"/>
        <v>Operational Growth</v>
      </c>
      <c r="P2052" s="4" t="str">
        <f t="shared" si="196"/>
        <v>Low Quality</v>
      </c>
      <c r="Q2052" s="4" t="str">
        <f t="shared" si="197"/>
        <v>Moderate Growth</v>
      </c>
    </row>
    <row r="2053" spans="1:17" x14ac:dyDescent="0.35">
      <c r="A2053" s="2" t="s">
        <v>2064</v>
      </c>
      <c r="B2053" s="2">
        <v>5</v>
      </c>
      <c r="C2053" s="2">
        <v>85049422.700000003</v>
      </c>
      <c r="D2053" s="2">
        <v>1</v>
      </c>
      <c r="E2053" s="2">
        <v>25239718.98</v>
      </c>
      <c r="F2053" s="2">
        <v>38311624</v>
      </c>
      <c r="G2053" s="2">
        <v>2</v>
      </c>
      <c r="H2053" s="2">
        <v>2</v>
      </c>
      <c r="I2053" s="2">
        <v>2</v>
      </c>
      <c r="J2053" s="2">
        <v>2</v>
      </c>
      <c r="K2053" s="2" t="s">
        <v>1268</v>
      </c>
      <c r="L2053" s="2" t="str">
        <f t="shared" si="192"/>
        <v>Profitable</v>
      </c>
      <c r="M2053" s="2" t="str">
        <f t="shared" si="193"/>
        <v>Stable Earnings</v>
      </c>
      <c r="N2053" s="2" t="str">
        <f t="shared" si="194"/>
        <v>Low Quality</v>
      </c>
      <c r="O2053" s="4" t="str">
        <f t="shared" si="195"/>
        <v>Operational Growth</v>
      </c>
      <c r="P2053" s="4" t="str">
        <f t="shared" si="196"/>
        <v>Low Quality</v>
      </c>
      <c r="Q2053" s="4" t="str">
        <f t="shared" si="197"/>
        <v>Moderate Growth</v>
      </c>
    </row>
    <row r="2054" spans="1:17" x14ac:dyDescent="0.35">
      <c r="A2054" s="2" t="s">
        <v>2065</v>
      </c>
      <c r="B2054" s="2">
        <v>5</v>
      </c>
      <c r="C2054" s="2">
        <v>84572630.879999995</v>
      </c>
      <c r="D2054" s="2">
        <v>1</v>
      </c>
      <c r="E2054" s="2">
        <v>19714225.449999999</v>
      </c>
      <c r="F2054" s="2">
        <v>26827550.199999999</v>
      </c>
      <c r="G2054" s="2">
        <v>2</v>
      </c>
      <c r="H2054" s="2">
        <v>2</v>
      </c>
      <c r="I2054" s="2">
        <v>2</v>
      </c>
      <c r="J2054" s="2">
        <v>2</v>
      </c>
      <c r="K2054" s="2" t="s">
        <v>1268</v>
      </c>
      <c r="L2054" s="2" t="str">
        <f t="shared" si="192"/>
        <v>Profitable</v>
      </c>
      <c r="M2054" s="2" t="str">
        <f t="shared" si="193"/>
        <v>Stable Earnings</v>
      </c>
      <c r="N2054" s="2" t="str">
        <f t="shared" si="194"/>
        <v>Low Quality</v>
      </c>
      <c r="O2054" s="4" t="str">
        <f t="shared" si="195"/>
        <v>Operational Growth</v>
      </c>
      <c r="P2054" s="4" t="str">
        <f t="shared" si="196"/>
        <v>Low Quality</v>
      </c>
      <c r="Q2054" s="4" t="str">
        <f t="shared" si="197"/>
        <v>Moderate Growth</v>
      </c>
    </row>
    <row r="2055" spans="1:17" x14ac:dyDescent="0.35">
      <c r="A2055" s="2" t="s">
        <v>2066</v>
      </c>
      <c r="B2055" s="2">
        <v>5</v>
      </c>
      <c r="C2055" s="2">
        <v>27594764.780000001</v>
      </c>
      <c r="D2055" s="2">
        <v>1</v>
      </c>
      <c r="E2055" s="2">
        <v>16036578.529999999</v>
      </c>
      <c r="F2055" s="2">
        <v>27549973.199999999</v>
      </c>
      <c r="G2055" s="2">
        <v>2</v>
      </c>
      <c r="H2055" s="2">
        <v>2</v>
      </c>
      <c r="I2055" s="2">
        <v>2</v>
      </c>
      <c r="J2055" s="2">
        <v>2</v>
      </c>
      <c r="K2055" s="2" t="s">
        <v>1268</v>
      </c>
      <c r="L2055" s="2" t="str">
        <f t="shared" si="192"/>
        <v>Profitable</v>
      </c>
      <c r="M2055" s="2" t="str">
        <f t="shared" si="193"/>
        <v>Stable Earnings</v>
      </c>
      <c r="N2055" s="2" t="str">
        <f t="shared" si="194"/>
        <v>Low Quality</v>
      </c>
      <c r="O2055" s="4" t="str">
        <f t="shared" si="195"/>
        <v>Operational Growth</v>
      </c>
      <c r="P2055" s="4" t="str">
        <f t="shared" si="196"/>
        <v>Low Quality</v>
      </c>
      <c r="Q2055" s="4" t="str">
        <f t="shared" si="197"/>
        <v>Moderate Growth</v>
      </c>
    </row>
    <row r="2056" spans="1:17" x14ac:dyDescent="0.35">
      <c r="A2056" s="2" t="s">
        <v>2067</v>
      </c>
      <c r="B2056" s="2">
        <v>5</v>
      </c>
      <c r="C2056" s="2">
        <v>552675762.60000002</v>
      </c>
      <c r="D2056" s="2">
        <v>1</v>
      </c>
      <c r="E2056" s="2">
        <v>89238152.159999996</v>
      </c>
      <c r="F2056" s="2">
        <v>25685878.600000001</v>
      </c>
      <c r="G2056" s="2">
        <v>1</v>
      </c>
      <c r="H2056" s="2">
        <v>3</v>
      </c>
      <c r="I2056" s="2">
        <v>3</v>
      </c>
      <c r="J2056" s="2">
        <v>2</v>
      </c>
      <c r="K2056" s="2" t="s">
        <v>1268</v>
      </c>
      <c r="L2056" s="2" t="str">
        <f t="shared" si="192"/>
        <v>Profitable</v>
      </c>
      <c r="M2056" s="2" t="str">
        <f t="shared" si="193"/>
        <v>High Volatility</v>
      </c>
      <c r="N2056" s="2" t="str">
        <f t="shared" si="194"/>
        <v>Low Quality</v>
      </c>
      <c r="O2056" s="4" t="str">
        <f t="shared" si="195"/>
        <v>Operational Growth</v>
      </c>
      <c r="P2056" s="4" t="str">
        <f t="shared" si="196"/>
        <v>Low Quality</v>
      </c>
      <c r="Q2056" s="4" t="str">
        <f t="shared" si="197"/>
        <v>Moderate Growth</v>
      </c>
    </row>
    <row r="2057" spans="1:17" x14ac:dyDescent="0.35">
      <c r="A2057" s="2" t="s">
        <v>2068</v>
      </c>
      <c r="B2057" s="2">
        <v>5</v>
      </c>
      <c r="C2057" s="2">
        <v>74598578.859999999</v>
      </c>
      <c r="D2057" s="2">
        <v>1</v>
      </c>
      <c r="E2057" s="2">
        <v>66628525.780000001</v>
      </c>
      <c r="F2057" s="2">
        <v>26078243.899999999</v>
      </c>
      <c r="G2057" s="2">
        <v>1</v>
      </c>
      <c r="H2057" s="2">
        <v>3</v>
      </c>
      <c r="I2057" s="2">
        <v>3</v>
      </c>
      <c r="J2057" s="2">
        <v>2</v>
      </c>
      <c r="K2057" s="2" t="s">
        <v>1268</v>
      </c>
      <c r="L2057" s="2" t="str">
        <f t="shared" si="192"/>
        <v>Profitable</v>
      </c>
      <c r="M2057" s="2" t="str">
        <f t="shared" si="193"/>
        <v>Stable Earnings</v>
      </c>
      <c r="N2057" s="2" t="str">
        <f t="shared" si="194"/>
        <v>Low Quality</v>
      </c>
      <c r="O2057" s="4" t="str">
        <f t="shared" si="195"/>
        <v>Operational Growth</v>
      </c>
      <c r="P2057" s="4" t="str">
        <f t="shared" si="196"/>
        <v>Low Quality</v>
      </c>
      <c r="Q2057" s="4" t="str">
        <f t="shared" si="197"/>
        <v>Moderate Growth</v>
      </c>
    </row>
    <row r="2058" spans="1:17" x14ac:dyDescent="0.35">
      <c r="A2058" s="2" t="s">
        <v>2069</v>
      </c>
      <c r="B2058" s="2">
        <v>5</v>
      </c>
      <c r="C2058" s="2">
        <v>281222414.5</v>
      </c>
      <c r="D2058" s="2">
        <v>1</v>
      </c>
      <c r="E2058" s="2">
        <v>100467039.90000001</v>
      </c>
      <c r="F2058" s="2">
        <v>20399489.800000001</v>
      </c>
      <c r="G2058" s="2">
        <v>1</v>
      </c>
      <c r="H2058" s="2">
        <v>3</v>
      </c>
      <c r="I2058" s="2">
        <v>3</v>
      </c>
      <c r="J2058" s="2">
        <v>2</v>
      </c>
      <c r="K2058" s="2" t="s">
        <v>1268</v>
      </c>
      <c r="L2058" s="2" t="str">
        <f t="shared" si="192"/>
        <v>Profitable</v>
      </c>
      <c r="M2058" s="2" t="str">
        <f t="shared" si="193"/>
        <v>Stable Earnings</v>
      </c>
      <c r="N2058" s="2" t="str">
        <f t="shared" si="194"/>
        <v>Low Quality</v>
      </c>
      <c r="O2058" s="4" t="str">
        <f t="shared" si="195"/>
        <v>Operational Growth</v>
      </c>
      <c r="P2058" s="4" t="str">
        <f t="shared" si="196"/>
        <v>Low Quality</v>
      </c>
      <c r="Q2058" s="4" t="str">
        <f t="shared" si="197"/>
        <v>Moderate Growth</v>
      </c>
    </row>
    <row r="2059" spans="1:17" x14ac:dyDescent="0.35">
      <c r="A2059" s="2" t="s">
        <v>2070</v>
      </c>
      <c r="B2059" s="2">
        <v>5</v>
      </c>
      <c r="C2059" s="2">
        <v>120581667.8</v>
      </c>
      <c r="D2059" s="2">
        <v>1</v>
      </c>
      <c r="E2059" s="2">
        <v>59175651.200000003</v>
      </c>
      <c r="F2059" s="2">
        <v>18030887</v>
      </c>
      <c r="G2059" s="2">
        <v>1</v>
      </c>
      <c r="H2059" s="2">
        <v>3</v>
      </c>
      <c r="I2059" s="2">
        <v>3</v>
      </c>
      <c r="J2059" s="2">
        <v>2</v>
      </c>
      <c r="K2059" s="2" t="s">
        <v>1268</v>
      </c>
      <c r="L2059" s="2" t="str">
        <f t="shared" si="192"/>
        <v>Profitable</v>
      </c>
      <c r="M2059" s="2" t="str">
        <f t="shared" si="193"/>
        <v>Stable Earnings</v>
      </c>
      <c r="N2059" s="2" t="str">
        <f t="shared" si="194"/>
        <v>Low Quality</v>
      </c>
      <c r="O2059" s="4" t="str">
        <f t="shared" si="195"/>
        <v>Operational Growth</v>
      </c>
      <c r="P2059" s="4" t="str">
        <f t="shared" si="196"/>
        <v>Low Quality</v>
      </c>
      <c r="Q2059" s="4" t="str">
        <f t="shared" si="197"/>
        <v>Moderate Growth</v>
      </c>
    </row>
    <row r="2060" spans="1:17" x14ac:dyDescent="0.35">
      <c r="A2060" s="2" t="s">
        <v>2071</v>
      </c>
      <c r="B2060" s="2">
        <v>5</v>
      </c>
      <c r="C2060" s="2">
        <v>297884667.5</v>
      </c>
      <c r="D2060" s="2">
        <v>1</v>
      </c>
      <c r="E2060" s="2">
        <v>98957263.629999995</v>
      </c>
      <c r="F2060" s="2">
        <v>17882066.899999999</v>
      </c>
      <c r="G2060" s="2">
        <v>1</v>
      </c>
      <c r="H2060" s="2">
        <v>3</v>
      </c>
      <c r="I2060" s="2">
        <v>3</v>
      </c>
      <c r="J2060" s="2">
        <v>2</v>
      </c>
      <c r="K2060" s="2" t="s">
        <v>1268</v>
      </c>
      <c r="L2060" s="2" t="str">
        <f t="shared" si="192"/>
        <v>Profitable</v>
      </c>
      <c r="M2060" s="2" t="str">
        <f t="shared" si="193"/>
        <v>Stable Earnings</v>
      </c>
      <c r="N2060" s="2" t="str">
        <f t="shared" si="194"/>
        <v>Low Quality</v>
      </c>
      <c r="O2060" s="4" t="str">
        <f t="shared" si="195"/>
        <v>Operational Growth</v>
      </c>
      <c r="P2060" s="4" t="str">
        <f t="shared" si="196"/>
        <v>Low Quality</v>
      </c>
      <c r="Q2060" s="4" t="str">
        <f t="shared" si="197"/>
        <v>Moderate Growth</v>
      </c>
    </row>
    <row r="2061" spans="1:17" x14ac:dyDescent="0.35">
      <c r="A2061" s="2" t="s">
        <v>2072</v>
      </c>
      <c r="B2061" s="2">
        <v>5</v>
      </c>
      <c r="C2061" s="2">
        <v>220911734.40000001</v>
      </c>
      <c r="D2061" s="2">
        <v>1</v>
      </c>
      <c r="E2061" s="2">
        <v>63113581.079999998</v>
      </c>
      <c r="F2061" s="2">
        <v>16887263.800000001</v>
      </c>
      <c r="G2061" s="2">
        <v>1</v>
      </c>
      <c r="H2061" s="2">
        <v>3</v>
      </c>
      <c r="I2061" s="2">
        <v>3</v>
      </c>
      <c r="J2061" s="2">
        <v>2</v>
      </c>
      <c r="K2061" s="2" t="s">
        <v>1268</v>
      </c>
      <c r="L2061" s="2" t="str">
        <f t="shared" si="192"/>
        <v>Profitable</v>
      </c>
      <c r="M2061" s="2" t="str">
        <f t="shared" si="193"/>
        <v>Stable Earnings</v>
      </c>
      <c r="N2061" s="2" t="str">
        <f t="shared" si="194"/>
        <v>Low Quality</v>
      </c>
      <c r="O2061" s="4" t="str">
        <f t="shared" si="195"/>
        <v>Operational Growth</v>
      </c>
      <c r="P2061" s="4" t="str">
        <f t="shared" si="196"/>
        <v>Low Quality</v>
      </c>
      <c r="Q2061" s="4" t="str">
        <f t="shared" si="197"/>
        <v>Moderate Growth</v>
      </c>
    </row>
    <row r="2062" spans="1:17" x14ac:dyDescent="0.35">
      <c r="A2062" s="2" t="s">
        <v>2073</v>
      </c>
      <c r="B2062" s="2">
        <v>5</v>
      </c>
      <c r="C2062" s="2">
        <v>91595612</v>
      </c>
      <c r="D2062" s="2">
        <v>1</v>
      </c>
      <c r="E2062" s="2">
        <v>61348811.450000003</v>
      </c>
      <c r="F2062" s="2">
        <v>13076653.4</v>
      </c>
      <c r="G2062" s="2">
        <v>1</v>
      </c>
      <c r="H2062" s="2">
        <v>3</v>
      </c>
      <c r="I2062" s="2">
        <v>3</v>
      </c>
      <c r="J2062" s="2">
        <v>2</v>
      </c>
      <c r="K2062" s="2" t="s">
        <v>1268</v>
      </c>
      <c r="L2062" s="2" t="str">
        <f t="shared" si="192"/>
        <v>Profitable</v>
      </c>
      <c r="M2062" s="2" t="str">
        <f t="shared" si="193"/>
        <v>Stable Earnings</v>
      </c>
      <c r="N2062" s="2" t="str">
        <f t="shared" si="194"/>
        <v>Low Quality</v>
      </c>
      <c r="O2062" s="4" t="str">
        <f t="shared" si="195"/>
        <v>Operational Growth</v>
      </c>
      <c r="P2062" s="4" t="str">
        <f t="shared" si="196"/>
        <v>Low Quality</v>
      </c>
      <c r="Q2062" s="4" t="str">
        <f t="shared" si="197"/>
        <v>Moderate Growth</v>
      </c>
    </row>
    <row r="2063" spans="1:17" x14ac:dyDescent="0.35">
      <c r="A2063" s="2" t="s">
        <v>2074</v>
      </c>
      <c r="B2063" s="2">
        <v>5</v>
      </c>
      <c r="C2063" s="2">
        <v>189400621.09999999</v>
      </c>
      <c r="D2063" s="2">
        <v>1</v>
      </c>
      <c r="E2063" s="2">
        <v>47398867.75</v>
      </c>
      <c r="F2063" s="2">
        <v>12439212.1</v>
      </c>
      <c r="G2063" s="2">
        <v>1</v>
      </c>
      <c r="H2063" s="2">
        <v>3</v>
      </c>
      <c r="I2063" s="2">
        <v>3</v>
      </c>
      <c r="J2063" s="2">
        <v>2</v>
      </c>
      <c r="K2063" s="2" t="s">
        <v>1268</v>
      </c>
      <c r="L2063" s="2" t="str">
        <f t="shared" si="192"/>
        <v>Profitable</v>
      </c>
      <c r="M2063" s="2" t="str">
        <f t="shared" si="193"/>
        <v>Stable Earnings</v>
      </c>
      <c r="N2063" s="2" t="str">
        <f t="shared" si="194"/>
        <v>Low Quality</v>
      </c>
      <c r="O2063" s="4" t="str">
        <f t="shared" si="195"/>
        <v>Operational Growth</v>
      </c>
      <c r="P2063" s="4" t="str">
        <f t="shared" si="196"/>
        <v>Low Quality</v>
      </c>
      <c r="Q2063" s="4" t="str">
        <f t="shared" si="197"/>
        <v>Moderate Growth</v>
      </c>
    </row>
    <row r="2064" spans="1:17" x14ac:dyDescent="0.35">
      <c r="A2064" s="2" t="s">
        <v>2075</v>
      </c>
      <c r="B2064" s="2">
        <v>5</v>
      </c>
      <c r="C2064" s="2">
        <v>327381050.19999999</v>
      </c>
      <c r="D2064" s="2">
        <v>1</v>
      </c>
      <c r="E2064" s="2">
        <v>51915186.939999998</v>
      </c>
      <c r="F2064" s="2">
        <v>-795495.9</v>
      </c>
      <c r="G2064" s="2">
        <v>1</v>
      </c>
      <c r="H2064" s="2">
        <v>3</v>
      </c>
      <c r="I2064" s="2">
        <v>3</v>
      </c>
      <c r="J2064" s="2">
        <v>2</v>
      </c>
      <c r="K2064" s="2" t="s">
        <v>1268</v>
      </c>
      <c r="L2064" s="2" t="str">
        <f t="shared" si="192"/>
        <v>Profitable</v>
      </c>
      <c r="M2064" s="2" t="str">
        <f t="shared" si="193"/>
        <v>Stable Earnings</v>
      </c>
      <c r="N2064" s="2" t="str">
        <f t="shared" si="194"/>
        <v>Low Quality</v>
      </c>
      <c r="O2064" s="4" t="str">
        <f t="shared" si="195"/>
        <v>Accounting Risk</v>
      </c>
      <c r="P2064" s="4" t="str">
        <f t="shared" si="196"/>
        <v>Low Quality</v>
      </c>
      <c r="Q2064" s="4" t="str">
        <f t="shared" si="197"/>
        <v>Moderate Growth</v>
      </c>
    </row>
    <row r="2065" spans="1:17" x14ac:dyDescent="0.35">
      <c r="A2065" s="2" t="s">
        <v>2076</v>
      </c>
      <c r="B2065" s="2">
        <v>5</v>
      </c>
      <c r="C2065" s="2">
        <v>86619199.400000006</v>
      </c>
      <c r="D2065" s="2">
        <v>1</v>
      </c>
      <c r="E2065" s="2">
        <v>50210135.420000002</v>
      </c>
      <c r="F2065" s="2">
        <v>4537549.7</v>
      </c>
      <c r="G2065" s="2">
        <v>1</v>
      </c>
      <c r="H2065" s="2">
        <v>3</v>
      </c>
      <c r="I2065" s="2">
        <v>3</v>
      </c>
      <c r="J2065" s="2">
        <v>2</v>
      </c>
      <c r="K2065" s="2" t="s">
        <v>1268</v>
      </c>
      <c r="L2065" s="2" t="str">
        <f t="shared" si="192"/>
        <v>Profitable</v>
      </c>
      <c r="M2065" s="2" t="str">
        <f t="shared" si="193"/>
        <v>Stable Earnings</v>
      </c>
      <c r="N2065" s="2" t="str">
        <f t="shared" si="194"/>
        <v>Low Quality</v>
      </c>
      <c r="O2065" s="4" t="str">
        <f t="shared" si="195"/>
        <v>Operational Growth</v>
      </c>
      <c r="P2065" s="4" t="str">
        <f t="shared" si="196"/>
        <v>Low Quality</v>
      </c>
      <c r="Q2065" s="4" t="str">
        <f t="shared" si="197"/>
        <v>Moderate Growth</v>
      </c>
    </row>
    <row r="2066" spans="1:17" x14ac:dyDescent="0.35">
      <c r="A2066" s="2" t="s">
        <v>2077</v>
      </c>
      <c r="B2066" s="2">
        <v>5</v>
      </c>
      <c r="C2066" s="2">
        <v>9128615.7400000002</v>
      </c>
      <c r="D2066" s="2">
        <v>1</v>
      </c>
      <c r="E2066" s="2">
        <v>3320012.6379999998</v>
      </c>
      <c r="F2066" s="2">
        <v>4730030.7</v>
      </c>
      <c r="G2066" s="2">
        <v>2</v>
      </c>
      <c r="H2066" s="2">
        <v>1</v>
      </c>
      <c r="I2066" s="2">
        <v>3</v>
      </c>
      <c r="J2066" s="2">
        <v>1.9</v>
      </c>
      <c r="K2066" s="2" t="s">
        <v>1268</v>
      </c>
      <c r="L2066" s="2" t="str">
        <f t="shared" si="192"/>
        <v>Profitable</v>
      </c>
      <c r="M2066" s="2" t="str">
        <f t="shared" si="193"/>
        <v>Stable Earnings</v>
      </c>
      <c r="N2066" s="2" t="str">
        <f t="shared" si="194"/>
        <v>Low Quality</v>
      </c>
      <c r="O2066" s="4" t="str">
        <f t="shared" si="195"/>
        <v>Operational Growth</v>
      </c>
      <c r="P2066" s="4" t="str">
        <f t="shared" si="196"/>
        <v>Low Quality</v>
      </c>
      <c r="Q2066" s="4" t="str">
        <f t="shared" si="197"/>
        <v>Moderate Growth</v>
      </c>
    </row>
    <row r="2067" spans="1:17" x14ac:dyDescent="0.35">
      <c r="A2067" s="2" t="s">
        <v>2078</v>
      </c>
      <c r="B2067" s="2">
        <v>5</v>
      </c>
      <c r="C2067" s="2">
        <v>22603392.579999998</v>
      </c>
      <c r="D2067" s="2">
        <v>1</v>
      </c>
      <c r="E2067" s="2">
        <v>12116429.550000001</v>
      </c>
      <c r="F2067" s="2">
        <v>5258460.4000000004</v>
      </c>
      <c r="G2067" s="2">
        <v>2</v>
      </c>
      <c r="H2067" s="2">
        <v>1</v>
      </c>
      <c r="I2067" s="2">
        <v>3</v>
      </c>
      <c r="J2067" s="2">
        <v>1.9</v>
      </c>
      <c r="K2067" s="2" t="s">
        <v>1268</v>
      </c>
      <c r="L2067" s="2" t="str">
        <f t="shared" si="192"/>
        <v>Profitable</v>
      </c>
      <c r="M2067" s="2" t="str">
        <f t="shared" si="193"/>
        <v>Stable Earnings</v>
      </c>
      <c r="N2067" s="2" t="str">
        <f t="shared" si="194"/>
        <v>Low Quality</v>
      </c>
      <c r="O2067" s="4" t="str">
        <f t="shared" si="195"/>
        <v>Operational Growth</v>
      </c>
      <c r="P2067" s="4" t="str">
        <f t="shared" si="196"/>
        <v>Low Quality</v>
      </c>
      <c r="Q2067" s="4" t="str">
        <f t="shared" si="197"/>
        <v>Moderate Growth</v>
      </c>
    </row>
    <row r="2068" spans="1:17" x14ac:dyDescent="0.35">
      <c r="A2068" s="2" t="s">
        <v>2079</v>
      </c>
      <c r="B2068" s="2">
        <v>5</v>
      </c>
      <c r="C2068" s="2">
        <v>22556369.48</v>
      </c>
      <c r="D2068" s="2">
        <v>1</v>
      </c>
      <c r="E2068" s="2">
        <v>8963025.2640000004</v>
      </c>
      <c r="F2068" s="2">
        <v>5161923.4000000004</v>
      </c>
      <c r="G2068" s="2">
        <v>2</v>
      </c>
      <c r="H2068" s="2">
        <v>1</v>
      </c>
      <c r="I2068" s="2">
        <v>3</v>
      </c>
      <c r="J2068" s="2">
        <v>1.9</v>
      </c>
      <c r="K2068" s="2" t="s">
        <v>1268</v>
      </c>
      <c r="L2068" s="2" t="str">
        <f t="shared" si="192"/>
        <v>Profitable</v>
      </c>
      <c r="M2068" s="2" t="str">
        <f t="shared" si="193"/>
        <v>Stable Earnings</v>
      </c>
      <c r="N2068" s="2" t="str">
        <f t="shared" si="194"/>
        <v>Low Quality</v>
      </c>
      <c r="O2068" s="4" t="str">
        <f t="shared" si="195"/>
        <v>Operational Growth</v>
      </c>
      <c r="P2068" s="4" t="str">
        <f t="shared" si="196"/>
        <v>Low Quality</v>
      </c>
      <c r="Q2068" s="4" t="str">
        <f t="shared" si="197"/>
        <v>Moderate Growth</v>
      </c>
    </row>
    <row r="2069" spans="1:17" x14ac:dyDescent="0.35">
      <c r="A2069" s="2" t="s">
        <v>2080</v>
      </c>
      <c r="B2069" s="2">
        <v>5</v>
      </c>
      <c r="C2069" s="2">
        <v>33983291.200000003</v>
      </c>
      <c r="D2069" s="2">
        <v>1</v>
      </c>
      <c r="E2069" s="2">
        <v>12420415.380000001</v>
      </c>
      <c r="F2069" s="2">
        <v>5118351.3</v>
      </c>
      <c r="G2069" s="2">
        <v>2</v>
      </c>
      <c r="H2069" s="2">
        <v>1</v>
      </c>
      <c r="I2069" s="2">
        <v>3</v>
      </c>
      <c r="J2069" s="2">
        <v>1.9</v>
      </c>
      <c r="K2069" s="2" t="s">
        <v>1268</v>
      </c>
      <c r="L2069" s="2" t="str">
        <f t="shared" si="192"/>
        <v>Profitable</v>
      </c>
      <c r="M2069" s="2" t="str">
        <f t="shared" si="193"/>
        <v>Stable Earnings</v>
      </c>
      <c r="N2069" s="2" t="str">
        <f t="shared" si="194"/>
        <v>Low Quality</v>
      </c>
      <c r="O2069" s="4" t="str">
        <f t="shared" si="195"/>
        <v>Operational Growth</v>
      </c>
      <c r="P2069" s="4" t="str">
        <f t="shared" si="196"/>
        <v>Low Quality</v>
      </c>
      <c r="Q2069" s="4" t="str">
        <f t="shared" si="197"/>
        <v>Moderate Growth</v>
      </c>
    </row>
    <row r="2070" spans="1:17" x14ac:dyDescent="0.35">
      <c r="A2070" s="2" t="s">
        <v>2081</v>
      </c>
      <c r="B2070" s="2">
        <v>5</v>
      </c>
      <c r="C2070" s="2">
        <v>3057818.68</v>
      </c>
      <c r="D2070" s="2">
        <v>1</v>
      </c>
      <c r="E2070" s="2">
        <v>2067076.3670000001</v>
      </c>
      <c r="F2070" s="2">
        <v>3929930.8</v>
      </c>
      <c r="G2070" s="2">
        <v>2</v>
      </c>
      <c r="H2070" s="2">
        <v>1</v>
      </c>
      <c r="I2070" s="2">
        <v>3</v>
      </c>
      <c r="J2070" s="2">
        <v>1.9</v>
      </c>
      <c r="K2070" s="2" t="s">
        <v>1268</v>
      </c>
      <c r="L2070" s="2" t="str">
        <f t="shared" si="192"/>
        <v>Profitable</v>
      </c>
      <c r="M2070" s="2" t="str">
        <f t="shared" si="193"/>
        <v>Stable Earnings</v>
      </c>
      <c r="N2070" s="2" t="str">
        <f t="shared" si="194"/>
        <v>Low Quality</v>
      </c>
      <c r="O2070" s="4" t="str">
        <f t="shared" si="195"/>
        <v>Operational Growth</v>
      </c>
      <c r="P2070" s="4" t="str">
        <f t="shared" si="196"/>
        <v>Low Quality</v>
      </c>
      <c r="Q2070" s="4" t="str">
        <f t="shared" si="197"/>
        <v>Moderate Growth</v>
      </c>
    </row>
    <row r="2071" spans="1:17" x14ac:dyDescent="0.35">
      <c r="A2071" s="2" t="s">
        <v>2082</v>
      </c>
      <c r="B2071" s="2">
        <v>5</v>
      </c>
      <c r="C2071" s="2">
        <v>16221352.68</v>
      </c>
      <c r="D2071" s="2">
        <v>1</v>
      </c>
      <c r="E2071" s="2">
        <v>2432430.1690000002</v>
      </c>
      <c r="F2071" s="2">
        <v>4165030.1</v>
      </c>
      <c r="G2071" s="2">
        <v>2</v>
      </c>
      <c r="H2071" s="2">
        <v>1</v>
      </c>
      <c r="I2071" s="2">
        <v>3</v>
      </c>
      <c r="J2071" s="2">
        <v>1.9</v>
      </c>
      <c r="K2071" s="2" t="s">
        <v>1268</v>
      </c>
      <c r="L2071" s="2" t="str">
        <f t="shared" si="192"/>
        <v>Profitable</v>
      </c>
      <c r="M2071" s="2" t="str">
        <f t="shared" si="193"/>
        <v>Stable Earnings</v>
      </c>
      <c r="N2071" s="2" t="str">
        <f t="shared" si="194"/>
        <v>Low Quality</v>
      </c>
      <c r="O2071" s="4" t="str">
        <f t="shared" si="195"/>
        <v>Operational Growth</v>
      </c>
      <c r="P2071" s="4" t="str">
        <f t="shared" si="196"/>
        <v>Low Quality</v>
      </c>
      <c r="Q2071" s="4" t="str">
        <f t="shared" si="197"/>
        <v>Moderate Growth</v>
      </c>
    </row>
    <row r="2072" spans="1:17" x14ac:dyDescent="0.35">
      <c r="A2072" s="2" t="s">
        <v>2083</v>
      </c>
      <c r="B2072" s="2">
        <v>5</v>
      </c>
      <c r="C2072" s="2">
        <v>3541107.02</v>
      </c>
      <c r="D2072" s="2">
        <v>0.8</v>
      </c>
      <c r="E2072" s="2">
        <v>6883419.9270000001</v>
      </c>
      <c r="F2072" s="2">
        <v>6746061.0999999996</v>
      </c>
      <c r="G2072" s="2">
        <v>2</v>
      </c>
      <c r="H2072" s="2">
        <v>1</v>
      </c>
      <c r="I2072" s="2">
        <v>3</v>
      </c>
      <c r="J2072" s="2">
        <v>1.9</v>
      </c>
      <c r="K2072" s="2" t="s">
        <v>1268</v>
      </c>
      <c r="L2072" s="2" t="str">
        <f t="shared" si="192"/>
        <v>Profitable</v>
      </c>
      <c r="M2072" s="2" t="str">
        <f t="shared" si="193"/>
        <v>Stable Earnings</v>
      </c>
      <c r="N2072" s="2" t="str">
        <f t="shared" si="194"/>
        <v>Low Quality</v>
      </c>
      <c r="O2072" s="4" t="str">
        <f t="shared" si="195"/>
        <v>Operational Growth</v>
      </c>
      <c r="P2072" s="4" t="str">
        <f t="shared" si="196"/>
        <v>Low Quality</v>
      </c>
      <c r="Q2072" s="4" t="str">
        <f t="shared" si="197"/>
        <v>Moderate Growth</v>
      </c>
    </row>
    <row r="2073" spans="1:17" x14ac:dyDescent="0.35">
      <c r="A2073" s="2" t="s">
        <v>2084</v>
      </c>
      <c r="B2073" s="2">
        <v>5</v>
      </c>
      <c r="C2073" s="2">
        <v>12296048.800000001</v>
      </c>
      <c r="D2073" s="2">
        <v>1</v>
      </c>
      <c r="E2073" s="2">
        <v>9313219.2420000006</v>
      </c>
      <c r="F2073" s="2">
        <v>6624960</v>
      </c>
      <c r="G2073" s="2">
        <v>2</v>
      </c>
      <c r="H2073" s="2">
        <v>1</v>
      </c>
      <c r="I2073" s="2">
        <v>3</v>
      </c>
      <c r="J2073" s="2">
        <v>1.9</v>
      </c>
      <c r="K2073" s="2" t="s">
        <v>1268</v>
      </c>
      <c r="L2073" s="2" t="str">
        <f t="shared" si="192"/>
        <v>Profitable</v>
      </c>
      <c r="M2073" s="2" t="str">
        <f t="shared" si="193"/>
        <v>Stable Earnings</v>
      </c>
      <c r="N2073" s="2" t="str">
        <f t="shared" si="194"/>
        <v>Low Quality</v>
      </c>
      <c r="O2073" s="4" t="str">
        <f t="shared" si="195"/>
        <v>Operational Growth</v>
      </c>
      <c r="P2073" s="4" t="str">
        <f t="shared" si="196"/>
        <v>Low Quality</v>
      </c>
      <c r="Q2073" s="4" t="str">
        <f t="shared" si="197"/>
        <v>Moderate Growth</v>
      </c>
    </row>
    <row r="2074" spans="1:17" x14ac:dyDescent="0.35">
      <c r="A2074" s="2" t="s">
        <v>2085</v>
      </c>
      <c r="B2074" s="2">
        <v>5</v>
      </c>
      <c r="C2074" s="2">
        <v>3839532.56</v>
      </c>
      <c r="D2074" s="2">
        <v>1</v>
      </c>
      <c r="E2074" s="2">
        <v>3674081.9670000002</v>
      </c>
      <c r="F2074" s="2">
        <v>6919897.4000000004</v>
      </c>
      <c r="G2074" s="2">
        <v>2</v>
      </c>
      <c r="H2074" s="2">
        <v>1</v>
      </c>
      <c r="I2074" s="2">
        <v>3</v>
      </c>
      <c r="J2074" s="2">
        <v>1.9</v>
      </c>
      <c r="K2074" s="2" t="s">
        <v>1268</v>
      </c>
      <c r="L2074" s="2" t="str">
        <f t="shared" si="192"/>
        <v>Profitable</v>
      </c>
      <c r="M2074" s="2" t="str">
        <f t="shared" si="193"/>
        <v>Stable Earnings</v>
      </c>
      <c r="N2074" s="2" t="str">
        <f t="shared" si="194"/>
        <v>Low Quality</v>
      </c>
      <c r="O2074" s="4" t="str">
        <f t="shared" si="195"/>
        <v>Operational Growth</v>
      </c>
      <c r="P2074" s="4" t="str">
        <f t="shared" si="196"/>
        <v>Low Quality</v>
      </c>
      <c r="Q2074" s="4" t="str">
        <f t="shared" si="197"/>
        <v>Moderate Growth</v>
      </c>
    </row>
    <row r="2075" spans="1:17" x14ac:dyDescent="0.35">
      <c r="A2075" s="2" t="s">
        <v>2086</v>
      </c>
      <c r="B2075" s="2">
        <v>5</v>
      </c>
      <c r="C2075" s="2">
        <v>22028904.300000001</v>
      </c>
      <c r="D2075" s="2">
        <v>1</v>
      </c>
      <c r="E2075" s="2">
        <v>13395492.470000001</v>
      </c>
      <c r="F2075" s="2">
        <v>6844764.5</v>
      </c>
      <c r="G2075" s="2">
        <v>2</v>
      </c>
      <c r="H2075" s="2">
        <v>1</v>
      </c>
      <c r="I2075" s="2">
        <v>3</v>
      </c>
      <c r="J2075" s="2">
        <v>1.9</v>
      </c>
      <c r="K2075" s="2" t="s">
        <v>1268</v>
      </c>
      <c r="L2075" s="2" t="str">
        <f t="shared" si="192"/>
        <v>Profitable</v>
      </c>
      <c r="M2075" s="2" t="str">
        <f t="shared" si="193"/>
        <v>Stable Earnings</v>
      </c>
      <c r="N2075" s="2" t="str">
        <f t="shared" si="194"/>
        <v>Low Quality</v>
      </c>
      <c r="O2075" s="4" t="str">
        <f t="shared" si="195"/>
        <v>Operational Growth</v>
      </c>
      <c r="P2075" s="4" t="str">
        <f t="shared" si="196"/>
        <v>Low Quality</v>
      </c>
      <c r="Q2075" s="4" t="str">
        <f t="shared" si="197"/>
        <v>Moderate Growth</v>
      </c>
    </row>
    <row r="2076" spans="1:17" x14ac:dyDescent="0.35">
      <c r="A2076" s="2" t="s">
        <v>2087</v>
      </c>
      <c r="B2076" s="2">
        <v>5</v>
      </c>
      <c r="C2076" s="2">
        <v>18251614.039999999</v>
      </c>
      <c r="D2076" s="2">
        <v>1</v>
      </c>
      <c r="E2076" s="2">
        <v>5202382.8849999998</v>
      </c>
      <c r="F2076" s="2">
        <v>5575798.7000000002</v>
      </c>
      <c r="G2076" s="2">
        <v>2</v>
      </c>
      <c r="H2076" s="2">
        <v>1</v>
      </c>
      <c r="I2076" s="2">
        <v>3</v>
      </c>
      <c r="J2076" s="2">
        <v>1.9</v>
      </c>
      <c r="K2076" s="2" t="s">
        <v>1268</v>
      </c>
      <c r="L2076" s="2" t="str">
        <f t="shared" si="192"/>
        <v>Profitable</v>
      </c>
      <c r="M2076" s="2" t="str">
        <f t="shared" si="193"/>
        <v>Stable Earnings</v>
      </c>
      <c r="N2076" s="2" t="str">
        <f t="shared" si="194"/>
        <v>Low Quality</v>
      </c>
      <c r="O2076" s="4" t="str">
        <f t="shared" si="195"/>
        <v>Operational Growth</v>
      </c>
      <c r="P2076" s="4" t="str">
        <f t="shared" si="196"/>
        <v>Low Quality</v>
      </c>
      <c r="Q2076" s="4" t="str">
        <f t="shared" si="197"/>
        <v>Moderate Growth</v>
      </c>
    </row>
    <row r="2077" spans="1:17" x14ac:dyDescent="0.35">
      <c r="A2077" s="2" t="s">
        <v>2088</v>
      </c>
      <c r="B2077" s="2">
        <v>5</v>
      </c>
      <c r="C2077" s="2">
        <v>-550587.84</v>
      </c>
      <c r="D2077" s="2">
        <v>0.8</v>
      </c>
      <c r="E2077" s="2">
        <v>2815807.358</v>
      </c>
      <c r="F2077" s="2">
        <v>6130135.2000000002</v>
      </c>
      <c r="G2077" s="2">
        <v>2</v>
      </c>
      <c r="H2077" s="2">
        <v>1</v>
      </c>
      <c r="I2077" s="2">
        <v>3</v>
      </c>
      <c r="J2077" s="2">
        <v>1.9</v>
      </c>
      <c r="K2077" s="2" t="s">
        <v>1268</v>
      </c>
      <c r="L2077" s="2" t="str">
        <f t="shared" si="192"/>
        <v>Loss Making</v>
      </c>
      <c r="M2077" s="2" t="str">
        <f t="shared" si="193"/>
        <v>Stable Earnings</v>
      </c>
      <c r="N2077" s="2" t="str">
        <f t="shared" si="194"/>
        <v>Low Quality</v>
      </c>
      <c r="O2077" s="4" t="str">
        <f t="shared" si="195"/>
        <v>Operational Growth</v>
      </c>
      <c r="P2077" s="4" t="str">
        <f t="shared" si="196"/>
        <v>Low Quality</v>
      </c>
      <c r="Q2077" s="4" t="str">
        <f t="shared" si="197"/>
        <v>Moderate Growth</v>
      </c>
    </row>
    <row r="2078" spans="1:17" x14ac:dyDescent="0.35">
      <c r="A2078" s="2" t="s">
        <v>2089</v>
      </c>
      <c r="B2078" s="2">
        <v>5</v>
      </c>
      <c r="C2078" s="2">
        <v>1248638.8400000001</v>
      </c>
      <c r="D2078" s="2">
        <v>1</v>
      </c>
      <c r="E2078" s="2">
        <v>666801.10270000005</v>
      </c>
      <c r="F2078" s="2">
        <v>911652.7</v>
      </c>
      <c r="G2078" s="2">
        <v>2</v>
      </c>
      <c r="H2078" s="2">
        <v>1</v>
      </c>
      <c r="I2078" s="2">
        <v>3</v>
      </c>
      <c r="J2078" s="2">
        <v>1.9</v>
      </c>
      <c r="K2078" s="2" t="s">
        <v>1268</v>
      </c>
      <c r="L2078" s="2" t="str">
        <f t="shared" si="192"/>
        <v>Profitable</v>
      </c>
      <c r="M2078" s="2" t="str">
        <f t="shared" si="193"/>
        <v>Stable Earnings</v>
      </c>
      <c r="N2078" s="2" t="str">
        <f t="shared" si="194"/>
        <v>Low Quality</v>
      </c>
      <c r="O2078" s="4" t="str">
        <f t="shared" si="195"/>
        <v>Operational Growth</v>
      </c>
      <c r="P2078" s="4" t="str">
        <f t="shared" si="196"/>
        <v>Low Quality</v>
      </c>
      <c r="Q2078" s="4" t="str">
        <f t="shared" si="197"/>
        <v>Moderate Growth</v>
      </c>
    </row>
    <row r="2079" spans="1:17" x14ac:dyDescent="0.35">
      <c r="A2079" s="2" t="s">
        <v>2090</v>
      </c>
      <c r="B2079" s="2">
        <v>5</v>
      </c>
      <c r="C2079" s="2">
        <v>14820295.699999999</v>
      </c>
      <c r="D2079" s="2">
        <v>1</v>
      </c>
      <c r="E2079" s="2">
        <v>2250421.139</v>
      </c>
      <c r="F2079" s="2">
        <v>1620270.5</v>
      </c>
      <c r="G2079" s="2">
        <v>2</v>
      </c>
      <c r="H2079" s="2">
        <v>1</v>
      </c>
      <c r="I2079" s="2">
        <v>3</v>
      </c>
      <c r="J2079" s="2">
        <v>1.9</v>
      </c>
      <c r="K2079" s="2" t="s">
        <v>1268</v>
      </c>
      <c r="L2079" s="2" t="str">
        <f t="shared" si="192"/>
        <v>Profitable</v>
      </c>
      <c r="M2079" s="2" t="str">
        <f t="shared" si="193"/>
        <v>Stable Earnings</v>
      </c>
      <c r="N2079" s="2" t="str">
        <f t="shared" si="194"/>
        <v>Low Quality</v>
      </c>
      <c r="O2079" s="4" t="str">
        <f t="shared" si="195"/>
        <v>Operational Growth</v>
      </c>
      <c r="P2079" s="4" t="str">
        <f t="shared" si="196"/>
        <v>Low Quality</v>
      </c>
      <c r="Q2079" s="4" t="str">
        <f t="shared" si="197"/>
        <v>Moderate Growth</v>
      </c>
    </row>
    <row r="2080" spans="1:17" x14ac:dyDescent="0.35">
      <c r="A2080" s="2" t="s">
        <v>2091</v>
      </c>
      <c r="B2080" s="2">
        <v>5</v>
      </c>
      <c r="C2080" s="2">
        <v>10305080.4</v>
      </c>
      <c r="D2080" s="2">
        <v>1</v>
      </c>
      <c r="E2080" s="2">
        <v>1447735.99</v>
      </c>
      <c r="F2080" s="2">
        <v>1342996.6</v>
      </c>
      <c r="G2080" s="2">
        <v>2</v>
      </c>
      <c r="H2080" s="2">
        <v>1</v>
      </c>
      <c r="I2080" s="2">
        <v>3</v>
      </c>
      <c r="J2080" s="2">
        <v>1.9</v>
      </c>
      <c r="K2080" s="2" t="s">
        <v>1268</v>
      </c>
      <c r="L2080" s="2" t="str">
        <f t="shared" si="192"/>
        <v>Profitable</v>
      </c>
      <c r="M2080" s="2" t="str">
        <f t="shared" si="193"/>
        <v>Stable Earnings</v>
      </c>
      <c r="N2080" s="2" t="str">
        <f t="shared" si="194"/>
        <v>Low Quality</v>
      </c>
      <c r="O2080" s="4" t="str">
        <f t="shared" si="195"/>
        <v>Operational Growth</v>
      </c>
      <c r="P2080" s="4" t="str">
        <f t="shared" si="196"/>
        <v>Low Quality</v>
      </c>
      <c r="Q2080" s="4" t="str">
        <f t="shared" si="197"/>
        <v>Moderate Growth</v>
      </c>
    </row>
    <row r="2081" spans="1:17" x14ac:dyDescent="0.35">
      <c r="A2081" s="2" t="s">
        <v>2092</v>
      </c>
      <c r="B2081" s="2">
        <v>5</v>
      </c>
      <c r="C2081" s="2">
        <v>3813840.18</v>
      </c>
      <c r="D2081" s="2">
        <v>1</v>
      </c>
      <c r="E2081" s="2">
        <v>1469796.8149999999</v>
      </c>
      <c r="F2081" s="2">
        <v>1809307.4</v>
      </c>
      <c r="G2081" s="2">
        <v>2</v>
      </c>
      <c r="H2081" s="2">
        <v>1</v>
      </c>
      <c r="I2081" s="2">
        <v>3</v>
      </c>
      <c r="J2081" s="2">
        <v>1.9</v>
      </c>
      <c r="K2081" s="2" t="s">
        <v>1268</v>
      </c>
      <c r="L2081" s="2" t="str">
        <f t="shared" si="192"/>
        <v>Profitable</v>
      </c>
      <c r="M2081" s="2" t="str">
        <f t="shared" si="193"/>
        <v>Stable Earnings</v>
      </c>
      <c r="N2081" s="2" t="str">
        <f t="shared" si="194"/>
        <v>Low Quality</v>
      </c>
      <c r="O2081" s="4" t="str">
        <f t="shared" si="195"/>
        <v>Operational Growth</v>
      </c>
      <c r="P2081" s="4" t="str">
        <f t="shared" si="196"/>
        <v>Low Quality</v>
      </c>
      <c r="Q2081" s="4" t="str">
        <f t="shared" si="197"/>
        <v>Moderate Growth</v>
      </c>
    </row>
    <row r="2082" spans="1:17" x14ac:dyDescent="0.35">
      <c r="A2082" s="2" t="s">
        <v>2093</v>
      </c>
      <c r="B2082" s="2">
        <v>5</v>
      </c>
      <c r="C2082" s="2">
        <v>21572895.02</v>
      </c>
      <c r="D2082" s="2">
        <v>1</v>
      </c>
      <c r="E2082" s="2">
        <v>3224557.4369999999</v>
      </c>
      <c r="F2082" s="2">
        <v>2199116</v>
      </c>
      <c r="G2082" s="2">
        <v>2</v>
      </c>
      <c r="H2082" s="2">
        <v>1</v>
      </c>
      <c r="I2082" s="2">
        <v>3</v>
      </c>
      <c r="J2082" s="2">
        <v>1.9</v>
      </c>
      <c r="K2082" s="2" t="s">
        <v>1268</v>
      </c>
      <c r="L2082" s="2" t="str">
        <f t="shared" si="192"/>
        <v>Profitable</v>
      </c>
      <c r="M2082" s="2" t="str">
        <f t="shared" si="193"/>
        <v>Stable Earnings</v>
      </c>
      <c r="N2082" s="2" t="str">
        <f t="shared" si="194"/>
        <v>Low Quality</v>
      </c>
      <c r="O2082" s="4" t="str">
        <f t="shared" si="195"/>
        <v>Operational Growth</v>
      </c>
      <c r="P2082" s="4" t="str">
        <f t="shared" si="196"/>
        <v>Low Quality</v>
      </c>
      <c r="Q2082" s="4" t="str">
        <f t="shared" si="197"/>
        <v>Moderate Growth</v>
      </c>
    </row>
    <row r="2083" spans="1:17" x14ac:dyDescent="0.35">
      <c r="A2083" s="2" t="s">
        <v>2094</v>
      </c>
      <c r="B2083" s="2">
        <v>5</v>
      </c>
      <c r="C2083" s="2">
        <v>5550181.7999999998</v>
      </c>
      <c r="D2083" s="2">
        <v>1</v>
      </c>
      <c r="E2083" s="2">
        <v>1251644.5020000001</v>
      </c>
      <c r="F2083" s="2">
        <v>3049627.1</v>
      </c>
      <c r="G2083" s="2">
        <v>2</v>
      </c>
      <c r="H2083" s="2">
        <v>1</v>
      </c>
      <c r="I2083" s="2">
        <v>3</v>
      </c>
      <c r="J2083" s="2">
        <v>1.9</v>
      </c>
      <c r="K2083" s="2" t="s">
        <v>1268</v>
      </c>
      <c r="L2083" s="2" t="str">
        <f t="shared" si="192"/>
        <v>Profitable</v>
      </c>
      <c r="M2083" s="2" t="str">
        <f t="shared" si="193"/>
        <v>Stable Earnings</v>
      </c>
      <c r="N2083" s="2" t="str">
        <f t="shared" si="194"/>
        <v>Low Quality</v>
      </c>
      <c r="O2083" s="4" t="str">
        <f t="shared" si="195"/>
        <v>Operational Growth</v>
      </c>
      <c r="P2083" s="4" t="str">
        <f t="shared" si="196"/>
        <v>Low Quality</v>
      </c>
      <c r="Q2083" s="4" t="str">
        <f t="shared" si="197"/>
        <v>Moderate Growth</v>
      </c>
    </row>
    <row r="2084" spans="1:17" x14ac:dyDescent="0.35">
      <c r="A2084" s="2" t="s">
        <v>2095</v>
      </c>
      <c r="B2084" s="2">
        <v>5</v>
      </c>
      <c r="C2084" s="2">
        <v>8522390.0199999996</v>
      </c>
      <c r="D2084" s="2">
        <v>0.8</v>
      </c>
      <c r="E2084" s="2">
        <v>11835631.35</v>
      </c>
      <c r="F2084" s="2">
        <v>3083457.8</v>
      </c>
      <c r="G2084" s="2">
        <v>2</v>
      </c>
      <c r="H2084" s="2">
        <v>1</v>
      </c>
      <c r="I2084" s="2">
        <v>3</v>
      </c>
      <c r="J2084" s="2">
        <v>1.9</v>
      </c>
      <c r="K2084" s="2" t="s">
        <v>1268</v>
      </c>
      <c r="L2084" s="2" t="str">
        <f t="shared" si="192"/>
        <v>Profitable</v>
      </c>
      <c r="M2084" s="2" t="str">
        <f t="shared" si="193"/>
        <v>Stable Earnings</v>
      </c>
      <c r="N2084" s="2" t="str">
        <f t="shared" si="194"/>
        <v>Low Quality</v>
      </c>
      <c r="O2084" s="4" t="str">
        <f t="shared" si="195"/>
        <v>Operational Growth</v>
      </c>
      <c r="P2084" s="4" t="str">
        <f t="shared" si="196"/>
        <v>Low Quality</v>
      </c>
      <c r="Q2084" s="4" t="str">
        <f t="shared" si="197"/>
        <v>Moderate Growth</v>
      </c>
    </row>
    <row r="2085" spans="1:17" x14ac:dyDescent="0.35">
      <c r="A2085" s="2" t="s">
        <v>2096</v>
      </c>
      <c r="B2085" s="2">
        <v>5</v>
      </c>
      <c r="C2085" s="2">
        <v>1155036.6000000001</v>
      </c>
      <c r="D2085" s="2">
        <v>0.8</v>
      </c>
      <c r="E2085" s="2">
        <v>1096277.7520000001</v>
      </c>
      <c r="F2085" s="2">
        <v>-52634</v>
      </c>
      <c r="G2085" s="2">
        <v>2</v>
      </c>
      <c r="H2085" s="2">
        <v>1</v>
      </c>
      <c r="I2085" s="2">
        <v>3</v>
      </c>
      <c r="J2085" s="2">
        <v>1.9</v>
      </c>
      <c r="K2085" s="2" t="s">
        <v>1268</v>
      </c>
      <c r="L2085" s="2" t="str">
        <f t="shared" si="192"/>
        <v>Profitable</v>
      </c>
      <c r="M2085" s="2" t="str">
        <f t="shared" si="193"/>
        <v>Stable Earnings</v>
      </c>
      <c r="N2085" s="2" t="str">
        <f t="shared" si="194"/>
        <v>Low Quality</v>
      </c>
      <c r="O2085" s="4" t="str">
        <f t="shared" si="195"/>
        <v>Accounting Risk</v>
      </c>
      <c r="P2085" s="4" t="str">
        <f t="shared" si="196"/>
        <v>Low Quality</v>
      </c>
      <c r="Q2085" s="4" t="str">
        <f t="shared" si="197"/>
        <v>Moderate Growth</v>
      </c>
    </row>
    <row r="2086" spans="1:17" x14ac:dyDescent="0.35">
      <c r="A2086" s="2" t="s">
        <v>2097</v>
      </c>
      <c r="B2086" s="2">
        <v>5</v>
      </c>
      <c r="C2086" s="2">
        <v>12249467.039999999</v>
      </c>
      <c r="D2086" s="2">
        <v>1</v>
      </c>
      <c r="E2086" s="2">
        <v>4340870.0630000001</v>
      </c>
      <c r="F2086" s="2">
        <v>-104215.3</v>
      </c>
      <c r="G2086" s="2">
        <v>2</v>
      </c>
      <c r="H2086" s="2">
        <v>1</v>
      </c>
      <c r="I2086" s="2">
        <v>3</v>
      </c>
      <c r="J2086" s="2">
        <v>1.9</v>
      </c>
      <c r="K2086" s="2" t="s">
        <v>1268</v>
      </c>
      <c r="L2086" s="2" t="str">
        <f t="shared" si="192"/>
        <v>Profitable</v>
      </c>
      <c r="M2086" s="2" t="str">
        <f t="shared" si="193"/>
        <v>Stable Earnings</v>
      </c>
      <c r="N2086" s="2" t="str">
        <f t="shared" si="194"/>
        <v>Low Quality</v>
      </c>
      <c r="O2086" s="4" t="str">
        <f t="shared" si="195"/>
        <v>Accounting Risk</v>
      </c>
      <c r="P2086" s="4" t="str">
        <f t="shared" si="196"/>
        <v>Low Quality</v>
      </c>
      <c r="Q2086" s="4" t="str">
        <f t="shared" si="197"/>
        <v>Moderate Growth</v>
      </c>
    </row>
    <row r="2087" spans="1:17" x14ac:dyDescent="0.35">
      <c r="A2087" s="2" t="s">
        <v>2098</v>
      </c>
      <c r="B2087" s="2">
        <v>5</v>
      </c>
      <c r="C2087" s="2">
        <v>12360000.279999999</v>
      </c>
      <c r="D2087" s="2">
        <v>1</v>
      </c>
      <c r="E2087" s="2">
        <v>3912768.3790000002</v>
      </c>
      <c r="F2087" s="2">
        <v>46897.599999999999</v>
      </c>
      <c r="G2087" s="2">
        <v>2</v>
      </c>
      <c r="H2087" s="2">
        <v>1</v>
      </c>
      <c r="I2087" s="2">
        <v>3</v>
      </c>
      <c r="J2087" s="2">
        <v>1.9</v>
      </c>
      <c r="K2087" s="2" t="s">
        <v>1268</v>
      </c>
      <c r="L2087" s="2" t="str">
        <f t="shared" si="192"/>
        <v>Profitable</v>
      </c>
      <c r="M2087" s="2" t="str">
        <f t="shared" si="193"/>
        <v>Stable Earnings</v>
      </c>
      <c r="N2087" s="2" t="str">
        <f t="shared" si="194"/>
        <v>Low Quality</v>
      </c>
      <c r="O2087" s="4" t="str">
        <f t="shared" si="195"/>
        <v>Operational Growth</v>
      </c>
      <c r="P2087" s="4" t="str">
        <f t="shared" si="196"/>
        <v>Low Quality</v>
      </c>
      <c r="Q2087" s="4" t="str">
        <f t="shared" si="197"/>
        <v>Moderate Growth</v>
      </c>
    </row>
    <row r="2088" spans="1:17" x14ac:dyDescent="0.35">
      <c r="A2088" s="2" t="s">
        <v>2099</v>
      </c>
      <c r="B2088" s="2">
        <v>5</v>
      </c>
      <c r="C2088" s="2">
        <v>1375726.14</v>
      </c>
      <c r="D2088" s="2">
        <v>1</v>
      </c>
      <c r="E2088" s="2">
        <v>677517.3615</v>
      </c>
      <c r="F2088" s="2">
        <v>278697</v>
      </c>
      <c r="G2088" s="2">
        <v>2</v>
      </c>
      <c r="H2088" s="2">
        <v>1</v>
      </c>
      <c r="I2088" s="2">
        <v>3</v>
      </c>
      <c r="J2088" s="2">
        <v>1.9</v>
      </c>
      <c r="K2088" s="2" t="s">
        <v>1268</v>
      </c>
      <c r="L2088" s="2" t="str">
        <f t="shared" si="192"/>
        <v>Profitable</v>
      </c>
      <c r="M2088" s="2" t="str">
        <f t="shared" si="193"/>
        <v>Stable Earnings</v>
      </c>
      <c r="N2088" s="2" t="str">
        <f t="shared" si="194"/>
        <v>Low Quality</v>
      </c>
      <c r="O2088" s="4" t="str">
        <f t="shared" si="195"/>
        <v>Operational Growth</v>
      </c>
      <c r="P2088" s="4" t="str">
        <f t="shared" si="196"/>
        <v>Low Quality</v>
      </c>
      <c r="Q2088" s="4" t="str">
        <f t="shared" si="197"/>
        <v>Moderate Growth</v>
      </c>
    </row>
    <row r="2089" spans="1:17" x14ac:dyDescent="0.35">
      <c r="A2089" s="2" t="s">
        <v>2100</v>
      </c>
      <c r="B2089" s="2">
        <v>5</v>
      </c>
      <c r="C2089" s="2">
        <v>3829104.18</v>
      </c>
      <c r="D2089" s="2">
        <v>0.8</v>
      </c>
      <c r="E2089" s="2">
        <v>3167134.6310000001</v>
      </c>
      <c r="F2089" s="2">
        <v>-2227285.9</v>
      </c>
      <c r="G2089" s="2">
        <v>2</v>
      </c>
      <c r="H2089" s="2">
        <v>1</v>
      </c>
      <c r="I2089" s="2">
        <v>3</v>
      </c>
      <c r="J2089" s="2">
        <v>1.9</v>
      </c>
      <c r="K2089" s="2" t="s">
        <v>1268</v>
      </c>
      <c r="L2089" s="2" t="str">
        <f t="shared" si="192"/>
        <v>Profitable</v>
      </c>
      <c r="M2089" s="2" t="str">
        <f t="shared" si="193"/>
        <v>Stable Earnings</v>
      </c>
      <c r="N2089" s="2" t="str">
        <f t="shared" si="194"/>
        <v>Low Quality</v>
      </c>
      <c r="O2089" s="4" t="str">
        <f t="shared" si="195"/>
        <v>Accounting Risk</v>
      </c>
      <c r="P2089" s="4" t="str">
        <f t="shared" si="196"/>
        <v>Low Quality</v>
      </c>
      <c r="Q2089" s="4" t="str">
        <f t="shared" si="197"/>
        <v>Moderate Growth</v>
      </c>
    </row>
    <row r="2090" spans="1:17" x14ac:dyDescent="0.35">
      <c r="A2090" s="2" t="s">
        <v>2101</v>
      </c>
      <c r="B2090" s="2">
        <v>5</v>
      </c>
      <c r="C2090" s="2">
        <v>3673800.28</v>
      </c>
      <c r="D2090" s="2">
        <v>1</v>
      </c>
      <c r="E2090" s="2">
        <v>1111921.8419999999</v>
      </c>
      <c r="F2090" s="2">
        <v>-2280473.4</v>
      </c>
      <c r="G2090" s="2">
        <v>2</v>
      </c>
      <c r="H2090" s="2">
        <v>1</v>
      </c>
      <c r="I2090" s="2">
        <v>3</v>
      </c>
      <c r="J2090" s="2">
        <v>1.9</v>
      </c>
      <c r="K2090" s="2" t="s">
        <v>1268</v>
      </c>
      <c r="L2090" s="2" t="str">
        <f t="shared" si="192"/>
        <v>Profitable</v>
      </c>
      <c r="M2090" s="2" t="str">
        <f t="shared" si="193"/>
        <v>Stable Earnings</v>
      </c>
      <c r="N2090" s="2" t="str">
        <f t="shared" si="194"/>
        <v>Low Quality</v>
      </c>
      <c r="O2090" s="4" t="str">
        <f t="shared" si="195"/>
        <v>Accounting Risk</v>
      </c>
      <c r="P2090" s="4" t="str">
        <f t="shared" si="196"/>
        <v>Low Quality</v>
      </c>
      <c r="Q2090" s="4" t="str">
        <f t="shared" si="197"/>
        <v>Moderate Growth</v>
      </c>
    </row>
    <row r="2091" spans="1:17" x14ac:dyDescent="0.35">
      <c r="A2091" s="2" t="s">
        <v>2102</v>
      </c>
      <c r="B2091" s="2">
        <v>5</v>
      </c>
      <c r="C2091" s="2">
        <v>8345935.7000000002</v>
      </c>
      <c r="D2091" s="2">
        <v>1</v>
      </c>
      <c r="E2091" s="2">
        <v>2357680.48</v>
      </c>
      <c r="F2091" s="2">
        <v>-2417417</v>
      </c>
      <c r="G2091" s="2">
        <v>2</v>
      </c>
      <c r="H2091" s="2">
        <v>1</v>
      </c>
      <c r="I2091" s="2">
        <v>3</v>
      </c>
      <c r="J2091" s="2">
        <v>1.9</v>
      </c>
      <c r="K2091" s="2" t="s">
        <v>1268</v>
      </c>
      <c r="L2091" s="2" t="str">
        <f t="shared" si="192"/>
        <v>Profitable</v>
      </c>
      <c r="M2091" s="2" t="str">
        <f t="shared" si="193"/>
        <v>Stable Earnings</v>
      </c>
      <c r="N2091" s="2" t="str">
        <f t="shared" si="194"/>
        <v>Low Quality</v>
      </c>
      <c r="O2091" s="4" t="str">
        <f t="shared" si="195"/>
        <v>Accounting Risk</v>
      </c>
      <c r="P2091" s="4" t="str">
        <f t="shared" si="196"/>
        <v>Low Quality</v>
      </c>
      <c r="Q2091" s="4" t="str">
        <f t="shared" si="197"/>
        <v>Moderate Growth</v>
      </c>
    </row>
    <row r="2092" spans="1:17" x14ac:dyDescent="0.35">
      <c r="A2092" s="2" t="s">
        <v>2103</v>
      </c>
      <c r="B2092" s="2">
        <v>5</v>
      </c>
      <c r="C2092" s="2">
        <v>22232269.300000001</v>
      </c>
      <c r="D2092" s="2">
        <v>1</v>
      </c>
      <c r="E2092" s="2">
        <v>7608433.9220000003</v>
      </c>
      <c r="F2092" s="2">
        <v>-4885484.8</v>
      </c>
      <c r="G2092" s="2">
        <v>2</v>
      </c>
      <c r="H2092" s="2">
        <v>1</v>
      </c>
      <c r="I2092" s="2">
        <v>3</v>
      </c>
      <c r="J2092" s="2">
        <v>1.9</v>
      </c>
      <c r="K2092" s="2" t="s">
        <v>1268</v>
      </c>
      <c r="L2092" s="2" t="str">
        <f t="shared" si="192"/>
        <v>Profitable</v>
      </c>
      <c r="M2092" s="2" t="str">
        <f t="shared" si="193"/>
        <v>Stable Earnings</v>
      </c>
      <c r="N2092" s="2" t="str">
        <f t="shared" si="194"/>
        <v>Low Quality</v>
      </c>
      <c r="O2092" s="4" t="str">
        <f t="shared" si="195"/>
        <v>Accounting Risk</v>
      </c>
      <c r="P2092" s="4" t="str">
        <f t="shared" si="196"/>
        <v>Low Quality</v>
      </c>
      <c r="Q2092" s="4" t="str">
        <f t="shared" si="197"/>
        <v>Moderate Growth</v>
      </c>
    </row>
    <row r="2093" spans="1:17" x14ac:dyDescent="0.35">
      <c r="A2093" s="2" t="s">
        <v>2104</v>
      </c>
      <c r="B2093" s="2">
        <v>5</v>
      </c>
      <c r="C2093" s="2">
        <v>8212380.7599999998</v>
      </c>
      <c r="D2093" s="2">
        <v>0.8</v>
      </c>
      <c r="E2093" s="2">
        <v>5973378.602</v>
      </c>
      <c r="F2093" s="2">
        <v>-4246265.5</v>
      </c>
      <c r="G2093" s="2">
        <v>2</v>
      </c>
      <c r="H2093" s="2">
        <v>1</v>
      </c>
      <c r="I2093" s="2">
        <v>3</v>
      </c>
      <c r="J2093" s="2">
        <v>1.9</v>
      </c>
      <c r="K2093" s="2" t="s">
        <v>1268</v>
      </c>
      <c r="L2093" s="2" t="str">
        <f t="shared" si="192"/>
        <v>Profitable</v>
      </c>
      <c r="M2093" s="2" t="str">
        <f t="shared" si="193"/>
        <v>Stable Earnings</v>
      </c>
      <c r="N2093" s="2" t="str">
        <f t="shared" si="194"/>
        <v>Low Quality</v>
      </c>
      <c r="O2093" s="4" t="str">
        <f t="shared" si="195"/>
        <v>Accounting Risk</v>
      </c>
      <c r="P2093" s="4" t="str">
        <f t="shared" si="196"/>
        <v>Low Quality</v>
      </c>
      <c r="Q2093" s="4" t="str">
        <f t="shared" si="197"/>
        <v>Moderate Growth</v>
      </c>
    </row>
    <row r="2094" spans="1:17" x14ac:dyDescent="0.35">
      <c r="A2094" s="2" t="s">
        <v>2105</v>
      </c>
      <c r="B2094" s="2">
        <v>5</v>
      </c>
      <c r="C2094" s="2">
        <v>33939692.200000003</v>
      </c>
      <c r="D2094" s="2">
        <v>1</v>
      </c>
      <c r="E2094" s="2">
        <v>3350525.7880000002</v>
      </c>
      <c r="F2094" s="2">
        <v>-3333029.9</v>
      </c>
      <c r="G2094" s="2">
        <v>2</v>
      </c>
      <c r="H2094" s="2">
        <v>1</v>
      </c>
      <c r="I2094" s="2">
        <v>3</v>
      </c>
      <c r="J2094" s="2">
        <v>1.9</v>
      </c>
      <c r="K2094" s="2" t="s">
        <v>1268</v>
      </c>
      <c r="L2094" s="2" t="str">
        <f t="shared" si="192"/>
        <v>Profitable</v>
      </c>
      <c r="M2094" s="2" t="str">
        <f t="shared" si="193"/>
        <v>Stable Earnings</v>
      </c>
      <c r="N2094" s="2" t="str">
        <f t="shared" si="194"/>
        <v>Low Quality</v>
      </c>
      <c r="O2094" s="4" t="str">
        <f t="shared" si="195"/>
        <v>Accounting Risk</v>
      </c>
      <c r="P2094" s="4" t="str">
        <f t="shared" si="196"/>
        <v>Low Quality</v>
      </c>
      <c r="Q2094" s="4" t="str">
        <f t="shared" si="197"/>
        <v>Moderate Growth</v>
      </c>
    </row>
    <row r="2095" spans="1:17" x14ac:dyDescent="0.35">
      <c r="A2095" s="2" t="s">
        <v>2106</v>
      </c>
      <c r="B2095" s="2">
        <v>5</v>
      </c>
      <c r="C2095" s="2">
        <v>66242062.619999997</v>
      </c>
      <c r="D2095" s="2">
        <v>1</v>
      </c>
      <c r="E2095" s="2">
        <v>10187092.84</v>
      </c>
      <c r="F2095" s="2">
        <v>-3670349.4</v>
      </c>
      <c r="G2095" s="2">
        <v>2</v>
      </c>
      <c r="H2095" s="2">
        <v>1</v>
      </c>
      <c r="I2095" s="2">
        <v>3</v>
      </c>
      <c r="J2095" s="2">
        <v>1.9</v>
      </c>
      <c r="K2095" s="2" t="s">
        <v>1268</v>
      </c>
      <c r="L2095" s="2" t="str">
        <f t="shared" si="192"/>
        <v>Profitable</v>
      </c>
      <c r="M2095" s="2" t="str">
        <f t="shared" si="193"/>
        <v>Stable Earnings</v>
      </c>
      <c r="N2095" s="2" t="str">
        <f t="shared" si="194"/>
        <v>Low Quality</v>
      </c>
      <c r="O2095" s="4" t="str">
        <f t="shared" si="195"/>
        <v>Accounting Risk</v>
      </c>
      <c r="P2095" s="4" t="str">
        <f t="shared" si="196"/>
        <v>Low Quality</v>
      </c>
      <c r="Q2095" s="4" t="str">
        <f t="shared" si="197"/>
        <v>Moderate Growth</v>
      </c>
    </row>
    <row r="2096" spans="1:17" x14ac:dyDescent="0.35">
      <c r="A2096" s="2" t="s">
        <v>2107</v>
      </c>
      <c r="B2096" s="2">
        <v>5</v>
      </c>
      <c r="C2096" s="2">
        <v>19293585.82</v>
      </c>
      <c r="D2096" s="2">
        <v>1</v>
      </c>
      <c r="E2096" s="2">
        <v>11414435.25</v>
      </c>
      <c r="F2096" s="2">
        <v>-3562188.7999999998</v>
      </c>
      <c r="G2096" s="2">
        <v>2</v>
      </c>
      <c r="H2096" s="2">
        <v>1</v>
      </c>
      <c r="I2096" s="2">
        <v>3</v>
      </c>
      <c r="J2096" s="2">
        <v>1.9</v>
      </c>
      <c r="K2096" s="2" t="s">
        <v>1268</v>
      </c>
      <c r="L2096" s="2" t="str">
        <f t="shared" si="192"/>
        <v>Profitable</v>
      </c>
      <c r="M2096" s="2" t="str">
        <f t="shared" si="193"/>
        <v>Stable Earnings</v>
      </c>
      <c r="N2096" s="2" t="str">
        <f t="shared" si="194"/>
        <v>Low Quality</v>
      </c>
      <c r="O2096" s="4" t="str">
        <f t="shared" si="195"/>
        <v>Accounting Risk</v>
      </c>
      <c r="P2096" s="4" t="str">
        <f t="shared" si="196"/>
        <v>Low Quality</v>
      </c>
      <c r="Q2096" s="4" t="str">
        <f t="shared" si="197"/>
        <v>Moderate Growth</v>
      </c>
    </row>
    <row r="2097" spans="1:17" x14ac:dyDescent="0.35">
      <c r="A2097" s="2" t="s">
        <v>2108</v>
      </c>
      <c r="B2097" s="2">
        <v>5</v>
      </c>
      <c r="C2097" s="2">
        <v>63437656.020000003</v>
      </c>
      <c r="D2097" s="2">
        <v>1</v>
      </c>
      <c r="E2097" s="2">
        <v>34911664.579999998</v>
      </c>
      <c r="F2097" s="2">
        <v>-25836312.100000001</v>
      </c>
      <c r="G2097" s="2">
        <v>1</v>
      </c>
      <c r="H2097" s="2">
        <v>2</v>
      </c>
      <c r="I2097" s="2">
        <v>4</v>
      </c>
      <c r="J2097" s="2">
        <v>1.9</v>
      </c>
      <c r="K2097" s="2" t="s">
        <v>1268</v>
      </c>
      <c r="L2097" s="2" t="str">
        <f t="shared" si="192"/>
        <v>Profitable</v>
      </c>
      <c r="M2097" s="2" t="str">
        <f t="shared" si="193"/>
        <v>Stable Earnings</v>
      </c>
      <c r="N2097" s="2" t="str">
        <f t="shared" si="194"/>
        <v>Low Quality</v>
      </c>
      <c r="O2097" s="4" t="str">
        <f t="shared" si="195"/>
        <v>Accounting Risk</v>
      </c>
      <c r="P2097" s="4" t="str">
        <f t="shared" si="196"/>
        <v>Low Quality</v>
      </c>
      <c r="Q2097" s="4" t="str">
        <f t="shared" si="197"/>
        <v>Strong Long-Term Growth</v>
      </c>
    </row>
    <row r="2098" spans="1:17" x14ac:dyDescent="0.35">
      <c r="A2098" s="2" t="s">
        <v>2109</v>
      </c>
      <c r="B2098" s="2">
        <v>5</v>
      </c>
      <c r="C2098" s="2">
        <v>58235954.700000003</v>
      </c>
      <c r="D2098" s="2">
        <v>1</v>
      </c>
      <c r="E2098" s="2">
        <v>26757707.620000001</v>
      </c>
      <c r="F2098" s="2">
        <v>-25019168.399999999</v>
      </c>
      <c r="G2098" s="2">
        <v>1</v>
      </c>
      <c r="H2098" s="2">
        <v>2</v>
      </c>
      <c r="I2098" s="2">
        <v>4</v>
      </c>
      <c r="J2098" s="2">
        <v>1.9</v>
      </c>
      <c r="K2098" s="2" t="s">
        <v>1268</v>
      </c>
      <c r="L2098" s="2" t="str">
        <f t="shared" si="192"/>
        <v>Profitable</v>
      </c>
      <c r="M2098" s="2" t="str">
        <f t="shared" si="193"/>
        <v>Stable Earnings</v>
      </c>
      <c r="N2098" s="2" t="str">
        <f t="shared" si="194"/>
        <v>Low Quality</v>
      </c>
      <c r="O2098" s="4" t="str">
        <f t="shared" si="195"/>
        <v>Accounting Risk</v>
      </c>
      <c r="P2098" s="4" t="str">
        <f t="shared" si="196"/>
        <v>Low Quality</v>
      </c>
      <c r="Q2098" s="4" t="str">
        <f t="shared" si="197"/>
        <v>Strong Long-Term Growth</v>
      </c>
    </row>
    <row r="2099" spans="1:17" x14ac:dyDescent="0.35">
      <c r="A2099" s="2" t="s">
        <v>2110</v>
      </c>
      <c r="B2099" s="2">
        <v>5</v>
      </c>
      <c r="C2099" s="2">
        <v>64933710.200000003</v>
      </c>
      <c r="D2099" s="2">
        <v>1</v>
      </c>
      <c r="E2099" s="2">
        <v>40573538.100000001</v>
      </c>
      <c r="F2099" s="2">
        <v>-20478904.699999999</v>
      </c>
      <c r="G2099" s="2">
        <v>1</v>
      </c>
      <c r="H2099" s="2">
        <v>2</v>
      </c>
      <c r="I2099" s="2">
        <v>4</v>
      </c>
      <c r="J2099" s="2">
        <v>1.9</v>
      </c>
      <c r="K2099" s="2" t="s">
        <v>1268</v>
      </c>
      <c r="L2099" s="2" t="str">
        <f t="shared" si="192"/>
        <v>Profitable</v>
      </c>
      <c r="M2099" s="2" t="str">
        <f t="shared" si="193"/>
        <v>Stable Earnings</v>
      </c>
      <c r="N2099" s="2" t="str">
        <f t="shared" si="194"/>
        <v>Low Quality</v>
      </c>
      <c r="O2099" s="4" t="str">
        <f t="shared" si="195"/>
        <v>Accounting Risk</v>
      </c>
      <c r="P2099" s="4" t="str">
        <f t="shared" si="196"/>
        <v>Low Quality</v>
      </c>
      <c r="Q2099" s="4" t="str">
        <f t="shared" si="197"/>
        <v>Strong Long-Term Growth</v>
      </c>
    </row>
    <row r="2100" spans="1:17" x14ac:dyDescent="0.35">
      <c r="A2100" s="2" t="s">
        <v>2111</v>
      </c>
      <c r="B2100" s="2">
        <v>5</v>
      </c>
      <c r="C2100" s="2">
        <v>163109803.80000001</v>
      </c>
      <c r="D2100" s="2">
        <v>1</v>
      </c>
      <c r="E2100" s="2">
        <v>26618498.16</v>
      </c>
      <c r="F2100" s="2">
        <v>-37144043.700000003</v>
      </c>
      <c r="G2100" s="2">
        <v>1</v>
      </c>
      <c r="H2100" s="2">
        <v>2</v>
      </c>
      <c r="I2100" s="2">
        <v>4</v>
      </c>
      <c r="J2100" s="2">
        <v>1.9</v>
      </c>
      <c r="K2100" s="2" t="s">
        <v>1268</v>
      </c>
      <c r="L2100" s="2" t="str">
        <f t="shared" si="192"/>
        <v>Profitable</v>
      </c>
      <c r="M2100" s="2" t="str">
        <f t="shared" si="193"/>
        <v>Stable Earnings</v>
      </c>
      <c r="N2100" s="2" t="str">
        <f t="shared" si="194"/>
        <v>Low Quality</v>
      </c>
      <c r="O2100" s="4" t="str">
        <f t="shared" si="195"/>
        <v>Accounting Risk</v>
      </c>
      <c r="P2100" s="4" t="str">
        <f t="shared" si="196"/>
        <v>Low Quality</v>
      </c>
      <c r="Q2100" s="4" t="str">
        <f t="shared" si="197"/>
        <v>Strong Long-Term Growth</v>
      </c>
    </row>
    <row r="2101" spans="1:17" x14ac:dyDescent="0.35">
      <c r="A2101" s="2" t="s">
        <v>2112</v>
      </c>
      <c r="B2101" s="2">
        <v>5</v>
      </c>
      <c r="C2101" s="2">
        <v>126440200.09999999</v>
      </c>
      <c r="D2101" s="2">
        <v>1</v>
      </c>
      <c r="E2101" s="2">
        <v>25515282.969999999</v>
      </c>
      <c r="F2101" s="2">
        <v>-27394146.399999999</v>
      </c>
      <c r="G2101" s="2">
        <v>1</v>
      </c>
      <c r="H2101" s="2">
        <v>2</v>
      </c>
      <c r="I2101" s="2">
        <v>4</v>
      </c>
      <c r="J2101" s="2">
        <v>1.9</v>
      </c>
      <c r="K2101" s="2" t="s">
        <v>1268</v>
      </c>
      <c r="L2101" s="2" t="str">
        <f t="shared" si="192"/>
        <v>Profitable</v>
      </c>
      <c r="M2101" s="2" t="str">
        <f t="shared" si="193"/>
        <v>Stable Earnings</v>
      </c>
      <c r="N2101" s="2" t="str">
        <f t="shared" si="194"/>
        <v>Low Quality</v>
      </c>
      <c r="O2101" s="4" t="str">
        <f t="shared" si="195"/>
        <v>Accounting Risk</v>
      </c>
      <c r="P2101" s="4" t="str">
        <f t="shared" si="196"/>
        <v>Low Quality</v>
      </c>
      <c r="Q2101" s="4" t="str">
        <f t="shared" si="197"/>
        <v>Strong Long-Term Growth</v>
      </c>
    </row>
    <row r="2102" spans="1:17" x14ac:dyDescent="0.35">
      <c r="A2102" s="2" t="s">
        <v>2113</v>
      </c>
      <c r="B2102" s="2">
        <v>5</v>
      </c>
      <c r="C2102" s="2">
        <v>144634153.5</v>
      </c>
      <c r="D2102" s="2">
        <v>1</v>
      </c>
      <c r="E2102" s="2">
        <v>32741846.850000001</v>
      </c>
      <c r="F2102" s="2">
        <v>-29560153.300000001</v>
      </c>
      <c r="G2102" s="2">
        <v>1</v>
      </c>
      <c r="H2102" s="2">
        <v>2</v>
      </c>
      <c r="I2102" s="2">
        <v>4</v>
      </c>
      <c r="J2102" s="2">
        <v>1.9</v>
      </c>
      <c r="K2102" s="2" t="s">
        <v>1268</v>
      </c>
      <c r="L2102" s="2" t="str">
        <f t="shared" si="192"/>
        <v>Profitable</v>
      </c>
      <c r="M2102" s="2" t="str">
        <f t="shared" si="193"/>
        <v>Stable Earnings</v>
      </c>
      <c r="N2102" s="2" t="str">
        <f t="shared" si="194"/>
        <v>Low Quality</v>
      </c>
      <c r="O2102" s="4" t="str">
        <f t="shared" si="195"/>
        <v>Accounting Risk</v>
      </c>
      <c r="P2102" s="4" t="str">
        <f t="shared" si="196"/>
        <v>Low Quality</v>
      </c>
      <c r="Q2102" s="4" t="str">
        <f t="shared" si="197"/>
        <v>Strong Long-Term Growth</v>
      </c>
    </row>
    <row r="2103" spans="1:17" x14ac:dyDescent="0.35">
      <c r="A2103" s="2" t="s">
        <v>2114</v>
      </c>
      <c r="B2103" s="2">
        <v>5</v>
      </c>
      <c r="C2103" s="2">
        <v>74525313.239999995</v>
      </c>
      <c r="D2103" s="2">
        <v>1</v>
      </c>
      <c r="E2103" s="2">
        <v>22954801.25</v>
      </c>
      <c r="F2103" s="2">
        <v>-31048732.300000001</v>
      </c>
      <c r="G2103" s="2">
        <v>1</v>
      </c>
      <c r="H2103" s="2">
        <v>2</v>
      </c>
      <c r="I2103" s="2">
        <v>4</v>
      </c>
      <c r="J2103" s="2">
        <v>1.9</v>
      </c>
      <c r="K2103" s="2" t="s">
        <v>1268</v>
      </c>
      <c r="L2103" s="2" t="str">
        <f t="shared" si="192"/>
        <v>Profitable</v>
      </c>
      <c r="M2103" s="2" t="str">
        <f t="shared" si="193"/>
        <v>Stable Earnings</v>
      </c>
      <c r="N2103" s="2" t="str">
        <f t="shared" si="194"/>
        <v>Low Quality</v>
      </c>
      <c r="O2103" s="4" t="str">
        <f t="shared" si="195"/>
        <v>Accounting Risk</v>
      </c>
      <c r="P2103" s="4" t="str">
        <f t="shared" si="196"/>
        <v>Low Quality</v>
      </c>
      <c r="Q2103" s="4" t="str">
        <f t="shared" si="197"/>
        <v>Strong Long-Term Growth</v>
      </c>
    </row>
    <row r="2104" spans="1:17" x14ac:dyDescent="0.35">
      <c r="A2104" s="2" t="s">
        <v>2115</v>
      </c>
      <c r="B2104" s="2">
        <v>5</v>
      </c>
      <c r="C2104" s="2">
        <v>50150353.899999999</v>
      </c>
      <c r="D2104" s="2">
        <v>1</v>
      </c>
      <c r="E2104" s="2">
        <v>21973754.120000001</v>
      </c>
      <c r="F2104" s="2">
        <v>-31050416.399999999</v>
      </c>
      <c r="G2104" s="2">
        <v>1</v>
      </c>
      <c r="H2104" s="2">
        <v>2</v>
      </c>
      <c r="I2104" s="2">
        <v>4</v>
      </c>
      <c r="J2104" s="2">
        <v>1.9</v>
      </c>
      <c r="K2104" s="2" t="s">
        <v>1268</v>
      </c>
      <c r="L2104" s="2" t="str">
        <f t="shared" si="192"/>
        <v>Profitable</v>
      </c>
      <c r="M2104" s="2" t="str">
        <f t="shared" si="193"/>
        <v>Stable Earnings</v>
      </c>
      <c r="N2104" s="2" t="str">
        <f t="shared" si="194"/>
        <v>Low Quality</v>
      </c>
      <c r="O2104" s="4" t="str">
        <f t="shared" si="195"/>
        <v>Accounting Risk</v>
      </c>
      <c r="P2104" s="4" t="str">
        <f t="shared" si="196"/>
        <v>Low Quality</v>
      </c>
      <c r="Q2104" s="4" t="str">
        <f t="shared" si="197"/>
        <v>Strong Long-Term Growth</v>
      </c>
    </row>
    <row r="2105" spans="1:17" x14ac:dyDescent="0.35">
      <c r="A2105" s="2" t="s">
        <v>2116</v>
      </c>
      <c r="B2105" s="2">
        <v>5</v>
      </c>
      <c r="C2105" s="2">
        <v>53039452.600000001</v>
      </c>
      <c r="D2105" s="2">
        <v>1</v>
      </c>
      <c r="E2105" s="2">
        <v>16535801.869999999</v>
      </c>
      <c r="F2105" s="2">
        <v>-7881591.5999999996</v>
      </c>
      <c r="G2105" s="2">
        <v>1</v>
      </c>
      <c r="H2105" s="2">
        <v>2</v>
      </c>
      <c r="I2105" s="2">
        <v>4</v>
      </c>
      <c r="J2105" s="2">
        <v>1.9</v>
      </c>
      <c r="K2105" s="2" t="s">
        <v>1268</v>
      </c>
      <c r="L2105" s="2" t="str">
        <f t="shared" si="192"/>
        <v>Profitable</v>
      </c>
      <c r="M2105" s="2" t="str">
        <f t="shared" si="193"/>
        <v>Stable Earnings</v>
      </c>
      <c r="N2105" s="2" t="str">
        <f t="shared" si="194"/>
        <v>Low Quality</v>
      </c>
      <c r="O2105" s="4" t="str">
        <f t="shared" si="195"/>
        <v>Accounting Risk</v>
      </c>
      <c r="P2105" s="4" t="str">
        <f t="shared" si="196"/>
        <v>Low Quality</v>
      </c>
      <c r="Q2105" s="4" t="str">
        <f t="shared" si="197"/>
        <v>Strong Long-Term Growth</v>
      </c>
    </row>
    <row r="2106" spans="1:17" x14ac:dyDescent="0.35">
      <c r="A2106" s="2" t="s">
        <v>2117</v>
      </c>
      <c r="B2106" s="2">
        <v>5</v>
      </c>
      <c r="C2106" s="2">
        <v>81658161.079999998</v>
      </c>
      <c r="D2106" s="2">
        <v>1</v>
      </c>
      <c r="E2106" s="2">
        <v>21012796.23</v>
      </c>
      <c r="F2106" s="2">
        <v>-11303397.300000001</v>
      </c>
      <c r="G2106" s="2">
        <v>1</v>
      </c>
      <c r="H2106" s="2">
        <v>2</v>
      </c>
      <c r="I2106" s="2">
        <v>4</v>
      </c>
      <c r="J2106" s="2">
        <v>1.9</v>
      </c>
      <c r="K2106" s="2" t="s">
        <v>1268</v>
      </c>
      <c r="L2106" s="2" t="str">
        <f t="shared" si="192"/>
        <v>Profitable</v>
      </c>
      <c r="M2106" s="2" t="str">
        <f t="shared" si="193"/>
        <v>Stable Earnings</v>
      </c>
      <c r="N2106" s="2" t="str">
        <f t="shared" si="194"/>
        <v>Low Quality</v>
      </c>
      <c r="O2106" s="4" t="str">
        <f t="shared" si="195"/>
        <v>Accounting Risk</v>
      </c>
      <c r="P2106" s="4" t="str">
        <f t="shared" si="196"/>
        <v>Low Quality</v>
      </c>
      <c r="Q2106" s="4" t="str">
        <f t="shared" si="197"/>
        <v>Strong Long-Term Growth</v>
      </c>
    </row>
    <row r="2107" spans="1:17" x14ac:dyDescent="0.35">
      <c r="A2107" s="2" t="s">
        <v>2118</v>
      </c>
      <c r="B2107" s="2">
        <v>5</v>
      </c>
      <c r="C2107" s="2">
        <v>59785080.979999997</v>
      </c>
      <c r="D2107" s="2">
        <v>1</v>
      </c>
      <c r="E2107" s="2">
        <v>35940222.259999998</v>
      </c>
      <c r="F2107" s="2">
        <v>-9981715.3000000007</v>
      </c>
      <c r="G2107" s="2">
        <v>1</v>
      </c>
      <c r="H2107" s="2">
        <v>2</v>
      </c>
      <c r="I2107" s="2">
        <v>4</v>
      </c>
      <c r="J2107" s="2">
        <v>1.9</v>
      </c>
      <c r="K2107" s="2" t="s">
        <v>1268</v>
      </c>
      <c r="L2107" s="2" t="str">
        <f t="shared" si="192"/>
        <v>Profitable</v>
      </c>
      <c r="M2107" s="2" t="str">
        <f t="shared" si="193"/>
        <v>Stable Earnings</v>
      </c>
      <c r="N2107" s="2" t="str">
        <f t="shared" si="194"/>
        <v>Low Quality</v>
      </c>
      <c r="O2107" s="4" t="str">
        <f t="shared" si="195"/>
        <v>Accounting Risk</v>
      </c>
      <c r="P2107" s="4" t="str">
        <f t="shared" si="196"/>
        <v>Low Quality</v>
      </c>
      <c r="Q2107" s="4" t="str">
        <f t="shared" si="197"/>
        <v>Strong Long-Term Growth</v>
      </c>
    </row>
    <row r="2108" spans="1:17" x14ac:dyDescent="0.35">
      <c r="A2108" s="2" t="s">
        <v>2119</v>
      </c>
      <c r="B2108" s="2">
        <v>5</v>
      </c>
      <c r="C2108" s="2">
        <v>30683085.579999998</v>
      </c>
      <c r="D2108" s="2">
        <v>1</v>
      </c>
      <c r="E2108" s="2">
        <v>24881168.48</v>
      </c>
      <c r="F2108" s="2">
        <v>-15724859.699999999</v>
      </c>
      <c r="G2108" s="2">
        <v>1</v>
      </c>
      <c r="H2108" s="2">
        <v>2</v>
      </c>
      <c r="I2108" s="2">
        <v>4</v>
      </c>
      <c r="J2108" s="2">
        <v>1.9</v>
      </c>
      <c r="K2108" s="2" t="s">
        <v>1268</v>
      </c>
      <c r="L2108" s="2" t="str">
        <f t="shared" si="192"/>
        <v>Profitable</v>
      </c>
      <c r="M2108" s="2" t="str">
        <f t="shared" si="193"/>
        <v>Stable Earnings</v>
      </c>
      <c r="N2108" s="2" t="str">
        <f t="shared" si="194"/>
        <v>Low Quality</v>
      </c>
      <c r="O2108" s="4" t="str">
        <f t="shared" si="195"/>
        <v>Accounting Risk</v>
      </c>
      <c r="P2108" s="4" t="str">
        <f t="shared" si="196"/>
        <v>Low Quality</v>
      </c>
      <c r="Q2108" s="4" t="str">
        <f t="shared" si="197"/>
        <v>Strong Long-Term Growth</v>
      </c>
    </row>
    <row r="2109" spans="1:17" x14ac:dyDescent="0.35">
      <c r="A2109" s="2" t="s">
        <v>2120</v>
      </c>
      <c r="B2109" s="2">
        <v>5</v>
      </c>
      <c r="C2109" s="2">
        <v>128836095</v>
      </c>
      <c r="D2109" s="2">
        <v>1</v>
      </c>
      <c r="E2109" s="2">
        <v>40737361.740000002</v>
      </c>
      <c r="F2109" s="2">
        <v>-52118846.200000003</v>
      </c>
      <c r="G2109" s="2">
        <v>1</v>
      </c>
      <c r="H2109" s="2">
        <v>2</v>
      </c>
      <c r="I2109" s="2">
        <v>4</v>
      </c>
      <c r="J2109" s="2">
        <v>1.9</v>
      </c>
      <c r="K2109" s="2" t="s">
        <v>1268</v>
      </c>
      <c r="L2109" s="2" t="str">
        <f t="shared" si="192"/>
        <v>Profitable</v>
      </c>
      <c r="M2109" s="2" t="str">
        <f t="shared" si="193"/>
        <v>Stable Earnings</v>
      </c>
      <c r="N2109" s="2" t="str">
        <f t="shared" si="194"/>
        <v>Low Quality</v>
      </c>
      <c r="O2109" s="4" t="str">
        <f t="shared" si="195"/>
        <v>Accounting Risk</v>
      </c>
      <c r="P2109" s="4" t="str">
        <f t="shared" si="196"/>
        <v>Low Quality</v>
      </c>
      <c r="Q2109" s="4" t="str">
        <f t="shared" si="197"/>
        <v>Strong Long-Term Growth</v>
      </c>
    </row>
    <row r="2110" spans="1:17" x14ac:dyDescent="0.35">
      <c r="A2110" s="2" t="s">
        <v>2121</v>
      </c>
      <c r="B2110" s="2">
        <v>5</v>
      </c>
      <c r="C2110" s="2">
        <v>42929376.899999999</v>
      </c>
      <c r="D2110" s="2">
        <v>1</v>
      </c>
      <c r="E2110" s="2">
        <v>28639073.100000001</v>
      </c>
      <c r="F2110" s="2">
        <v>-51351917.899999999</v>
      </c>
      <c r="G2110" s="2">
        <v>1</v>
      </c>
      <c r="H2110" s="2">
        <v>2</v>
      </c>
      <c r="I2110" s="2">
        <v>4</v>
      </c>
      <c r="J2110" s="2">
        <v>1.9</v>
      </c>
      <c r="K2110" s="2" t="s">
        <v>1268</v>
      </c>
      <c r="L2110" s="2" t="str">
        <f t="shared" si="192"/>
        <v>Profitable</v>
      </c>
      <c r="M2110" s="2" t="str">
        <f t="shared" si="193"/>
        <v>Stable Earnings</v>
      </c>
      <c r="N2110" s="2" t="str">
        <f t="shared" si="194"/>
        <v>Low Quality</v>
      </c>
      <c r="O2110" s="4" t="str">
        <f t="shared" si="195"/>
        <v>Accounting Risk</v>
      </c>
      <c r="P2110" s="4" t="str">
        <f t="shared" si="196"/>
        <v>Low Quality</v>
      </c>
      <c r="Q2110" s="4" t="str">
        <f t="shared" si="197"/>
        <v>Strong Long-Term Growth</v>
      </c>
    </row>
    <row r="2111" spans="1:17" x14ac:dyDescent="0.35">
      <c r="A2111" s="2" t="s">
        <v>2122</v>
      </c>
      <c r="B2111" s="2">
        <v>5</v>
      </c>
      <c r="C2111" s="2">
        <v>80957129.159999996</v>
      </c>
      <c r="D2111" s="2">
        <v>1</v>
      </c>
      <c r="E2111" s="2">
        <v>29873342.809999999</v>
      </c>
      <c r="F2111" s="2">
        <v>-68161362.700000003</v>
      </c>
      <c r="G2111" s="2">
        <v>1</v>
      </c>
      <c r="H2111" s="2">
        <v>2</v>
      </c>
      <c r="I2111" s="2">
        <v>4</v>
      </c>
      <c r="J2111" s="2">
        <v>1.9</v>
      </c>
      <c r="K2111" s="2" t="s">
        <v>1268</v>
      </c>
      <c r="L2111" s="2" t="str">
        <f t="shared" si="192"/>
        <v>Profitable</v>
      </c>
      <c r="M2111" s="2" t="str">
        <f t="shared" si="193"/>
        <v>Stable Earnings</v>
      </c>
      <c r="N2111" s="2" t="str">
        <f t="shared" si="194"/>
        <v>Low Quality</v>
      </c>
      <c r="O2111" s="4" t="str">
        <f t="shared" si="195"/>
        <v>Accounting Risk</v>
      </c>
      <c r="P2111" s="4" t="str">
        <f t="shared" si="196"/>
        <v>Low Quality</v>
      </c>
      <c r="Q2111" s="4" t="str">
        <f t="shared" si="197"/>
        <v>Strong Long-Term Growth</v>
      </c>
    </row>
    <row r="2112" spans="1:17" x14ac:dyDescent="0.35">
      <c r="A2112" s="2" t="s">
        <v>2123</v>
      </c>
      <c r="B2112" s="2">
        <v>5</v>
      </c>
      <c r="C2112" s="2">
        <v>236080524.59999999</v>
      </c>
      <c r="D2112" s="2">
        <v>1</v>
      </c>
      <c r="E2112" s="2">
        <v>36838599.259999998</v>
      </c>
      <c r="F2112" s="2">
        <v>-55154962.200000003</v>
      </c>
      <c r="G2112" s="2">
        <v>1</v>
      </c>
      <c r="H2112" s="2">
        <v>2</v>
      </c>
      <c r="I2112" s="2">
        <v>4</v>
      </c>
      <c r="J2112" s="2">
        <v>1.9</v>
      </c>
      <c r="K2112" s="2" t="s">
        <v>1268</v>
      </c>
      <c r="L2112" s="2" t="str">
        <f t="shared" si="192"/>
        <v>Profitable</v>
      </c>
      <c r="M2112" s="2" t="str">
        <f t="shared" si="193"/>
        <v>Stable Earnings</v>
      </c>
      <c r="N2112" s="2" t="str">
        <f t="shared" si="194"/>
        <v>Low Quality</v>
      </c>
      <c r="O2112" s="4" t="str">
        <f t="shared" si="195"/>
        <v>Accounting Risk</v>
      </c>
      <c r="P2112" s="4" t="str">
        <f t="shared" si="196"/>
        <v>Low Quality</v>
      </c>
      <c r="Q2112" s="4" t="str">
        <f t="shared" si="197"/>
        <v>Strong Long-Term Growth</v>
      </c>
    </row>
    <row r="2113" spans="1:17" x14ac:dyDescent="0.35">
      <c r="A2113" s="2" t="s">
        <v>2124</v>
      </c>
      <c r="B2113" s="2">
        <v>5</v>
      </c>
      <c r="C2113" s="2">
        <v>75241968.840000004</v>
      </c>
      <c r="D2113" s="2">
        <v>1</v>
      </c>
      <c r="E2113" s="2">
        <v>44054525.380000003</v>
      </c>
      <c r="F2113" s="2">
        <v>-57452971</v>
      </c>
      <c r="G2113" s="2">
        <v>1</v>
      </c>
      <c r="H2113" s="2">
        <v>2</v>
      </c>
      <c r="I2113" s="2">
        <v>4</v>
      </c>
      <c r="J2113" s="2">
        <v>1.9</v>
      </c>
      <c r="K2113" s="2" t="s">
        <v>1268</v>
      </c>
      <c r="L2113" s="2" t="str">
        <f t="shared" si="192"/>
        <v>Profitable</v>
      </c>
      <c r="M2113" s="2" t="str">
        <f t="shared" si="193"/>
        <v>Stable Earnings</v>
      </c>
      <c r="N2113" s="2" t="str">
        <f t="shared" si="194"/>
        <v>Low Quality</v>
      </c>
      <c r="O2113" s="4" t="str">
        <f t="shared" si="195"/>
        <v>Accounting Risk</v>
      </c>
      <c r="P2113" s="4" t="str">
        <f t="shared" si="196"/>
        <v>Low Quality</v>
      </c>
      <c r="Q2113" s="4" t="str">
        <f t="shared" si="197"/>
        <v>Strong Long-Term Growth</v>
      </c>
    </row>
    <row r="2114" spans="1:17" x14ac:dyDescent="0.35">
      <c r="A2114" s="2" t="s">
        <v>2125</v>
      </c>
      <c r="B2114" s="2">
        <v>5</v>
      </c>
      <c r="C2114" s="2">
        <v>31322903.600000001</v>
      </c>
      <c r="D2114" s="2">
        <v>1</v>
      </c>
      <c r="E2114" s="2">
        <v>8673784.8049999997</v>
      </c>
      <c r="F2114" s="2">
        <v>13078793.4</v>
      </c>
      <c r="G2114" s="2">
        <v>2</v>
      </c>
      <c r="H2114" s="2">
        <v>1</v>
      </c>
      <c r="I2114" s="2">
        <v>3</v>
      </c>
      <c r="J2114" s="2">
        <v>1.9</v>
      </c>
      <c r="K2114" s="2" t="s">
        <v>1268</v>
      </c>
      <c r="L2114" s="2" t="str">
        <f t="shared" ref="L2114:L2177" si="198">IF(C2114&gt;0,"Profitable","Loss Making")</f>
        <v>Profitable</v>
      </c>
      <c r="M2114" s="2" t="str">
        <f t="shared" ref="M2114:M2177" si="199">IF(C2114&gt;500000000,"High Volatility","Stable Earnings")</f>
        <v>Stable Earnings</v>
      </c>
      <c r="N2114" s="2" t="str">
        <f t="shared" ref="N2114:N2177" si="200">IF(G2114&gt;=7,"High Quality",IF(G2114&gt;=4,"Moderate","Low Quality"))</f>
        <v>Low Quality</v>
      </c>
      <c r="O2114" s="4" t="str">
        <f t="shared" ref="O2114:O2177" si="201">IF(AND(F2114&gt;0,D2114&gt;0.6),"Operational Growth","Accounting Risk")</f>
        <v>Operational Growth</v>
      </c>
      <c r="P2114" s="4" t="str">
        <f t="shared" ref="P2114:P2177" si="202">IF(G2114&gt;=7,"High Quality", IF(G2114&gt;=4,"Moderate","Low Quality"))</f>
        <v>Low Quality</v>
      </c>
      <c r="Q2114" s="4" t="str">
        <f t="shared" ref="Q2114:Q2177" si="203">IF(I2114&gt;=4,"Strong Long-Term Growth",IF(I2114&gt;=2,"Moderate Growth","Weak Growth"))</f>
        <v>Moderate Growth</v>
      </c>
    </row>
    <row r="2115" spans="1:17" x14ac:dyDescent="0.35">
      <c r="A2115" s="2" t="s">
        <v>2126</v>
      </c>
      <c r="B2115" s="2">
        <v>5</v>
      </c>
      <c r="C2115" s="2">
        <v>8404161.5800000001</v>
      </c>
      <c r="D2115" s="2">
        <v>0.8</v>
      </c>
      <c r="E2115" s="2">
        <v>8200176.4979999997</v>
      </c>
      <c r="F2115" s="2">
        <v>14782800</v>
      </c>
      <c r="G2115" s="2">
        <v>2</v>
      </c>
      <c r="H2115" s="2">
        <v>1</v>
      </c>
      <c r="I2115" s="2">
        <v>3</v>
      </c>
      <c r="J2115" s="2">
        <v>1.9</v>
      </c>
      <c r="K2115" s="2" t="s">
        <v>1268</v>
      </c>
      <c r="L2115" s="2" t="str">
        <f t="shared" si="198"/>
        <v>Profitable</v>
      </c>
      <c r="M2115" s="2" t="str">
        <f t="shared" si="199"/>
        <v>Stable Earnings</v>
      </c>
      <c r="N2115" s="2" t="str">
        <f t="shared" si="200"/>
        <v>Low Quality</v>
      </c>
      <c r="O2115" s="4" t="str">
        <f t="shared" si="201"/>
        <v>Operational Growth</v>
      </c>
      <c r="P2115" s="4" t="str">
        <f t="shared" si="202"/>
        <v>Low Quality</v>
      </c>
      <c r="Q2115" s="4" t="str">
        <f t="shared" si="203"/>
        <v>Moderate Growth</v>
      </c>
    </row>
    <row r="2116" spans="1:17" x14ac:dyDescent="0.35">
      <c r="A2116" s="2" t="s">
        <v>2127</v>
      </c>
      <c r="B2116" s="2">
        <v>5</v>
      </c>
      <c r="C2116" s="2">
        <v>19073874.920000002</v>
      </c>
      <c r="D2116" s="2">
        <v>1</v>
      </c>
      <c r="E2116" s="2">
        <v>5672607.9780000001</v>
      </c>
      <c r="F2116" s="2">
        <v>14562958.5</v>
      </c>
      <c r="G2116" s="2">
        <v>2</v>
      </c>
      <c r="H2116" s="2">
        <v>1</v>
      </c>
      <c r="I2116" s="2">
        <v>3</v>
      </c>
      <c r="J2116" s="2">
        <v>1.9</v>
      </c>
      <c r="K2116" s="2" t="s">
        <v>1268</v>
      </c>
      <c r="L2116" s="2" t="str">
        <f t="shared" si="198"/>
        <v>Profitable</v>
      </c>
      <c r="M2116" s="2" t="str">
        <f t="shared" si="199"/>
        <v>Stable Earnings</v>
      </c>
      <c r="N2116" s="2" t="str">
        <f t="shared" si="200"/>
        <v>Low Quality</v>
      </c>
      <c r="O2116" s="4" t="str">
        <f t="shared" si="201"/>
        <v>Operational Growth</v>
      </c>
      <c r="P2116" s="4" t="str">
        <f t="shared" si="202"/>
        <v>Low Quality</v>
      </c>
      <c r="Q2116" s="4" t="str">
        <f t="shared" si="203"/>
        <v>Moderate Growth</v>
      </c>
    </row>
    <row r="2117" spans="1:17" x14ac:dyDescent="0.35">
      <c r="A2117" s="2" t="s">
        <v>2128</v>
      </c>
      <c r="B2117" s="2">
        <v>5</v>
      </c>
      <c r="C2117" s="2">
        <v>16471093.939999999</v>
      </c>
      <c r="D2117" s="2">
        <v>1</v>
      </c>
      <c r="E2117" s="2">
        <v>6986321.5800000001</v>
      </c>
      <c r="F2117" s="2">
        <v>13856720.4</v>
      </c>
      <c r="G2117" s="2">
        <v>2</v>
      </c>
      <c r="H2117" s="2">
        <v>1</v>
      </c>
      <c r="I2117" s="2">
        <v>3</v>
      </c>
      <c r="J2117" s="2">
        <v>1.9</v>
      </c>
      <c r="K2117" s="2" t="s">
        <v>1268</v>
      </c>
      <c r="L2117" s="2" t="str">
        <f t="shared" si="198"/>
        <v>Profitable</v>
      </c>
      <c r="M2117" s="2" t="str">
        <f t="shared" si="199"/>
        <v>Stable Earnings</v>
      </c>
      <c r="N2117" s="2" t="str">
        <f t="shared" si="200"/>
        <v>Low Quality</v>
      </c>
      <c r="O2117" s="4" t="str">
        <f t="shared" si="201"/>
        <v>Operational Growth</v>
      </c>
      <c r="P2117" s="4" t="str">
        <f t="shared" si="202"/>
        <v>Low Quality</v>
      </c>
      <c r="Q2117" s="4" t="str">
        <f t="shared" si="203"/>
        <v>Moderate Growth</v>
      </c>
    </row>
    <row r="2118" spans="1:17" x14ac:dyDescent="0.35">
      <c r="A2118" s="2" t="s">
        <v>2129</v>
      </c>
      <c r="B2118" s="2">
        <v>5</v>
      </c>
      <c r="C2118" s="2">
        <v>72876211.519999996</v>
      </c>
      <c r="D2118" s="2">
        <v>1</v>
      </c>
      <c r="E2118" s="2">
        <v>6864618.6109999996</v>
      </c>
      <c r="F2118" s="2">
        <v>16521530.1</v>
      </c>
      <c r="G2118" s="2">
        <v>2</v>
      </c>
      <c r="H2118" s="2">
        <v>1</v>
      </c>
      <c r="I2118" s="2">
        <v>3</v>
      </c>
      <c r="J2118" s="2">
        <v>1.9</v>
      </c>
      <c r="K2118" s="2" t="s">
        <v>1268</v>
      </c>
      <c r="L2118" s="2" t="str">
        <f t="shared" si="198"/>
        <v>Profitable</v>
      </c>
      <c r="M2118" s="2" t="str">
        <f t="shared" si="199"/>
        <v>Stable Earnings</v>
      </c>
      <c r="N2118" s="2" t="str">
        <f t="shared" si="200"/>
        <v>Low Quality</v>
      </c>
      <c r="O2118" s="4" t="str">
        <f t="shared" si="201"/>
        <v>Operational Growth</v>
      </c>
      <c r="P2118" s="4" t="str">
        <f t="shared" si="202"/>
        <v>Low Quality</v>
      </c>
      <c r="Q2118" s="4" t="str">
        <f t="shared" si="203"/>
        <v>Moderate Growth</v>
      </c>
    </row>
    <row r="2119" spans="1:17" x14ac:dyDescent="0.35">
      <c r="A2119" s="2" t="s">
        <v>2130</v>
      </c>
      <c r="B2119" s="2">
        <v>5</v>
      </c>
      <c r="C2119" s="2">
        <v>11628750.199999999</v>
      </c>
      <c r="D2119" s="2">
        <v>1</v>
      </c>
      <c r="E2119" s="2">
        <v>8125536.477</v>
      </c>
      <c r="F2119" s="2">
        <v>15398318.699999999</v>
      </c>
      <c r="G2119" s="2">
        <v>2</v>
      </c>
      <c r="H2119" s="2">
        <v>1</v>
      </c>
      <c r="I2119" s="2">
        <v>3</v>
      </c>
      <c r="J2119" s="2">
        <v>1.9</v>
      </c>
      <c r="K2119" s="2" t="s">
        <v>1268</v>
      </c>
      <c r="L2119" s="2" t="str">
        <f t="shared" si="198"/>
        <v>Profitable</v>
      </c>
      <c r="M2119" s="2" t="str">
        <f t="shared" si="199"/>
        <v>Stable Earnings</v>
      </c>
      <c r="N2119" s="2" t="str">
        <f t="shared" si="200"/>
        <v>Low Quality</v>
      </c>
      <c r="O2119" s="4" t="str">
        <f t="shared" si="201"/>
        <v>Operational Growth</v>
      </c>
      <c r="P2119" s="4" t="str">
        <f t="shared" si="202"/>
        <v>Low Quality</v>
      </c>
      <c r="Q2119" s="4" t="str">
        <f t="shared" si="203"/>
        <v>Moderate Growth</v>
      </c>
    </row>
    <row r="2120" spans="1:17" x14ac:dyDescent="0.35">
      <c r="A2120" s="2" t="s">
        <v>2131</v>
      </c>
      <c r="B2120" s="2">
        <v>5</v>
      </c>
      <c r="C2120" s="2">
        <v>2894171.16</v>
      </c>
      <c r="D2120" s="2">
        <v>0.8</v>
      </c>
      <c r="E2120" s="2">
        <v>3400534.361</v>
      </c>
      <c r="F2120" s="2">
        <v>8813011.3000000007</v>
      </c>
      <c r="G2120" s="2">
        <v>2</v>
      </c>
      <c r="H2120" s="2">
        <v>1</v>
      </c>
      <c r="I2120" s="2">
        <v>3</v>
      </c>
      <c r="J2120" s="2">
        <v>1.9</v>
      </c>
      <c r="K2120" s="2" t="s">
        <v>1268</v>
      </c>
      <c r="L2120" s="2" t="str">
        <f t="shared" si="198"/>
        <v>Profitable</v>
      </c>
      <c r="M2120" s="2" t="str">
        <f t="shared" si="199"/>
        <v>Stable Earnings</v>
      </c>
      <c r="N2120" s="2" t="str">
        <f t="shared" si="200"/>
        <v>Low Quality</v>
      </c>
      <c r="O2120" s="4" t="str">
        <f t="shared" si="201"/>
        <v>Operational Growth</v>
      </c>
      <c r="P2120" s="4" t="str">
        <f t="shared" si="202"/>
        <v>Low Quality</v>
      </c>
      <c r="Q2120" s="4" t="str">
        <f t="shared" si="203"/>
        <v>Moderate Growth</v>
      </c>
    </row>
    <row r="2121" spans="1:17" x14ac:dyDescent="0.35">
      <c r="A2121" s="2" t="s">
        <v>2132</v>
      </c>
      <c r="B2121" s="2">
        <v>5</v>
      </c>
      <c r="C2121" s="2">
        <v>35670861.020000003</v>
      </c>
      <c r="D2121" s="2">
        <v>1</v>
      </c>
      <c r="E2121" s="2">
        <v>4675894.0190000003</v>
      </c>
      <c r="F2121" s="2">
        <v>8490631.4000000004</v>
      </c>
      <c r="G2121" s="2">
        <v>2</v>
      </c>
      <c r="H2121" s="2">
        <v>1</v>
      </c>
      <c r="I2121" s="2">
        <v>3</v>
      </c>
      <c r="J2121" s="2">
        <v>1.9</v>
      </c>
      <c r="K2121" s="2" t="s">
        <v>1268</v>
      </c>
      <c r="L2121" s="2" t="str">
        <f t="shared" si="198"/>
        <v>Profitable</v>
      </c>
      <c r="M2121" s="2" t="str">
        <f t="shared" si="199"/>
        <v>Stable Earnings</v>
      </c>
      <c r="N2121" s="2" t="str">
        <f t="shared" si="200"/>
        <v>Low Quality</v>
      </c>
      <c r="O2121" s="4" t="str">
        <f t="shared" si="201"/>
        <v>Operational Growth</v>
      </c>
      <c r="P2121" s="4" t="str">
        <f t="shared" si="202"/>
        <v>Low Quality</v>
      </c>
      <c r="Q2121" s="4" t="str">
        <f t="shared" si="203"/>
        <v>Moderate Growth</v>
      </c>
    </row>
    <row r="2122" spans="1:17" x14ac:dyDescent="0.35">
      <c r="A2122" s="2" t="s">
        <v>2133</v>
      </c>
      <c r="B2122" s="2">
        <v>5</v>
      </c>
      <c r="C2122" s="2">
        <v>3099776.08</v>
      </c>
      <c r="D2122" s="2">
        <v>0.8</v>
      </c>
      <c r="E2122" s="2">
        <v>4959217.6390000004</v>
      </c>
      <c r="F2122" s="2">
        <v>8476414.1999999993</v>
      </c>
      <c r="G2122" s="2">
        <v>2</v>
      </c>
      <c r="H2122" s="2">
        <v>1</v>
      </c>
      <c r="I2122" s="2">
        <v>3</v>
      </c>
      <c r="J2122" s="2">
        <v>1.9</v>
      </c>
      <c r="K2122" s="2" t="s">
        <v>1268</v>
      </c>
      <c r="L2122" s="2" t="str">
        <f t="shared" si="198"/>
        <v>Profitable</v>
      </c>
      <c r="M2122" s="2" t="str">
        <f t="shared" si="199"/>
        <v>Stable Earnings</v>
      </c>
      <c r="N2122" s="2" t="str">
        <f t="shared" si="200"/>
        <v>Low Quality</v>
      </c>
      <c r="O2122" s="4" t="str">
        <f t="shared" si="201"/>
        <v>Operational Growth</v>
      </c>
      <c r="P2122" s="4" t="str">
        <f t="shared" si="202"/>
        <v>Low Quality</v>
      </c>
      <c r="Q2122" s="4" t="str">
        <f t="shared" si="203"/>
        <v>Moderate Growth</v>
      </c>
    </row>
    <row r="2123" spans="1:17" x14ac:dyDescent="0.35">
      <c r="A2123" s="2" t="s">
        <v>2134</v>
      </c>
      <c r="B2123" s="2">
        <v>5</v>
      </c>
      <c r="C2123" s="2">
        <v>2027298.7</v>
      </c>
      <c r="D2123" s="2">
        <v>0.8</v>
      </c>
      <c r="E2123" s="2">
        <v>9835380.3110000007</v>
      </c>
      <c r="F2123" s="2">
        <v>8623313.5</v>
      </c>
      <c r="G2123" s="2">
        <v>2</v>
      </c>
      <c r="H2123" s="2">
        <v>1</v>
      </c>
      <c r="I2123" s="2">
        <v>3</v>
      </c>
      <c r="J2123" s="2">
        <v>1.9</v>
      </c>
      <c r="K2123" s="2" t="s">
        <v>1268</v>
      </c>
      <c r="L2123" s="2" t="str">
        <f t="shared" si="198"/>
        <v>Profitable</v>
      </c>
      <c r="M2123" s="2" t="str">
        <f t="shared" si="199"/>
        <v>Stable Earnings</v>
      </c>
      <c r="N2123" s="2" t="str">
        <f t="shared" si="200"/>
        <v>Low Quality</v>
      </c>
      <c r="O2123" s="4" t="str">
        <f t="shared" si="201"/>
        <v>Operational Growth</v>
      </c>
      <c r="P2123" s="4" t="str">
        <f t="shared" si="202"/>
        <v>Low Quality</v>
      </c>
      <c r="Q2123" s="4" t="str">
        <f t="shared" si="203"/>
        <v>Moderate Growth</v>
      </c>
    </row>
    <row r="2124" spans="1:17" x14ac:dyDescent="0.35">
      <c r="A2124" s="2" t="s">
        <v>2135</v>
      </c>
      <c r="B2124" s="2">
        <v>5</v>
      </c>
      <c r="C2124" s="2">
        <v>63364312.399999999</v>
      </c>
      <c r="D2124" s="2">
        <v>1</v>
      </c>
      <c r="E2124" s="2">
        <v>6169121.6059999997</v>
      </c>
      <c r="F2124" s="2">
        <v>9244037.6999999993</v>
      </c>
      <c r="G2124" s="2">
        <v>2</v>
      </c>
      <c r="H2124" s="2">
        <v>1</v>
      </c>
      <c r="I2124" s="2">
        <v>3</v>
      </c>
      <c r="J2124" s="2">
        <v>1.9</v>
      </c>
      <c r="K2124" s="2" t="s">
        <v>1268</v>
      </c>
      <c r="L2124" s="2" t="str">
        <f t="shared" si="198"/>
        <v>Profitable</v>
      </c>
      <c r="M2124" s="2" t="str">
        <f t="shared" si="199"/>
        <v>Stable Earnings</v>
      </c>
      <c r="N2124" s="2" t="str">
        <f t="shared" si="200"/>
        <v>Low Quality</v>
      </c>
      <c r="O2124" s="4" t="str">
        <f t="shared" si="201"/>
        <v>Operational Growth</v>
      </c>
      <c r="P2124" s="4" t="str">
        <f t="shared" si="202"/>
        <v>Low Quality</v>
      </c>
      <c r="Q2124" s="4" t="str">
        <f t="shared" si="203"/>
        <v>Moderate Growth</v>
      </c>
    </row>
    <row r="2125" spans="1:17" x14ac:dyDescent="0.35">
      <c r="A2125" s="2" t="s">
        <v>2136</v>
      </c>
      <c r="B2125" s="2">
        <v>5</v>
      </c>
      <c r="C2125" s="2">
        <v>25135836.18</v>
      </c>
      <c r="D2125" s="2">
        <v>1</v>
      </c>
      <c r="E2125" s="2">
        <v>10734358.189999999</v>
      </c>
      <c r="F2125" s="2">
        <v>10167966.800000001</v>
      </c>
      <c r="G2125" s="2">
        <v>2</v>
      </c>
      <c r="H2125" s="2">
        <v>1</v>
      </c>
      <c r="I2125" s="2">
        <v>3</v>
      </c>
      <c r="J2125" s="2">
        <v>1.9</v>
      </c>
      <c r="K2125" s="2" t="s">
        <v>1268</v>
      </c>
      <c r="L2125" s="2" t="str">
        <f t="shared" si="198"/>
        <v>Profitable</v>
      </c>
      <c r="M2125" s="2" t="str">
        <f t="shared" si="199"/>
        <v>Stable Earnings</v>
      </c>
      <c r="N2125" s="2" t="str">
        <f t="shared" si="200"/>
        <v>Low Quality</v>
      </c>
      <c r="O2125" s="4" t="str">
        <f t="shared" si="201"/>
        <v>Operational Growth</v>
      </c>
      <c r="P2125" s="4" t="str">
        <f t="shared" si="202"/>
        <v>Low Quality</v>
      </c>
      <c r="Q2125" s="4" t="str">
        <f t="shared" si="203"/>
        <v>Moderate Growth</v>
      </c>
    </row>
    <row r="2126" spans="1:17" x14ac:dyDescent="0.35">
      <c r="A2126" s="2" t="s">
        <v>2137</v>
      </c>
      <c r="B2126" s="2">
        <v>5</v>
      </c>
      <c r="C2126" s="2">
        <v>10596773.300000001</v>
      </c>
      <c r="D2126" s="2">
        <v>0.8</v>
      </c>
      <c r="E2126" s="2">
        <v>12061513.32</v>
      </c>
      <c r="F2126" s="2">
        <v>20364557.100000001</v>
      </c>
      <c r="G2126" s="2">
        <v>2</v>
      </c>
      <c r="H2126" s="2">
        <v>1</v>
      </c>
      <c r="I2126" s="2">
        <v>3</v>
      </c>
      <c r="J2126" s="2">
        <v>1.9</v>
      </c>
      <c r="K2126" s="2" t="s">
        <v>1268</v>
      </c>
      <c r="L2126" s="2" t="str">
        <f t="shared" si="198"/>
        <v>Profitable</v>
      </c>
      <c r="M2126" s="2" t="str">
        <f t="shared" si="199"/>
        <v>Stable Earnings</v>
      </c>
      <c r="N2126" s="2" t="str">
        <f t="shared" si="200"/>
        <v>Low Quality</v>
      </c>
      <c r="O2126" s="4" t="str">
        <f t="shared" si="201"/>
        <v>Operational Growth</v>
      </c>
      <c r="P2126" s="4" t="str">
        <f t="shared" si="202"/>
        <v>Low Quality</v>
      </c>
      <c r="Q2126" s="4" t="str">
        <f t="shared" si="203"/>
        <v>Moderate Growth</v>
      </c>
    </row>
    <row r="2127" spans="1:17" x14ac:dyDescent="0.35">
      <c r="A2127" s="2" t="s">
        <v>2138</v>
      </c>
      <c r="B2127" s="2">
        <v>5</v>
      </c>
      <c r="C2127" s="2">
        <v>13717525.26</v>
      </c>
      <c r="D2127" s="2">
        <v>1</v>
      </c>
      <c r="E2127" s="2">
        <v>12128503.08</v>
      </c>
      <c r="F2127" s="2">
        <v>20005063.199999999</v>
      </c>
      <c r="G2127" s="2">
        <v>2</v>
      </c>
      <c r="H2127" s="2">
        <v>1</v>
      </c>
      <c r="I2127" s="2">
        <v>3</v>
      </c>
      <c r="J2127" s="2">
        <v>1.9</v>
      </c>
      <c r="K2127" s="2" t="s">
        <v>1268</v>
      </c>
      <c r="L2127" s="2" t="str">
        <f t="shared" si="198"/>
        <v>Profitable</v>
      </c>
      <c r="M2127" s="2" t="str">
        <f t="shared" si="199"/>
        <v>Stable Earnings</v>
      </c>
      <c r="N2127" s="2" t="str">
        <f t="shared" si="200"/>
        <v>Low Quality</v>
      </c>
      <c r="O2127" s="4" t="str">
        <f t="shared" si="201"/>
        <v>Operational Growth</v>
      </c>
      <c r="P2127" s="4" t="str">
        <f t="shared" si="202"/>
        <v>Low Quality</v>
      </c>
      <c r="Q2127" s="4" t="str">
        <f t="shared" si="203"/>
        <v>Moderate Growth</v>
      </c>
    </row>
    <row r="2128" spans="1:17" x14ac:dyDescent="0.35">
      <c r="A2128" s="2" t="s">
        <v>2139</v>
      </c>
      <c r="B2128" s="2">
        <v>5</v>
      </c>
      <c r="C2128" s="2">
        <v>36900726.740000002</v>
      </c>
      <c r="D2128" s="2">
        <v>1</v>
      </c>
      <c r="E2128" s="2">
        <v>13790508.359999999</v>
      </c>
      <c r="F2128" s="2">
        <v>21854202.199999999</v>
      </c>
      <c r="G2128" s="2">
        <v>2</v>
      </c>
      <c r="H2128" s="2">
        <v>1</v>
      </c>
      <c r="I2128" s="2">
        <v>3</v>
      </c>
      <c r="J2128" s="2">
        <v>1.9</v>
      </c>
      <c r="K2128" s="2" t="s">
        <v>1268</v>
      </c>
      <c r="L2128" s="2" t="str">
        <f t="shared" si="198"/>
        <v>Profitable</v>
      </c>
      <c r="M2128" s="2" t="str">
        <f t="shared" si="199"/>
        <v>Stable Earnings</v>
      </c>
      <c r="N2128" s="2" t="str">
        <f t="shared" si="200"/>
        <v>Low Quality</v>
      </c>
      <c r="O2128" s="4" t="str">
        <f t="shared" si="201"/>
        <v>Operational Growth</v>
      </c>
      <c r="P2128" s="4" t="str">
        <f t="shared" si="202"/>
        <v>Low Quality</v>
      </c>
      <c r="Q2128" s="4" t="str">
        <f t="shared" si="203"/>
        <v>Moderate Growth</v>
      </c>
    </row>
    <row r="2129" spans="1:17" x14ac:dyDescent="0.35">
      <c r="A2129" s="2" t="s">
        <v>2140</v>
      </c>
      <c r="B2129" s="2">
        <v>5</v>
      </c>
      <c r="C2129" s="2">
        <v>7546058.0800000001</v>
      </c>
      <c r="D2129" s="2">
        <v>0.8</v>
      </c>
      <c r="E2129" s="2">
        <v>12782165.48</v>
      </c>
      <c r="F2129" s="2">
        <v>21472757.399999999</v>
      </c>
      <c r="G2129" s="2">
        <v>2</v>
      </c>
      <c r="H2129" s="2">
        <v>1</v>
      </c>
      <c r="I2129" s="2">
        <v>3</v>
      </c>
      <c r="J2129" s="2">
        <v>1.9</v>
      </c>
      <c r="K2129" s="2" t="s">
        <v>1268</v>
      </c>
      <c r="L2129" s="2" t="str">
        <f t="shared" si="198"/>
        <v>Profitable</v>
      </c>
      <c r="M2129" s="2" t="str">
        <f t="shared" si="199"/>
        <v>Stable Earnings</v>
      </c>
      <c r="N2129" s="2" t="str">
        <f t="shared" si="200"/>
        <v>Low Quality</v>
      </c>
      <c r="O2129" s="4" t="str">
        <f t="shared" si="201"/>
        <v>Operational Growth</v>
      </c>
      <c r="P2129" s="4" t="str">
        <f t="shared" si="202"/>
        <v>Low Quality</v>
      </c>
      <c r="Q2129" s="4" t="str">
        <f t="shared" si="203"/>
        <v>Moderate Growth</v>
      </c>
    </row>
    <row r="2130" spans="1:17" x14ac:dyDescent="0.35">
      <c r="A2130" s="2" t="s">
        <v>2141</v>
      </c>
      <c r="B2130" s="2">
        <v>5</v>
      </c>
      <c r="C2130" s="2">
        <v>40472502.719999999</v>
      </c>
      <c r="D2130" s="2">
        <v>1</v>
      </c>
      <c r="E2130" s="2">
        <v>14670801.84</v>
      </c>
      <c r="F2130" s="2">
        <v>25674880.399999999</v>
      </c>
      <c r="G2130" s="2">
        <v>2</v>
      </c>
      <c r="H2130" s="2">
        <v>1</v>
      </c>
      <c r="I2130" s="2">
        <v>3</v>
      </c>
      <c r="J2130" s="2">
        <v>1.9</v>
      </c>
      <c r="K2130" s="2" t="s">
        <v>1268</v>
      </c>
      <c r="L2130" s="2" t="str">
        <f t="shared" si="198"/>
        <v>Profitable</v>
      </c>
      <c r="M2130" s="2" t="str">
        <f t="shared" si="199"/>
        <v>Stable Earnings</v>
      </c>
      <c r="N2130" s="2" t="str">
        <f t="shared" si="200"/>
        <v>Low Quality</v>
      </c>
      <c r="O2130" s="4" t="str">
        <f t="shared" si="201"/>
        <v>Operational Growth</v>
      </c>
      <c r="P2130" s="4" t="str">
        <f t="shared" si="202"/>
        <v>Low Quality</v>
      </c>
      <c r="Q2130" s="4" t="str">
        <f t="shared" si="203"/>
        <v>Moderate Growth</v>
      </c>
    </row>
    <row r="2131" spans="1:17" x14ac:dyDescent="0.35">
      <c r="A2131" s="2" t="s">
        <v>2142</v>
      </c>
      <c r="B2131" s="2">
        <v>5</v>
      </c>
      <c r="C2131" s="2">
        <v>28054622.16</v>
      </c>
      <c r="D2131" s="2">
        <v>1</v>
      </c>
      <c r="E2131" s="2">
        <v>12400134.800000001</v>
      </c>
      <c r="F2131" s="2">
        <v>24560488.899999999</v>
      </c>
      <c r="G2131" s="2">
        <v>2</v>
      </c>
      <c r="H2131" s="2">
        <v>1</v>
      </c>
      <c r="I2131" s="2">
        <v>3</v>
      </c>
      <c r="J2131" s="2">
        <v>1.9</v>
      </c>
      <c r="K2131" s="2" t="s">
        <v>1268</v>
      </c>
      <c r="L2131" s="2" t="str">
        <f t="shared" si="198"/>
        <v>Profitable</v>
      </c>
      <c r="M2131" s="2" t="str">
        <f t="shared" si="199"/>
        <v>Stable Earnings</v>
      </c>
      <c r="N2131" s="2" t="str">
        <f t="shared" si="200"/>
        <v>Low Quality</v>
      </c>
      <c r="O2131" s="4" t="str">
        <f t="shared" si="201"/>
        <v>Operational Growth</v>
      </c>
      <c r="P2131" s="4" t="str">
        <f t="shared" si="202"/>
        <v>Low Quality</v>
      </c>
      <c r="Q2131" s="4" t="str">
        <f t="shared" si="203"/>
        <v>Moderate Growth</v>
      </c>
    </row>
    <row r="2132" spans="1:17" x14ac:dyDescent="0.35">
      <c r="A2132" s="2" t="s">
        <v>2143</v>
      </c>
      <c r="B2132" s="2">
        <v>5</v>
      </c>
      <c r="C2132" s="2">
        <v>287345975.10000002</v>
      </c>
      <c r="D2132" s="2">
        <v>1</v>
      </c>
      <c r="E2132" s="2">
        <v>159589773</v>
      </c>
      <c r="F2132" s="2">
        <v>211959114.09999999</v>
      </c>
      <c r="G2132" s="2">
        <v>1</v>
      </c>
      <c r="H2132" s="2">
        <v>4</v>
      </c>
      <c r="I2132" s="2">
        <v>1</v>
      </c>
      <c r="J2132" s="2">
        <v>1.9</v>
      </c>
      <c r="K2132" s="2" t="s">
        <v>1268</v>
      </c>
      <c r="L2132" s="2" t="str">
        <f t="shared" si="198"/>
        <v>Profitable</v>
      </c>
      <c r="M2132" s="2" t="str">
        <f t="shared" si="199"/>
        <v>Stable Earnings</v>
      </c>
      <c r="N2132" s="2" t="str">
        <f t="shared" si="200"/>
        <v>Low Quality</v>
      </c>
      <c r="O2132" s="4" t="str">
        <f t="shared" si="201"/>
        <v>Operational Growth</v>
      </c>
      <c r="P2132" s="4" t="str">
        <f t="shared" si="202"/>
        <v>Low Quality</v>
      </c>
      <c r="Q2132" s="4" t="str">
        <f t="shared" si="203"/>
        <v>Weak Growth</v>
      </c>
    </row>
    <row r="2133" spans="1:17" x14ac:dyDescent="0.35">
      <c r="A2133" s="2" t="s">
        <v>2144</v>
      </c>
      <c r="B2133" s="2">
        <v>5</v>
      </c>
      <c r="C2133" s="2">
        <v>394508160</v>
      </c>
      <c r="D2133" s="2">
        <v>1</v>
      </c>
      <c r="E2133" s="2">
        <v>185988694.80000001</v>
      </c>
      <c r="F2133" s="2">
        <v>209736227.30000001</v>
      </c>
      <c r="G2133" s="2">
        <v>1</v>
      </c>
      <c r="H2133" s="2">
        <v>4</v>
      </c>
      <c r="I2133" s="2">
        <v>1</v>
      </c>
      <c r="J2133" s="2">
        <v>1.9</v>
      </c>
      <c r="K2133" s="2" t="s">
        <v>1268</v>
      </c>
      <c r="L2133" s="2" t="str">
        <f t="shared" si="198"/>
        <v>Profitable</v>
      </c>
      <c r="M2133" s="2" t="str">
        <f t="shared" si="199"/>
        <v>Stable Earnings</v>
      </c>
      <c r="N2133" s="2" t="str">
        <f t="shared" si="200"/>
        <v>Low Quality</v>
      </c>
      <c r="O2133" s="4" t="str">
        <f t="shared" si="201"/>
        <v>Operational Growth</v>
      </c>
      <c r="P2133" s="4" t="str">
        <f t="shared" si="202"/>
        <v>Low Quality</v>
      </c>
      <c r="Q2133" s="4" t="str">
        <f t="shared" si="203"/>
        <v>Weak Growth</v>
      </c>
    </row>
    <row r="2134" spans="1:17" x14ac:dyDescent="0.35">
      <c r="A2134" s="2" t="s">
        <v>2145</v>
      </c>
      <c r="B2134" s="2">
        <v>5</v>
      </c>
      <c r="C2134" s="2">
        <v>391609625.80000001</v>
      </c>
      <c r="D2134" s="2">
        <v>1</v>
      </c>
      <c r="E2134" s="2">
        <v>164844605.80000001</v>
      </c>
      <c r="F2134" s="2">
        <v>207033504.80000001</v>
      </c>
      <c r="G2134" s="2">
        <v>1</v>
      </c>
      <c r="H2134" s="2">
        <v>4</v>
      </c>
      <c r="I2134" s="2">
        <v>1</v>
      </c>
      <c r="J2134" s="2">
        <v>1.9</v>
      </c>
      <c r="K2134" s="2" t="s">
        <v>1268</v>
      </c>
      <c r="L2134" s="2" t="str">
        <f t="shared" si="198"/>
        <v>Profitable</v>
      </c>
      <c r="M2134" s="2" t="str">
        <f t="shared" si="199"/>
        <v>Stable Earnings</v>
      </c>
      <c r="N2134" s="2" t="str">
        <f t="shared" si="200"/>
        <v>Low Quality</v>
      </c>
      <c r="O2134" s="4" t="str">
        <f t="shared" si="201"/>
        <v>Operational Growth</v>
      </c>
      <c r="P2134" s="4" t="str">
        <f t="shared" si="202"/>
        <v>Low Quality</v>
      </c>
      <c r="Q2134" s="4" t="str">
        <f t="shared" si="203"/>
        <v>Weak Growth</v>
      </c>
    </row>
    <row r="2135" spans="1:17" x14ac:dyDescent="0.35">
      <c r="A2135" s="2" t="s">
        <v>2146</v>
      </c>
      <c r="B2135" s="2">
        <v>5</v>
      </c>
      <c r="C2135" s="2">
        <v>684584342.89999998</v>
      </c>
      <c r="D2135" s="2">
        <v>1</v>
      </c>
      <c r="E2135" s="2">
        <v>184525956.69999999</v>
      </c>
      <c r="F2135" s="2">
        <v>203349266.90000001</v>
      </c>
      <c r="G2135" s="2">
        <v>1</v>
      </c>
      <c r="H2135" s="2">
        <v>4</v>
      </c>
      <c r="I2135" s="2">
        <v>1</v>
      </c>
      <c r="J2135" s="2">
        <v>1.9</v>
      </c>
      <c r="K2135" s="2" t="s">
        <v>1268</v>
      </c>
      <c r="L2135" s="2" t="str">
        <f t="shared" si="198"/>
        <v>Profitable</v>
      </c>
      <c r="M2135" s="2" t="str">
        <f t="shared" si="199"/>
        <v>High Volatility</v>
      </c>
      <c r="N2135" s="2" t="str">
        <f t="shared" si="200"/>
        <v>Low Quality</v>
      </c>
      <c r="O2135" s="4" t="str">
        <f t="shared" si="201"/>
        <v>Operational Growth</v>
      </c>
      <c r="P2135" s="4" t="str">
        <f t="shared" si="202"/>
        <v>Low Quality</v>
      </c>
      <c r="Q2135" s="4" t="str">
        <f t="shared" si="203"/>
        <v>Weak Growth</v>
      </c>
    </row>
    <row r="2136" spans="1:17" x14ac:dyDescent="0.35">
      <c r="A2136" s="2" t="s">
        <v>2147</v>
      </c>
      <c r="B2136" s="2">
        <v>5</v>
      </c>
      <c r="C2136" s="2">
        <v>287919919.5</v>
      </c>
      <c r="D2136" s="2">
        <v>1</v>
      </c>
      <c r="E2136" s="2">
        <v>145027049.90000001</v>
      </c>
      <c r="F2136" s="2">
        <v>201474194.30000001</v>
      </c>
      <c r="G2136" s="2">
        <v>1</v>
      </c>
      <c r="H2136" s="2">
        <v>4</v>
      </c>
      <c r="I2136" s="2">
        <v>1</v>
      </c>
      <c r="J2136" s="2">
        <v>1.9</v>
      </c>
      <c r="K2136" s="2" t="s">
        <v>1268</v>
      </c>
      <c r="L2136" s="2" t="str">
        <f t="shared" si="198"/>
        <v>Profitable</v>
      </c>
      <c r="M2136" s="2" t="str">
        <f t="shared" si="199"/>
        <v>Stable Earnings</v>
      </c>
      <c r="N2136" s="2" t="str">
        <f t="shared" si="200"/>
        <v>Low Quality</v>
      </c>
      <c r="O2136" s="4" t="str">
        <f t="shared" si="201"/>
        <v>Operational Growth</v>
      </c>
      <c r="P2136" s="4" t="str">
        <f t="shared" si="202"/>
        <v>Low Quality</v>
      </c>
      <c r="Q2136" s="4" t="str">
        <f t="shared" si="203"/>
        <v>Weak Growth</v>
      </c>
    </row>
    <row r="2137" spans="1:17" x14ac:dyDescent="0.35">
      <c r="A2137" s="2" t="s">
        <v>2148</v>
      </c>
      <c r="B2137" s="2">
        <v>5</v>
      </c>
      <c r="C2137" s="2">
        <v>1194512504</v>
      </c>
      <c r="D2137" s="2">
        <v>1</v>
      </c>
      <c r="E2137" s="2">
        <v>196081207.69999999</v>
      </c>
      <c r="F2137" s="2">
        <v>220997480</v>
      </c>
      <c r="G2137" s="2">
        <v>1</v>
      </c>
      <c r="H2137" s="2">
        <v>4</v>
      </c>
      <c r="I2137" s="2">
        <v>1</v>
      </c>
      <c r="J2137" s="2">
        <v>1.9</v>
      </c>
      <c r="K2137" s="2" t="s">
        <v>1268</v>
      </c>
      <c r="L2137" s="2" t="str">
        <f t="shared" si="198"/>
        <v>Profitable</v>
      </c>
      <c r="M2137" s="2" t="str">
        <f t="shared" si="199"/>
        <v>High Volatility</v>
      </c>
      <c r="N2137" s="2" t="str">
        <f t="shared" si="200"/>
        <v>Low Quality</v>
      </c>
      <c r="O2137" s="4" t="str">
        <f t="shared" si="201"/>
        <v>Operational Growth</v>
      </c>
      <c r="P2137" s="4" t="str">
        <f t="shared" si="202"/>
        <v>Low Quality</v>
      </c>
      <c r="Q2137" s="4" t="str">
        <f t="shared" si="203"/>
        <v>Weak Growth</v>
      </c>
    </row>
    <row r="2138" spans="1:17" x14ac:dyDescent="0.35">
      <c r="A2138" s="2" t="s">
        <v>2149</v>
      </c>
      <c r="B2138" s="2">
        <v>5</v>
      </c>
      <c r="C2138" s="2">
        <v>451932130.80000001</v>
      </c>
      <c r="D2138" s="2">
        <v>1</v>
      </c>
      <c r="E2138" s="2">
        <v>263822233</v>
      </c>
      <c r="F2138" s="2">
        <v>234543647.90000001</v>
      </c>
      <c r="G2138" s="2">
        <v>1</v>
      </c>
      <c r="H2138" s="2">
        <v>4</v>
      </c>
      <c r="I2138" s="2">
        <v>1</v>
      </c>
      <c r="J2138" s="2">
        <v>1.9</v>
      </c>
      <c r="K2138" s="2" t="s">
        <v>1268</v>
      </c>
      <c r="L2138" s="2" t="str">
        <f t="shared" si="198"/>
        <v>Profitable</v>
      </c>
      <c r="M2138" s="2" t="str">
        <f t="shared" si="199"/>
        <v>Stable Earnings</v>
      </c>
      <c r="N2138" s="2" t="str">
        <f t="shared" si="200"/>
        <v>Low Quality</v>
      </c>
      <c r="O2138" s="4" t="str">
        <f t="shared" si="201"/>
        <v>Operational Growth</v>
      </c>
      <c r="P2138" s="4" t="str">
        <f t="shared" si="202"/>
        <v>Low Quality</v>
      </c>
      <c r="Q2138" s="4" t="str">
        <f t="shared" si="203"/>
        <v>Weak Growth</v>
      </c>
    </row>
    <row r="2139" spans="1:17" x14ac:dyDescent="0.35">
      <c r="A2139" s="2" t="s">
        <v>2150</v>
      </c>
      <c r="B2139" s="2">
        <v>5</v>
      </c>
      <c r="C2139" s="2">
        <v>1107752457</v>
      </c>
      <c r="D2139" s="2">
        <v>1</v>
      </c>
      <c r="E2139" s="2">
        <v>233295482.40000001</v>
      </c>
      <c r="F2139" s="2">
        <v>230968464</v>
      </c>
      <c r="G2139" s="2">
        <v>1</v>
      </c>
      <c r="H2139" s="2">
        <v>4</v>
      </c>
      <c r="I2139" s="2">
        <v>1</v>
      </c>
      <c r="J2139" s="2">
        <v>1.9</v>
      </c>
      <c r="K2139" s="2" t="s">
        <v>1268</v>
      </c>
      <c r="L2139" s="2" t="str">
        <f t="shared" si="198"/>
        <v>Profitable</v>
      </c>
      <c r="M2139" s="2" t="str">
        <f t="shared" si="199"/>
        <v>High Volatility</v>
      </c>
      <c r="N2139" s="2" t="str">
        <f t="shared" si="200"/>
        <v>Low Quality</v>
      </c>
      <c r="O2139" s="4" t="str">
        <f t="shared" si="201"/>
        <v>Operational Growth</v>
      </c>
      <c r="P2139" s="4" t="str">
        <f t="shared" si="202"/>
        <v>Low Quality</v>
      </c>
      <c r="Q2139" s="4" t="str">
        <f t="shared" si="203"/>
        <v>Weak Growth</v>
      </c>
    </row>
    <row r="2140" spans="1:17" x14ac:dyDescent="0.35">
      <c r="A2140" s="2" t="s">
        <v>2151</v>
      </c>
      <c r="B2140" s="2">
        <v>5</v>
      </c>
      <c r="C2140" s="2">
        <v>363261557.80000001</v>
      </c>
      <c r="D2140" s="2">
        <v>1</v>
      </c>
      <c r="E2140" s="2">
        <v>142640992.90000001</v>
      </c>
      <c r="F2140" s="2">
        <v>243976475</v>
      </c>
      <c r="G2140" s="2">
        <v>1</v>
      </c>
      <c r="H2140" s="2">
        <v>4</v>
      </c>
      <c r="I2140" s="2">
        <v>1</v>
      </c>
      <c r="J2140" s="2">
        <v>1.9</v>
      </c>
      <c r="K2140" s="2" t="s">
        <v>1268</v>
      </c>
      <c r="L2140" s="2" t="str">
        <f t="shared" si="198"/>
        <v>Profitable</v>
      </c>
      <c r="M2140" s="2" t="str">
        <f t="shared" si="199"/>
        <v>Stable Earnings</v>
      </c>
      <c r="N2140" s="2" t="str">
        <f t="shared" si="200"/>
        <v>Low Quality</v>
      </c>
      <c r="O2140" s="4" t="str">
        <f t="shared" si="201"/>
        <v>Operational Growth</v>
      </c>
      <c r="P2140" s="4" t="str">
        <f t="shared" si="202"/>
        <v>Low Quality</v>
      </c>
      <c r="Q2140" s="4" t="str">
        <f t="shared" si="203"/>
        <v>Weak Growth</v>
      </c>
    </row>
    <row r="2141" spans="1:17" x14ac:dyDescent="0.35">
      <c r="A2141" s="2" t="s">
        <v>2152</v>
      </c>
      <c r="B2141" s="2">
        <v>5</v>
      </c>
      <c r="C2141" s="2">
        <v>239877854.59999999</v>
      </c>
      <c r="D2141" s="2">
        <v>1</v>
      </c>
      <c r="E2141" s="2">
        <v>135419011.5</v>
      </c>
      <c r="F2141" s="2">
        <v>265490743.90000001</v>
      </c>
      <c r="G2141" s="2">
        <v>1</v>
      </c>
      <c r="H2141" s="2">
        <v>4</v>
      </c>
      <c r="I2141" s="2">
        <v>1</v>
      </c>
      <c r="J2141" s="2">
        <v>1.9</v>
      </c>
      <c r="K2141" s="2" t="s">
        <v>1268</v>
      </c>
      <c r="L2141" s="2" t="str">
        <f t="shared" si="198"/>
        <v>Profitable</v>
      </c>
      <c r="M2141" s="2" t="str">
        <f t="shared" si="199"/>
        <v>Stable Earnings</v>
      </c>
      <c r="N2141" s="2" t="str">
        <f t="shared" si="200"/>
        <v>Low Quality</v>
      </c>
      <c r="O2141" s="4" t="str">
        <f t="shared" si="201"/>
        <v>Operational Growth</v>
      </c>
      <c r="P2141" s="4" t="str">
        <f t="shared" si="202"/>
        <v>Low Quality</v>
      </c>
      <c r="Q2141" s="4" t="str">
        <f t="shared" si="203"/>
        <v>Weak Growth</v>
      </c>
    </row>
    <row r="2142" spans="1:17" x14ac:dyDescent="0.35">
      <c r="A2142" s="2" t="s">
        <v>2153</v>
      </c>
      <c r="B2142" s="2">
        <v>5</v>
      </c>
      <c r="C2142" s="2">
        <v>155245482.80000001</v>
      </c>
      <c r="D2142" s="2">
        <v>1</v>
      </c>
      <c r="E2142" s="2">
        <v>133922030.09999999</v>
      </c>
      <c r="F2142" s="2">
        <v>263769784.09999999</v>
      </c>
      <c r="G2142" s="2">
        <v>1</v>
      </c>
      <c r="H2142" s="2">
        <v>4</v>
      </c>
      <c r="I2142" s="2">
        <v>1</v>
      </c>
      <c r="J2142" s="2">
        <v>1.9</v>
      </c>
      <c r="K2142" s="2" t="s">
        <v>1268</v>
      </c>
      <c r="L2142" s="2" t="str">
        <f t="shared" si="198"/>
        <v>Profitable</v>
      </c>
      <c r="M2142" s="2" t="str">
        <f t="shared" si="199"/>
        <v>Stable Earnings</v>
      </c>
      <c r="N2142" s="2" t="str">
        <f t="shared" si="200"/>
        <v>Low Quality</v>
      </c>
      <c r="O2142" s="4" t="str">
        <f t="shared" si="201"/>
        <v>Operational Growth</v>
      </c>
      <c r="P2142" s="4" t="str">
        <f t="shared" si="202"/>
        <v>Low Quality</v>
      </c>
      <c r="Q2142" s="4" t="str">
        <f t="shared" si="203"/>
        <v>Weak Growth</v>
      </c>
    </row>
    <row r="2143" spans="1:17" x14ac:dyDescent="0.35">
      <c r="A2143" s="2" t="s">
        <v>2154</v>
      </c>
      <c r="B2143" s="2">
        <v>5</v>
      </c>
      <c r="C2143" s="2">
        <v>442638847.39999998</v>
      </c>
      <c r="D2143" s="2">
        <v>1</v>
      </c>
      <c r="E2143" s="2">
        <v>194570755.30000001</v>
      </c>
      <c r="F2143" s="2">
        <v>262989521.09999999</v>
      </c>
      <c r="G2143" s="2">
        <v>1</v>
      </c>
      <c r="H2143" s="2">
        <v>4</v>
      </c>
      <c r="I2143" s="2">
        <v>1</v>
      </c>
      <c r="J2143" s="2">
        <v>1.9</v>
      </c>
      <c r="K2143" s="2" t="s">
        <v>1268</v>
      </c>
      <c r="L2143" s="2" t="str">
        <f t="shared" si="198"/>
        <v>Profitable</v>
      </c>
      <c r="M2143" s="2" t="str">
        <f t="shared" si="199"/>
        <v>Stable Earnings</v>
      </c>
      <c r="N2143" s="2" t="str">
        <f t="shared" si="200"/>
        <v>Low Quality</v>
      </c>
      <c r="O2143" s="4" t="str">
        <f t="shared" si="201"/>
        <v>Operational Growth</v>
      </c>
      <c r="P2143" s="4" t="str">
        <f t="shared" si="202"/>
        <v>Low Quality</v>
      </c>
      <c r="Q2143" s="4" t="str">
        <f t="shared" si="203"/>
        <v>Weak Growth</v>
      </c>
    </row>
    <row r="2144" spans="1:17" x14ac:dyDescent="0.35">
      <c r="A2144" s="2" t="s">
        <v>2155</v>
      </c>
      <c r="B2144" s="2">
        <v>5</v>
      </c>
      <c r="C2144" s="2">
        <v>252844919.5</v>
      </c>
      <c r="D2144" s="2">
        <v>1</v>
      </c>
      <c r="E2144" s="2">
        <v>144643661.5</v>
      </c>
      <c r="F2144" s="2">
        <v>254697311</v>
      </c>
      <c r="G2144" s="2">
        <v>1</v>
      </c>
      <c r="H2144" s="2">
        <v>4</v>
      </c>
      <c r="I2144" s="2">
        <v>1</v>
      </c>
      <c r="J2144" s="2">
        <v>1.9</v>
      </c>
      <c r="K2144" s="2" t="s">
        <v>1268</v>
      </c>
      <c r="L2144" s="2" t="str">
        <f t="shared" si="198"/>
        <v>Profitable</v>
      </c>
      <c r="M2144" s="2" t="str">
        <f t="shared" si="199"/>
        <v>Stable Earnings</v>
      </c>
      <c r="N2144" s="2" t="str">
        <f t="shared" si="200"/>
        <v>Low Quality</v>
      </c>
      <c r="O2144" s="4" t="str">
        <f t="shared" si="201"/>
        <v>Operational Growth</v>
      </c>
      <c r="P2144" s="4" t="str">
        <f t="shared" si="202"/>
        <v>Low Quality</v>
      </c>
      <c r="Q2144" s="4" t="str">
        <f t="shared" si="203"/>
        <v>Weak Growth</v>
      </c>
    </row>
    <row r="2145" spans="1:17" x14ac:dyDescent="0.35">
      <c r="A2145" s="2" t="s">
        <v>2156</v>
      </c>
      <c r="B2145" s="2">
        <v>5</v>
      </c>
      <c r="C2145" s="2">
        <v>2233919815</v>
      </c>
      <c r="D2145" s="2">
        <v>1</v>
      </c>
      <c r="E2145" s="2">
        <v>243807820.69999999</v>
      </c>
      <c r="F2145" s="2">
        <v>267270600</v>
      </c>
      <c r="G2145" s="2">
        <v>1</v>
      </c>
      <c r="H2145" s="2">
        <v>4</v>
      </c>
      <c r="I2145" s="2">
        <v>1</v>
      </c>
      <c r="J2145" s="2">
        <v>1.9</v>
      </c>
      <c r="K2145" s="2" t="s">
        <v>1268</v>
      </c>
      <c r="L2145" s="2" t="str">
        <f t="shared" si="198"/>
        <v>Profitable</v>
      </c>
      <c r="M2145" s="2" t="str">
        <f t="shared" si="199"/>
        <v>High Volatility</v>
      </c>
      <c r="N2145" s="2" t="str">
        <f t="shared" si="200"/>
        <v>Low Quality</v>
      </c>
      <c r="O2145" s="4" t="str">
        <f t="shared" si="201"/>
        <v>Operational Growth</v>
      </c>
      <c r="P2145" s="4" t="str">
        <f t="shared" si="202"/>
        <v>Low Quality</v>
      </c>
      <c r="Q2145" s="4" t="str">
        <f t="shared" si="203"/>
        <v>Weak Growth</v>
      </c>
    </row>
    <row r="2146" spans="1:17" x14ac:dyDescent="0.35">
      <c r="A2146" s="2" t="s">
        <v>2157</v>
      </c>
      <c r="B2146" s="2">
        <v>5</v>
      </c>
      <c r="C2146" s="2">
        <v>343461816.30000001</v>
      </c>
      <c r="D2146" s="2">
        <v>1</v>
      </c>
      <c r="E2146" s="2">
        <v>278927794.60000002</v>
      </c>
      <c r="F2146" s="2">
        <v>276640563.19999999</v>
      </c>
      <c r="G2146" s="2">
        <v>1</v>
      </c>
      <c r="H2146" s="2">
        <v>4</v>
      </c>
      <c r="I2146" s="2">
        <v>1</v>
      </c>
      <c r="J2146" s="2">
        <v>1.9</v>
      </c>
      <c r="K2146" s="2" t="s">
        <v>1268</v>
      </c>
      <c r="L2146" s="2" t="str">
        <f t="shared" si="198"/>
        <v>Profitable</v>
      </c>
      <c r="M2146" s="2" t="str">
        <f t="shared" si="199"/>
        <v>Stable Earnings</v>
      </c>
      <c r="N2146" s="2" t="str">
        <f t="shared" si="200"/>
        <v>Low Quality</v>
      </c>
      <c r="O2146" s="4" t="str">
        <f t="shared" si="201"/>
        <v>Operational Growth</v>
      </c>
      <c r="P2146" s="4" t="str">
        <f t="shared" si="202"/>
        <v>Low Quality</v>
      </c>
      <c r="Q2146" s="4" t="str">
        <f t="shared" si="203"/>
        <v>Weak Growth</v>
      </c>
    </row>
    <row r="2147" spans="1:17" x14ac:dyDescent="0.35">
      <c r="A2147" s="2" t="s">
        <v>2158</v>
      </c>
      <c r="B2147" s="2">
        <v>5</v>
      </c>
      <c r="C2147" s="2">
        <v>165592093.09999999</v>
      </c>
      <c r="D2147" s="2">
        <v>1</v>
      </c>
      <c r="E2147" s="2">
        <v>120447730.59999999</v>
      </c>
      <c r="F2147" s="2">
        <v>278131708.5</v>
      </c>
      <c r="G2147" s="2">
        <v>1</v>
      </c>
      <c r="H2147" s="2">
        <v>4</v>
      </c>
      <c r="I2147" s="2">
        <v>1</v>
      </c>
      <c r="J2147" s="2">
        <v>1.9</v>
      </c>
      <c r="K2147" s="2" t="s">
        <v>1268</v>
      </c>
      <c r="L2147" s="2" t="str">
        <f t="shared" si="198"/>
        <v>Profitable</v>
      </c>
      <c r="M2147" s="2" t="str">
        <f t="shared" si="199"/>
        <v>Stable Earnings</v>
      </c>
      <c r="N2147" s="2" t="str">
        <f t="shared" si="200"/>
        <v>Low Quality</v>
      </c>
      <c r="O2147" s="4" t="str">
        <f t="shared" si="201"/>
        <v>Operational Growth</v>
      </c>
      <c r="P2147" s="4" t="str">
        <f t="shared" si="202"/>
        <v>Low Quality</v>
      </c>
      <c r="Q2147" s="4" t="str">
        <f t="shared" si="203"/>
        <v>Weak Growth</v>
      </c>
    </row>
    <row r="2148" spans="1:17" x14ac:dyDescent="0.35">
      <c r="A2148" s="2" t="s">
        <v>2159</v>
      </c>
      <c r="B2148" s="2">
        <v>5</v>
      </c>
      <c r="C2148" s="2">
        <v>250895588.09999999</v>
      </c>
      <c r="D2148" s="2">
        <v>1</v>
      </c>
      <c r="E2148" s="2">
        <v>129722783.2</v>
      </c>
      <c r="F2148" s="2">
        <v>302755922.80000001</v>
      </c>
      <c r="G2148" s="2">
        <v>1</v>
      </c>
      <c r="H2148" s="2">
        <v>4</v>
      </c>
      <c r="I2148" s="2">
        <v>1</v>
      </c>
      <c r="J2148" s="2">
        <v>1.9</v>
      </c>
      <c r="K2148" s="2" t="s">
        <v>1268</v>
      </c>
      <c r="L2148" s="2" t="str">
        <f t="shared" si="198"/>
        <v>Profitable</v>
      </c>
      <c r="M2148" s="2" t="str">
        <f t="shared" si="199"/>
        <v>Stable Earnings</v>
      </c>
      <c r="N2148" s="2" t="str">
        <f t="shared" si="200"/>
        <v>Low Quality</v>
      </c>
      <c r="O2148" s="4" t="str">
        <f t="shared" si="201"/>
        <v>Operational Growth</v>
      </c>
      <c r="P2148" s="4" t="str">
        <f t="shared" si="202"/>
        <v>Low Quality</v>
      </c>
      <c r="Q2148" s="4" t="str">
        <f t="shared" si="203"/>
        <v>Weak Growth</v>
      </c>
    </row>
    <row r="2149" spans="1:17" x14ac:dyDescent="0.35">
      <c r="A2149" s="2" t="s">
        <v>2160</v>
      </c>
      <c r="B2149" s="2">
        <v>5</v>
      </c>
      <c r="C2149" s="2">
        <v>501413770.69999999</v>
      </c>
      <c r="D2149" s="2">
        <v>1</v>
      </c>
      <c r="E2149" s="2">
        <v>306090582</v>
      </c>
      <c r="F2149" s="2">
        <v>303605993.39999998</v>
      </c>
      <c r="G2149" s="2">
        <v>1</v>
      </c>
      <c r="H2149" s="2">
        <v>4</v>
      </c>
      <c r="I2149" s="2">
        <v>1</v>
      </c>
      <c r="J2149" s="2">
        <v>1.9</v>
      </c>
      <c r="K2149" s="2" t="s">
        <v>1268</v>
      </c>
      <c r="L2149" s="2" t="str">
        <f t="shared" si="198"/>
        <v>Profitable</v>
      </c>
      <c r="M2149" s="2" t="str">
        <f t="shared" si="199"/>
        <v>High Volatility</v>
      </c>
      <c r="N2149" s="2" t="str">
        <f t="shared" si="200"/>
        <v>Low Quality</v>
      </c>
      <c r="O2149" s="4" t="str">
        <f t="shared" si="201"/>
        <v>Operational Growth</v>
      </c>
      <c r="P2149" s="4" t="str">
        <f t="shared" si="202"/>
        <v>Low Quality</v>
      </c>
      <c r="Q2149" s="4" t="str">
        <f t="shared" si="203"/>
        <v>Weak Growth</v>
      </c>
    </row>
    <row r="2150" spans="1:17" x14ac:dyDescent="0.35">
      <c r="A2150" s="2" t="s">
        <v>2161</v>
      </c>
      <c r="B2150" s="2">
        <v>5</v>
      </c>
      <c r="C2150" s="2">
        <v>373180444.10000002</v>
      </c>
      <c r="D2150" s="2">
        <v>1</v>
      </c>
      <c r="E2150" s="2">
        <v>178044380.90000001</v>
      </c>
      <c r="F2150" s="2">
        <v>303029056.10000002</v>
      </c>
      <c r="G2150" s="2">
        <v>1</v>
      </c>
      <c r="H2150" s="2">
        <v>4</v>
      </c>
      <c r="I2150" s="2">
        <v>1</v>
      </c>
      <c r="J2150" s="2">
        <v>1.9</v>
      </c>
      <c r="K2150" s="2" t="s">
        <v>1268</v>
      </c>
      <c r="L2150" s="2" t="str">
        <f t="shared" si="198"/>
        <v>Profitable</v>
      </c>
      <c r="M2150" s="2" t="str">
        <f t="shared" si="199"/>
        <v>Stable Earnings</v>
      </c>
      <c r="N2150" s="2" t="str">
        <f t="shared" si="200"/>
        <v>Low Quality</v>
      </c>
      <c r="O2150" s="4" t="str">
        <f t="shared" si="201"/>
        <v>Operational Growth</v>
      </c>
      <c r="P2150" s="4" t="str">
        <f t="shared" si="202"/>
        <v>Low Quality</v>
      </c>
      <c r="Q2150" s="4" t="str">
        <f t="shared" si="203"/>
        <v>Weak Growth</v>
      </c>
    </row>
    <row r="2151" spans="1:17" x14ac:dyDescent="0.35">
      <c r="A2151" s="2" t="s">
        <v>2162</v>
      </c>
      <c r="B2151" s="2">
        <v>5</v>
      </c>
      <c r="C2151" s="2">
        <v>1270544065</v>
      </c>
      <c r="D2151" s="2">
        <v>1</v>
      </c>
      <c r="E2151" s="2">
        <v>308128237.30000001</v>
      </c>
      <c r="F2151" s="2">
        <v>299355255</v>
      </c>
      <c r="G2151" s="2">
        <v>1</v>
      </c>
      <c r="H2151" s="2">
        <v>4</v>
      </c>
      <c r="I2151" s="2">
        <v>1</v>
      </c>
      <c r="J2151" s="2">
        <v>1.9</v>
      </c>
      <c r="K2151" s="2" t="s">
        <v>1268</v>
      </c>
      <c r="L2151" s="2" t="str">
        <f t="shared" si="198"/>
        <v>Profitable</v>
      </c>
      <c r="M2151" s="2" t="str">
        <f t="shared" si="199"/>
        <v>High Volatility</v>
      </c>
      <c r="N2151" s="2" t="str">
        <f t="shared" si="200"/>
        <v>Low Quality</v>
      </c>
      <c r="O2151" s="4" t="str">
        <f t="shared" si="201"/>
        <v>Operational Growth</v>
      </c>
      <c r="P2151" s="4" t="str">
        <f t="shared" si="202"/>
        <v>Low Quality</v>
      </c>
      <c r="Q2151" s="4" t="str">
        <f t="shared" si="203"/>
        <v>Weak Growth</v>
      </c>
    </row>
    <row r="2152" spans="1:17" x14ac:dyDescent="0.35">
      <c r="A2152" s="2" t="s">
        <v>2163</v>
      </c>
      <c r="B2152" s="2">
        <v>5</v>
      </c>
      <c r="C2152" s="2">
        <v>238055016.19999999</v>
      </c>
      <c r="D2152" s="2">
        <v>1</v>
      </c>
      <c r="E2152" s="2">
        <v>172520813.90000001</v>
      </c>
      <c r="F2152" s="2">
        <v>399432735.60000002</v>
      </c>
      <c r="G2152" s="2">
        <v>1</v>
      </c>
      <c r="H2152" s="2">
        <v>4</v>
      </c>
      <c r="I2152" s="2">
        <v>1</v>
      </c>
      <c r="J2152" s="2">
        <v>1.9</v>
      </c>
      <c r="K2152" s="2" t="s">
        <v>1268</v>
      </c>
      <c r="L2152" s="2" t="str">
        <f t="shared" si="198"/>
        <v>Profitable</v>
      </c>
      <c r="M2152" s="2" t="str">
        <f t="shared" si="199"/>
        <v>Stable Earnings</v>
      </c>
      <c r="N2152" s="2" t="str">
        <f t="shared" si="200"/>
        <v>Low Quality</v>
      </c>
      <c r="O2152" s="4" t="str">
        <f t="shared" si="201"/>
        <v>Operational Growth</v>
      </c>
      <c r="P2152" s="4" t="str">
        <f t="shared" si="202"/>
        <v>Low Quality</v>
      </c>
      <c r="Q2152" s="4" t="str">
        <f t="shared" si="203"/>
        <v>Weak Growth</v>
      </c>
    </row>
    <row r="2153" spans="1:17" x14ac:dyDescent="0.35">
      <c r="A2153" s="2" t="s">
        <v>2164</v>
      </c>
      <c r="B2153" s="2">
        <v>5</v>
      </c>
      <c r="C2153" s="2">
        <v>659121835.70000005</v>
      </c>
      <c r="D2153" s="2">
        <v>1</v>
      </c>
      <c r="E2153" s="2">
        <v>158486383.5</v>
      </c>
      <c r="F2153" s="2">
        <v>403731331</v>
      </c>
      <c r="G2153" s="2">
        <v>1</v>
      </c>
      <c r="H2153" s="2">
        <v>4</v>
      </c>
      <c r="I2153" s="2">
        <v>1</v>
      </c>
      <c r="J2153" s="2">
        <v>1.9</v>
      </c>
      <c r="K2153" s="2" t="s">
        <v>1268</v>
      </c>
      <c r="L2153" s="2" t="str">
        <f t="shared" si="198"/>
        <v>Profitable</v>
      </c>
      <c r="M2153" s="2" t="str">
        <f t="shared" si="199"/>
        <v>High Volatility</v>
      </c>
      <c r="N2153" s="2" t="str">
        <f t="shared" si="200"/>
        <v>Low Quality</v>
      </c>
      <c r="O2153" s="4" t="str">
        <f t="shared" si="201"/>
        <v>Operational Growth</v>
      </c>
      <c r="P2153" s="4" t="str">
        <f t="shared" si="202"/>
        <v>Low Quality</v>
      </c>
      <c r="Q2153" s="4" t="str">
        <f t="shared" si="203"/>
        <v>Weak Growth</v>
      </c>
    </row>
    <row r="2154" spans="1:17" x14ac:dyDescent="0.35">
      <c r="A2154" s="2" t="s">
        <v>2165</v>
      </c>
      <c r="B2154" s="2">
        <v>5</v>
      </c>
      <c r="C2154" s="2">
        <v>449861783.69999999</v>
      </c>
      <c r="D2154" s="2">
        <v>1</v>
      </c>
      <c r="E2154" s="2">
        <v>232777252.30000001</v>
      </c>
      <c r="F2154" s="2">
        <v>400630555.69999999</v>
      </c>
      <c r="G2154" s="2">
        <v>1</v>
      </c>
      <c r="H2154" s="2">
        <v>4</v>
      </c>
      <c r="I2154" s="2">
        <v>1</v>
      </c>
      <c r="J2154" s="2">
        <v>1.9</v>
      </c>
      <c r="K2154" s="2" t="s">
        <v>1268</v>
      </c>
      <c r="L2154" s="2" t="str">
        <f t="shared" si="198"/>
        <v>Profitable</v>
      </c>
      <c r="M2154" s="2" t="str">
        <f t="shared" si="199"/>
        <v>Stable Earnings</v>
      </c>
      <c r="N2154" s="2" t="str">
        <f t="shared" si="200"/>
        <v>Low Quality</v>
      </c>
      <c r="O2154" s="4" t="str">
        <f t="shared" si="201"/>
        <v>Operational Growth</v>
      </c>
      <c r="P2154" s="4" t="str">
        <f t="shared" si="202"/>
        <v>Low Quality</v>
      </c>
      <c r="Q2154" s="4" t="str">
        <f t="shared" si="203"/>
        <v>Weak Growth</v>
      </c>
    </row>
    <row r="2155" spans="1:17" x14ac:dyDescent="0.35">
      <c r="A2155" s="2" t="s">
        <v>2166</v>
      </c>
      <c r="B2155" s="2">
        <v>5</v>
      </c>
      <c r="C2155" s="2">
        <v>974965133.89999998</v>
      </c>
      <c r="D2155" s="2">
        <v>1</v>
      </c>
      <c r="E2155" s="2">
        <v>153007976.5</v>
      </c>
      <c r="F2155" s="2">
        <v>371301664.19999999</v>
      </c>
      <c r="G2155" s="2">
        <v>1</v>
      </c>
      <c r="H2155" s="2">
        <v>4</v>
      </c>
      <c r="I2155" s="2">
        <v>1</v>
      </c>
      <c r="J2155" s="2">
        <v>1.9</v>
      </c>
      <c r="K2155" s="2" t="s">
        <v>1268</v>
      </c>
      <c r="L2155" s="2" t="str">
        <f t="shared" si="198"/>
        <v>Profitable</v>
      </c>
      <c r="M2155" s="2" t="str">
        <f t="shared" si="199"/>
        <v>High Volatility</v>
      </c>
      <c r="N2155" s="2" t="str">
        <f t="shared" si="200"/>
        <v>Low Quality</v>
      </c>
      <c r="O2155" s="4" t="str">
        <f t="shared" si="201"/>
        <v>Operational Growth</v>
      </c>
      <c r="P2155" s="4" t="str">
        <f t="shared" si="202"/>
        <v>Low Quality</v>
      </c>
      <c r="Q2155" s="4" t="str">
        <f t="shared" si="203"/>
        <v>Weak Growth</v>
      </c>
    </row>
    <row r="2156" spans="1:17" x14ac:dyDescent="0.35">
      <c r="A2156" s="2" t="s">
        <v>2167</v>
      </c>
      <c r="B2156" s="2">
        <v>5</v>
      </c>
      <c r="C2156" s="2">
        <v>302128729.89999998</v>
      </c>
      <c r="D2156" s="2">
        <v>1</v>
      </c>
      <c r="E2156" s="2">
        <v>149848821.59999999</v>
      </c>
      <c r="F2156" s="2">
        <v>370466191.80000001</v>
      </c>
      <c r="G2156" s="2">
        <v>1</v>
      </c>
      <c r="H2156" s="2">
        <v>4</v>
      </c>
      <c r="I2156" s="2">
        <v>1</v>
      </c>
      <c r="J2156" s="2">
        <v>1.9</v>
      </c>
      <c r="K2156" s="2" t="s">
        <v>1268</v>
      </c>
      <c r="L2156" s="2" t="str">
        <f t="shared" si="198"/>
        <v>Profitable</v>
      </c>
      <c r="M2156" s="2" t="str">
        <f t="shared" si="199"/>
        <v>Stable Earnings</v>
      </c>
      <c r="N2156" s="2" t="str">
        <f t="shared" si="200"/>
        <v>Low Quality</v>
      </c>
      <c r="O2156" s="4" t="str">
        <f t="shared" si="201"/>
        <v>Operational Growth</v>
      </c>
      <c r="P2156" s="4" t="str">
        <f t="shared" si="202"/>
        <v>Low Quality</v>
      </c>
      <c r="Q2156" s="4" t="str">
        <f t="shared" si="203"/>
        <v>Weak Growth</v>
      </c>
    </row>
    <row r="2157" spans="1:17" x14ac:dyDescent="0.35">
      <c r="A2157" s="2" t="s">
        <v>2168</v>
      </c>
      <c r="B2157" s="2">
        <v>5</v>
      </c>
      <c r="C2157" s="2">
        <v>1017671413</v>
      </c>
      <c r="D2157" s="2">
        <v>1</v>
      </c>
      <c r="E2157" s="2">
        <v>173550157.30000001</v>
      </c>
      <c r="F2157" s="2">
        <v>425794098.39999998</v>
      </c>
      <c r="G2157" s="2">
        <v>1</v>
      </c>
      <c r="H2157" s="2">
        <v>4</v>
      </c>
      <c r="I2157" s="2">
        <v>1</v>
      </c>
      <c r="J2157" s="2">
        <v>1.9</v>
      </c>
      <c r="K2157" s="2" t="s">
        <v>1268</v>
      </c>
      <c r="L2157" s="2" t="str">
        <f t="shared" si="198"/>
        <v>Profitable</v>
      </c>
      <c r="M2157" s="2" t="str">
        <f t="shared" si="199"/>
        <v>High Volatility</v>
      </c>
      <c r="N2157" s="2" t="str">
        <f t="shared" si="200"/>
        <v>Low Quality</v>
      </c>
      <c r="O2157" s="4" t="str">
        <f t="shared" si="201"/>
        <v>Operational Growth</v>
      </c>
      <c r="P2157" s="4" t="str">
        <f t="shared" si="202"/>
        <v>Low Quality</v>
      </c>
      <c r="Q2157" s="4" t="str">
        <f t="shared" si="203"/>
        <v>Weak Growth</v>
      </c>
    </row>
    <row r="2158" spans="1:17" x14ac:dyDescent="0.35">
      <c r="A2158" s="2" t="s">
        <v>2169</v>
      </c>
      <c r="B2158" s="2">
        <v>5</v>
      </c>
      <c r="C2158" s="2">
        <v>601571013.29999995</v>
      </c>
      <c r="D2158" s="2">
        <v>1</v>
      </c>
      <c r="E2158" s="2">
        <v>213404457.69999999</v>
      </c>
      <c r="F2158" s="2">
        <v>425785694.89999998</v>
      </c>
      <c r="G2158" s="2">
        <v>1</v>
      </c>
      <c r="H2158" s="2">
        <v>4</v>
      </c>
      <c r="I2158" s="2">
        <v>1</v>
      </c>
      <c r="J2158" s="2">
        <v>1.9</v>
      </c>
      <c r="K2158" s="2" t="s">
        <v>1268</v>
      </c>
      <c r="L2158" s="2" t="str">
        <f t="shared" si="198"/>
        <v>Profitable</v>
      </c>
      <c r="M2158" s="2" t="str">
        <f t="shared" si="199"/>
        <v>High Volatility</v>
      </c>
      <c r="N2158" s="2" t="str">
        <f t="shared" si="200"/>
        <v>Low Quality</v>
      </c>
      <c r="O2158" s="4" t="str">
        <f t="shared" si="201"/>
        <v>Operational Growth</v>
      </c>
      <c r="P2158" s="4" t="str">
        <f t="shared" si="202"/>
        <v>Low Quality</v>
      </c>
      <c r="Q2158" s="4" t="str">
        <f t="shared" si="203"/>
        <v>Weak Growth</v>
      </c>
    </row>
    <row r="2159" spans="1:17" x14ac:dyDescent="0.35">
      <c r="A2159" s="2" t="s">
        <v>2170</v>
      </c>
      <c r="B2159" s="2">
        <v>5</v>
      </c>
      <c r="C2159" s="2">
        <v>463483554.69999999</v>
      </c>
      <c r="D2159" s="2">
        <v>1</v>
      </c>
      <c r="E2159" s="2">
        <v>235764303.09999999</v>
      </c>
      <c r="F2159" s="2">
        <v>438723568.80000001</v>
      </c>
      <c r="G2159" s="2">
        <v>1</v>
      </c>
      <c r="H2159" s="2">
        <v>4</v>
      </c>
      <c r="I2159" s="2">
        <v>1</v>
      </c>
      <c r="J2159" s="2">
        <v>1.9</v>
      </c>
      <c r="K2159" s="2" t="s">
        <v>1268</v>
      </c>
      <c r="L2159" s="2" t="str">
        <f t="shared" si="198"/>
        <v>Profitable</v>
      </c>
      <c r="M2159" s="2" t="str">
        <f t="shared" si="199"/>
        <v>Stable Earnings</v>
      </c>
      <c r="N2159" s="2" t="str">
        <f t="shared" si="200"/>
        <v>Low Quality</v>
      </c>
      <c r="O2159" s="4" t="str">
        <f t="shared" si="201"/>
        <v>Operational Growth</v>
      </c>
      <c r="P2159" s="4" t="str">
        <f t="shared" si="202"/>
        <v>Low Quality</v>
      </c>
      <c r="Q2159" s="4" t="str">
        <f t="shared" si="203"/>
        <v>Weak Growth</v>
      </c>
    </row>
    <row r="2160" spans="1:17" x14ac:dyDescent="0.35">
      <c r="A2160" s="2" t="s">
        <v>2171</v>
      </c>
      <c r="B2160" s="2">
        <v>5</v>
      </c>
      <c r="C2160" s="2">
        <v>882296782.39999998</v>
      </c>
      <c r="D2160" s="2">
        <v>1</v>
      </c>
      <c r="E2160" s="2">
        <v>283447809.60000002</v>
      </c>
      <c r="F2160" s="2">
        <v>422141305.69999999</v>
      </c>
      <c r="G2160" s="2">
        <v>1</v>
      </c>
      <c r="H2160" s="2">
        <v>4</v>
      </c>
      <c r="I2160" s="2">
        <v>1</v>
      </c>
      <c r="J2160" s="2">
        <v>1.9</v>
      </c>
      <c r="K2160" s="2" t="s">
        <v>1268</v>
      </c>
      <c r="L2160" s="2" t="str">
        <f t="shared" si="198"/>
        <v>Profitable</v>
      </c>
      <c r="M2160" s="2" t="str">
        <f t="shared" si="199"/>
        <v>High Volatility</v>
      </c>
      <c r="N2160" s="2" t="str">
        <f t="shared" si="200"/>
        <v>Low Quality</v>
      </c>
      <c r="O2160" s="4" t="str">
        <f t="shared" si="201"/>
        <v>Operational Growth</v>
      </c>
      <c r="P2160" s="4" t="str">
        <f t="shared" si="202"/>
        <v>Low Quality</v>
      </c>
      <c r="Q2160" s="4" t="str">
        <f t="shared" si="203"/>
        <v>Weak Growth</v>
      </c>
    </row>
    <row r="2161" spans="1:17" x14ac:dyDescent="0.35">
      <c r="A2161" s="2" t="s">
        <v>2172</v>
      </c>
      <c r="B2161" s="2">
        <v>5</v>
      </c>
      <c r="C2161" s="2">
        <v>594249175.5</v>
      </c>
      <c r="D2161" s="2">
        <v>1</v>
      </c>
      <c r="E2161" s="2">
        <v>167555970.19999999</v>
      </c>
      <c r="F2161" s="2">
        <v>421140515.60000002</v>
      </c>
      <c r="G2161" s="2">
        <v>1</v>
      </c>
      <c r="H2161" s="2">
        <v>4</v>
      </c>
      <c r="I2161" s="2">
        <v>1</v>
      </c>
      <c r="J2161" s="2">
        <v>1.9</v>
      </c>
      <c r="K2161" s="2" t="s">
        <v>1268</v>
      </c>
      <c r="L2161" s="2" t="str">
        <f t="shared" si="198"/>
        <v>Profitable</v>
      </c>
      <c r="M2161" s="2" t="str">
        <f t="shared" si="199"/>
        <v>High Volatility</v>
      </c>
      <c r="N2161" s="2" t="str">
        <f t="shared" si="200"/>
        <v>Low Quality</v>
      </c>
      <c r="O2161" s="4" t="str">
        <f t="shared" si="201"/>
        <v>Operational Growth</v>
      </c>
      <c r="P2161" s="4" t="str">
        <f t="shared" si="202"/>
        <v>Low Quality</v>
      </c>
      <c r="Q2161" s="4" t="str">
        <f t="shared" si="203"/>
        <v>Weak Growth</v>
      </c>
    </row>
    <row r="2162" spans="1:17" x14ac:dyDescent="0.35">
      <c r="A2162" s="2" t="s">
        <v>2173</v>
      </c>
      <c r="B2162" s="2">
        <v>5</v>
      </c>
      <c r="C2162" s="2">
        <v>386545292.19999999</v>
      </c>
      <c r="D2162" s="2">
        <v>1</v>
      </c>
      <c r="E2162" s="2">
        <v>188259762</v>
      </c>
      <c r="F2162" s="2">
        <v>419893635.10000002</v>
      </c>
      <c r="G2162" s="2">
        <v>1</v>
      </c>
      <c r="H2162" s="2">
        <v>4</v>
      </c>
      <c r="I2162" s="2">
        <v>1</v>
      </c>
      <c r="J2162" s="2">
        <v>1.9</v>
      </c>
      <c r="K2162" s="2" t="s">
        <v>1268</v>
      </c>
      <c r="L2162" s="2" t="str">
        <f t="shared" si="198"/>
        <v>Profitable</v>
      </c>
      <c r="M2162" s="2" t="str">
        <f t="shared" si="199"/>
        <v>Stable Earnings</v>
      </c>
      <c r="N2162" s="2" t="str">
        <f t="shared" si="200"/>
        <v>Low Quality</v>
      </c>
      <c r="O2162" s="4" t="str">
        <f t="shared" si="201"/>
        <v>Operational Growth</v>
      </c>
      <c r="P2162" s="4" t="str">
        <f t="shared" si="202"/>
        <v>Low Quality</v>
      </c>
      <c r="Q2162" s="4" t="str">
        <f t="shared" si="203"/>
        <v>Weak Growth</v>
      </c>
    </row>
    <row r="2163" spans="1:17" x14ac:dyDescent="0.35">
      <c r="A2163" s="2" t="s">
        <v>2174</v>
      </c>
      <c r="B2163" s="2">
        <v>5</v>
      </c>
      <c r="C2163" s="2">
        <v>670464909.60000002</v>
      </c>
      <c r="D2163" s="2">
        <v>1</v>
      </c>
      <c r="E2163" s="2">
        <v>217154705</v>
      </c>
      <c r="F2163" s="2">
        <v>419229582.80000001</v>
      </c>
      <c r="G2163" s="2">
        <v>1</v>
      </c>
      <c r="H2163" s="2">
        <v>4</v>
      </c>
      <c r="I2163" s="2">
        <v>1</v>
      </c>
      <c r="J2163" s="2">
        <v>1.9</v>
      </c>
      <c r="K2163" s="2" t="s">
        <v>1268</v>
      </c>
      <c r="L2163" s="2" t="str">
        <f t="shared" si="198"/>
        <v>Profitable</v>
      </c>
      <c r="M2163" s="2" t="str">
        <f t="shared" si="199"/>
        <v>High Volatility</v>
      </c>
      <c r="N2163" s="2" t="str">
        <f t="shared" si="200"/>
        <v>Low Quality</v>
      </c>
      <c r="O2163" s="4" t="str">
        <f t="shared" si="201"/>
        <v>Operational Growth</v>
      </c>
      <c r="P2163" s="4" t="str">
        <f t="shared" si="202"/>
        <v>Low Quality</v>
      </c>
      <c r="Q2163" s="4" t="str">
        <f t="shared" si="203"/>
        <v>Weak Growth</v>
      </c>
    </row>
    <row r="2164" spans="1:17" x14ac:dyDescent="0.35">
      <c r="A2164" s="2" t="s">
        <v>2175</v>
      </c>
      <c r="B2164" s="2">
        <v>5</v>
      </c>
      <c r="C2164" s="2">
        <v>342013983.39999998</v>
      </c>
      <c r="D2164" s="2">
        <v>1</v>
      </c>
      <c r="E2164" s="2">
        <v>193218122.59999999</v>
      </c>
      <c r="F2164" s="2">
        <v>417733093.80000001</v>
      </c>
      <c r="G2164" s="2">
        <v>1</v>
      </c>
      <c r="H2164" s="2">
        <v>4</v>
      </c>
      <c r="I2164" s="2">
        <v>1</v>
      </c>
      <c r="J2164" s="2">
        <v>1.9</v>
      </c>
      <c r="K2164" s="2" t="s">
        <v>1268</v>
      </c>
      <c r="L2164" s="2" t="str">
        <f t="shared" si="198"/>
        <v>Profitable</v>
      </c>
      <c r="M2164" s="2" t="str">
        <f t="shared" si="199"/>
        <v>Stable Earnings</v>
      </c>
      <c r="N2164" s="2" t="str">
        <f t="shared" si="200"/>
        <v>Low Quality</v>
      </c>
      <c r="O2164" s="4" t="str">
        <f t="shared" si="201"/>
        <v>Operational Growth</v>
      </c>
      <c r="P2164" s="4" t="str">
        <f t="shared" si="202"/>
        <v>Low Quality</v>
      </c>
      <c r="Q2164" s="4" t="str">
        <f t="shared" si="203"/>
        <v>Weak Growth</v>
      </c>
    </row>
    <row r="2165" spans="1:17" x14ac:dyDescent="0.35">
      <c r="A2165" s="2" t="s">
        <v>2176</v>
      </c>
      <c r="B2165" s="2">
        <v>5</v>
      </c>
      <c r="C2165" s="2">
        <v>479009800.69999999</v>
      </c>
      <c r="D2165" s="2">
        <v>1</v>
      </c>
      <c r="E2165" s="2">
        <v>203185036.80000001</v>
      </c>
      <c r="F2165" s="2">
        <v>408127408.5</v>
      </c>
      <c r="G2165" s="2">
        <v>1</v>
      </c>
      <c r="H2165" s="2">
        <v>4</v>
      </c>
      <c r="I2165" s="2">
        <v>1</v>
      </c>
      <c r="J2165" s="2">
        <v>1.9</v>
      </c>
      <c r="K2165" s="2" t="s">
        <v>1268</v>
      </c>
      <c r="L2165" s="2" t="str">
        <f t="shared" si="198"/>
        <v>Profitable</v>
      </c>
      <c r="M2165" s="2" t="str">
        <f t="shared" si="199"/>
        <v>Stable Earnings</v>
      </c>
      <c r="N2165" s="2" t="str">
        <f t="shared" si="200"/>
        <v>Low Quality</v>
      </c>
      <c r="O2165" s="4" t="str">
        <f t="shared" si="201"/>
        <v>Operational Growth</v>
      </c>
      <c r="P2165" s="4" t="str">
        <f t="shared" si="202"/>
        <v>Low Quality</v>
      </c>
      <c r="Q2165" s="4" t="str">
        <f t="shared" si="203"/>
        <v>Weak Growth</v>
      </c>
    </row>
    <row r="2166" spans="1:17" x14ac:dyDescent="0.35">
      <c r="A2166" s="2" t="s">
        <v>2177</v>
      </c>
      <c r="B2166" s="2">
        <v>5</v>
      </c>
      <c r="C2166" s="2">
        <v>579082536.39999998</v>
      </c>
      <c r="D2166" s="2">
        <v>1</v>
      </c>
      <c r="E2166" s="2">
        <v>273326351.39999998</v>
      </c>
      <c r="F2166" s="2">
        <v>329810128.89999998</v>
      </c>
      <c r="G2166" s="2">
        <v>1</v>
      </c>
      <c r="H2166" s="2">
        <v>4</v>
      </c>
      <c r="I2166" s="2">
        <v>1</v>
      </c>
      <c r="J2166" s="2">
        <v>1.9</v>
      </c>
      <c r="K2166" s="2" t="s">
        <v>1268</v>
      </c>
      <c r="L2166" s="2" t="str">
        <f t="shared" si="198"/>
        <v>Profitable</v>
      </c>
      <c r="M2166" s="2" t="str">
        <f t="shared" si="199"/>
        <v>High Volatility</v>
      </c>
      <c r="N2166" s="2" t="str">
        <f t="shared" si="200"/>
        <v>Low Quality</v>
      </c>
      <c r="O2166" s="4" t="str">
        <f t="shared" si="201"/>
        <v>Operational Growth</v>
      </c>
      <c r="P2166" s="4" t="str">
        <f t="shared" si="202"/>
        <v>Low Quality</v>
      </c>
      <c r="Q2166" s="4" t="str">
        <f t="shared" si="203"/>
        <v>Weak Growth</v>
      </c>
    </row>
    <row r="2167" spans="1:17" x14ac:dyDescent="0.35">
      <c r="A2167" s="2" t="s">
        <v>2178</v>
      </c>
      <c r="B2167" s="2">
        <v>5</v>
      </c>
      <c r="C2167" s="2">
        <v>560720183.29999995</v>
      </c>
      <c r="D2167" s="2">
        <v>1</v>
      </c>
      <c r="E2167" s="2">
        <v>139518162.30000001</v>
      </c>
      <c r="F2167" s="2">
        <v>328858201.69999999</v>
      </c>
      <c r="G2167" s="2">
        <v>1</v>
      </c>
      <c r="H2167" s="2">
        <v>4</v>
      </c>
      <c r="I2167" s="2">
        <v>1</v>
      </c>
      <c r="J2167" s="2">
        <v>1.9</v>
      </c>
      <c r="K2167" s="2" t="s">
        <v>1268</v>
      </c>
      <c r="L2167" s="2" t="str">
        <f t="shared" si="198"/>
        <v>Profitable</v>
      </c>
      <c r="M2167" s="2" t="str">
        <f t="shared" si="199"/>
        <v>High Volatility</v>
      </c>
      <c r="N2167" s="2" t="str">
        <f t="shared" si="200"/>
        <v>Low Quality</v>
      </c>
      <c r="O2167" s="4" t="str">
        <f t="shared" si="201"/>
        <v>Operational Growth</v>
      </c>
      <c r="P2167" s="4" t="str">
        <f t="shared" si="202"/>
        <v>Low Quality</v>
      </c>
      <c r="Q2167" s="4" t="str">
        <f t="shared" si="203"/>
        <v>Weak Growth</v>
      </c>
    </row>
    <row r="2168" spans="1:17" x14ac:dyDescent="0.35">
      <c r="A2168" s="2" t="s">
        <v>2179</v>
      </c>
      <c r="B2168" s="2">
        <v>5</v>
      </c>
      <c r="C2168" s="2">
        <v>912484084.70000005</v>
      </c>
      <c r="D2168" s="2">
        <v>1</v>
      </c>
      <c r="E2168" s="2">
        <v>191903052.5</v>
      </c>
      <c r="F2168" s="2">
        <v>326225727.19999999</v>
      </c>
      <c r="G2168" s="2">
        <v>1</v>
      </c>
      <c r="H2168" s="2">
        <v>4</v>
      </c>
      <c r="I2168" s="2">
        <v>1</v>
      </c>
      <c r="J2168" s="2">
        <v>1.9</v>
      </c>
      <c r="K2168" s="2" t="s">
        <v>1268</v>
      </c>
      <c r="L2168" s="2" t="str">
        <f t="shared" si="198"/>
        <v>Profitable</v>
      </c>
      <c r="M2168" s="2" t="str">
        <f t="shared" si="199"/>
        <v>High Volatility</v>
      </c>
      <c r="N2168" s="2" t="str">
        <f t="shared" si="200"/>
        <v>Low Quality</v>
      </c>
      <c r="O2168" s="4" t="str">
        <f t="shared" si="201"/>
        <v>Operational Growth</v>
      </c>
      <c r="P2168" s="4" t="str">
        <f t="shared" si="202"/>
        <v>Low Quality</v>
      </c>
      <c r="Q2168" s="4" t="str">
        <f t="shared" si="203"/>
        <v>Weak Growth</v>
      </c>
    </row>
    <row r="2169" spans="1:17" x14ac:dyDescent="0.35">
      <c r="A2169" s="2" t="s">
        <v>2180</v>
      </c>
      <c r="B2169" s="2">
        <v>5</v>
      </c>
      <c r="C2169" s="2">
        <v>525137726.39999998</v>
      </c>
      <c r="D2169" s="2">
        <v>1</v>
      </c>
      <c r="E2169" s="2">
        <v>200827147.40000001</v>
      </c>
      <c r="F2169" s="2">
        <v>315257987</v>
      </c>
      <c r="G2169" s="2">
        <v>1</v>
      </c>
      <c r="H2169" s="2">
        <v>4</v>
      </c>
      <c r="I2169" s="2">
        <v>1</v>
      </c>
      <c r="J2169" s="2">
        <v>1.9</v>
      </c>
      <c r="K2169" s="2" t="s">
        <v>1268</v>
      </c>
      <c r="L2169" s="2" t="str">
        <f t="shared" si="198"/>
        <v>Profitable</v>
      </c>
      <c r="M2169" s="2" t="str">
        <f t="shared" si="199"/>
        <v>High Volatility</v>
      </c>
      <c r="N2169" s="2" t="str">
        <f t="shared" si="200"/>
        <v>Low Quality</v>
      </c>
      <c r="O2169" s="4" t="str">
        <f t="shared" si="201"/>
        <v>Operational Growth</v>
      </c>
      <c r="P2169" s="4" t="str">
        <f t="shared" si="202"/>
        <v>Low Quality</v>
      </c>
      <c r="Q2169" s="4" t="str">
        <f t="shared" si="203"/>
        <v>Weak Growth</v>
      </c>
    </row>
    <row r="2170" spans="1:17" x14ac:dyDescent="0.35">
      <c r="A2170" s="2" t="s">
        <v>2181</v>
      </c>
      <c r="B2170" s="2">
        <v>5</v>
      </c>
      <c r="C2170" s="2">
        <v>210171298.30000001</v>
      </c>
      <c r="D2170" s="2">
        <v>1</v>
      </c>
      <c r="E2170" s="2">
        <v>146304659.90000001</v>
      </c>
      <c r="F2170" s="2">
        <v>314537025.19999999</v>
      </c>
      <c r="G2170" s="2">
        <v>1</v>
      </c>
      <c r="H2170" s="2">
        <v>4</v>
      </c>
      <c r="I2170" s="2">
        <v>1</v>
      </c>
      <c r="J2170" s="2">
        <v>1.9</v>
      </c>
      <c r="K2170" s="2" t="s">
        <v>1268</v>
      </c>
      <c r="L2170" s="2" t="str">
        <f t="shared" si="198"/>
        <v>Profitable</v>
      </c>
      <c r="M2170" s="2" t="str">
        <f t="shared" si="199"/>
        <v>Stable Earnings</v>
      </c>
      <c r="N2170" s="2" t="str">
        <f t="shared" si="200"/>
        <v>Low Quality</v>
      </c>
      <c r="O2170" s="4" t="str">
        <f t="shared" si="201"/>
        <v>Operational Growth</v>
      </c>
      <c r="P2170" s="4" t="str">
        <f t="shared" si="202"/>
        <v>Low Quality</v>
      </c>
      <c r="Q2170" s="4" t="str">
        <f t="shared" si="203"/>
        <v>Weak Growth</v>
      </c>
    </row>
    <row r="2171" spans="1:17" x14ac:dyDescent="0.35">
      <c r="A2171" s="2" t="s">
        <v>2182</v>
      </c>
      <c r="B2171" s="2">
        <v>5</v>
      </c>
      <c r="C2171" s="2">
        <v>967993363.89999998</v>
      </c>
      <c r="D2171" s="2">
        <v>1</v>
      </c>
      <c r="E2171" s="2">
        <v>133552739.59999999</v>
      </c>
      <c r="F2171" s="2">
        <v>321290965.30000001</v>
      </c>
      <c r="G2171" s="2">
        <v>1</v>
      </c>
      <c r="H2171" s="2">
        <v>4</v>
      </c>
      <c r="I2171" s="2">
        <v>1</v>
      </c>
      <c r="J2171" s="2">
        <v>1.9</v>
      </c>
      <c r="K2171" s="2" t="s">
        <v>1268</v>
      </c>
      <c r="L2171" s="2" t="str">
        <f t="shared" si="198"/>
        <v>Profitable</v>
      </c>
      <c r="M2171" s="2" t="str">
        <f t="shared" si="199"/>
        <v>High Volatility</v>
      </c>
      <c r="N2171" s="2" t="str">
        <f t="shared" si="200"/>
        <v>Low Quality</v>
      </c>
      <c r="O2171" s="4" t="str">
        <f t="shared" si="201"/>
        <v>Operational Growth</v>
      </c>
      <c r="P2171" s="4" t="str">
        <f t="shared" si="202"/>
        <v>Low Quality</v>
      </c>
      <c r="Q2171" s="4" t="str">
        <f t="shared" si="203"/>
        <v>Weak Growth</v>
      </c>
    </row>
    <row r="2172" spans="1:17" x14ac:dyDescent="0.35">
      <c r="A2172" s="2" t="s">
        <v>2183</v>
      </c>
      <c r="B2172" s="2">
        <v>5</v>
      </c>
      <c r="C2172" s="2">
        <v>892766251</v>
      </c>
      <c r="D2172" s="2">
        <v>1</v>
      </c>
      <c r="E2172" s="2">
        <v>178374995.30000001</v>
      </c>
      <c r="F2172" s="2">
        <v>320910890.5</v>
      </c>
      <c r="G2172" s="2">
        <v>1</v>
      </c>
      <c r="H2172" s="2">
        <v>4</v>
      </c>
      <c r="I2172" s="2">
        <v>1</v>
      </c>
      <c r="J2172" s="2">
        <v>1.9</v>
      </c>
      <c r="K2172" s="2" t="s">
        <v>1268</v>
      </c>
      <c r="L2172" s="2" t="str">
        <f t="shared" si="198"/>
        <v>Profitable</v>
      </c>
      <c r="M2172" s="2" t="str">
        <f t="shared" si="199"/>
        <v>High Volatility</v>
      </c>
      <c r="N2172" s="2" t="str">
        <f t="shared" si="200"/>
        <v>Low Quality</v>
      </c>
      <c r="O2172" s="4" t="str">
        <f t="shared" si="201"/>
        <v>Operational Growth</v>
      </c>
      <c r="P2172" s="4" t="str">
        <f t="shared" si="202"/>
        <v>Low Quality</v>
      </c>
      <c r="Q2172" s="4" t="str">
        <f t="shared" si="203"/>
        <v>Weak Growth</v>
      </c>
    </row>
    <row r="2173" spans="1:17" x14ac:dyDescent="0.35">
      <c r="A2173" s="2" t="s">
        <v>2184</v>
      </c>
      <c r="B2173" s="2">
        <v>5</v>
      </c>
      <c r="C2173" s="2">
        <v>496979978.69999999</v>
      </c>
      <c r="D2173" s="2">
        <v>1</v>
      </c>
      <c r="E2173" s="2">
        <v>227545091.19999999</v>
      </c>
      <c r="F2173" s="2">
        <v>310793501.19999999</v>
      </c>
      <c r="G2173" s="2">
        <v>1</v>
      </c>
      <c r="H2173" s="2">
        <v>4</v>
      </c>
      <c r="I2173" s="2">
        <v>1</v>
      </c>
      <c r="J2173" s="2">
        <v>1.9</v>
      </c>
      <c r="K2173" s="2" t="s">
        <v>1268</v>
      </c>
      <c r="L2173" s="2" t="str">
        <f t="shared" si="198"/>
        <v>Profitable</v>
      </c>
      <c r="M2173" s="2" t="str">
        <f t="shared" si="199"/>
        <v>Stable Earnings</v>
      </c>
      <c r="N2173" s="2" t="str">
        <f t="shared" si="200"/>
        <v>Low Quality</v>
      </c>
      <c r="O2173" s="4" t="str">
        <f t="shared" si="201"/>
        <v>Operational Growth</v>
      </c>
      <c r="P2173" s="4" t="str">
        <f t="shared" si="202"/>
        <v>Low Quality</v>
      </c>
      <c r="Q2173" s="4" t="str">
        <f t="shared" si="203"/>
        <v>Weak Growth</v>
      </c>
    </row>
    <row r="2174" spans="1:17" x14ac:dyDescent="0.35">
      <c r="A2174" s="2" t="s">
        <v>2185</v>
      </c>
      <c r="B2174" s="2">
        <v>5</v>
      </c>
      <c r="C2174" s="2">
        <v>1449785219</v>
      </c>
      <c r="D2174" s="2">
        <v>1</v>
      </c>
      <c r="E2174" s="2">
        <v>247587567</v>
      </c>
      <c r="F2174" s="2">
        <v>308080080</v>
      </c>
      <c r="G2174" s="2">
        <v>1</v>
      </c>
      <c r="H2174" s="2">
        <v>4</v>
      </c>
      <c r="I2174" s="2">
        <v>1</v>
      </c>
      <c r="J2174" s="2">
        <v>1.9</v>
      </c>
      <c r="K2174" s="2" t="s">
        <v>1268</v>
      </c>
      <c r="L2174" s="2" t="str">
        <f t="shared" si="198"/>
        <v>Profitable</v>
      </c>
      <c r="M2174" s="2" t="str">
        <f t="shared" si="199"/>
        <v>High Volatility</v>
      </c>
      <c r="N2174" s="2" t="str">
        <f t="shared" si="200"/>
        <v>Low Quality</v>
      </c>
      <c r="O2174" s="4" t="str">
        <f t="shared" si="201"/>
        <v>Operational Growth</v>
      </c>
      <c r="P2174" s="4" t="str">
        <f t="shared" si="202"/>
        <v>Low Quality</v>
      </c>
      <c r="Q2174" s="4" t="str">
        <f t="shared" si="203"/>
        <v>Weak Growth</v>
      </c>
    </row>
    <row r="2175" spans="1:17" x14ac:dyDescent="0.35">
      <c r="A2175" s="2" t="s">
        <v>2186</v>
      </c>
      <c r="B2175" s="2">
        <v>5</v>
      </c>
      <c r="C2175" s="2">
        <v>1035836164</v>
      </c>
      <c r="D2175" s="2">
        <v>1</v>
      </c>
      <c r="E2175" s="2">
        <v>125435222.8</v>
      </c>
      <c r="F2175" s="2">
        <v>307094010.80000001</v>
      </c>
      <c r="G2175" s="2">
        <v>1</v>
      </c>
      <c r="H2175" s="2">
        <v>4</v>
      </c>
      <c r="I2175" s="2">
        <v>1</v>
      </c>
      <c r="J2175" s="2">
        <v>1.9</v>
      </c>
      <c r="K2175" s="2" t="s">
        <v>1268</v>
      </c>
      <c r="L2175" s="2" t="str">
        <f t="shared" si="198"/>
        <v>Profitable</v>
      </c>
      <c r="M2175" s="2" t="str">
        <f t="shared" si="199"/>
        <v>High Volatility</v>
      </c>
      <c r="N2175" s="2" t="str">
        <f t="shared" si="200"/>
        <v>Low Quality</v>
      </c>
      <c r="O2175" s="4" t="str">
        <f t="shared" si="201"/>
        <v>Operational Growth</v>
      </c>
      <c r="P2175" s="4" t="str">
        <f t="shared" si="202"/>
        <v>Low Quality</v>
      </c>
      <c r="Q2175" s="4" t="str">
        <f t="shared" si="203"/>
        <v>Weak Growth</v>
      </c>
    </row>
    <row r="2176" spans="1:17" x14ac:dyDescent="0.35">
      <c r="A2176" s="2" t="s">
        <v>2187</v>
      </c>
      <c r="B2176" s="2">
        <v>5</v>
      </c>
      <c r="C2176" s="2">
        <v>943571869.5</v>
      </c>
      <c r="D2176" s="2">
        <v>1</v>
      </c>
      <c r="E2176" s="2">
        <v>169485178.69999999</v>
      </c>
      <c r="F2176" s="2">
        <v>367548377.69999999</v>
      </c>
      <c r="G2176" s="2">
        <v>1</v>
      </c>
      <c r="H2176" s="2">
        <v>4</v>
      </c>
      <c r="I2176" s="2">
        <v>1</v>
      </c>
      <c r="J2176" s="2">
        <v>1.9</v>
      </c>
      <c r="K2176" s="2" t="s">
        <v>1268</v>
      </c>
      <c r="L2176" s="2" t="str">
        <f t="shared" si="198"/>
        <v>Profitable</v>
      </c>
      <c r="M2176" s="2" t="str">
        <f t="shared" si="199"/>
        <v>High Volatility</v>
      </c>
      <c r="N2176" s="2" t="str">
        <f t="shared" si="200"/>
        <v>Low Quality</v>
      </c>
      <c r="O2176" s="4" t="str">
        <f t="shared" si="201"/>
        <v>Operational Growth</v>
      </c>
      <c r="P2176" s="4" t="str">
        <f t="shared" si="202"/>
        <v>Low Quality</v>
      </c>
      <c r="Q2176" s="4" t="str">
        <f t="shared" si="203"/>
        <v>Weak Growth</v>
      </c>
    </row>
    <row r="2177" spans="1:17" x14ac:dyDescent="0.35">
      <c r="A2177" s="2" t="s">
        <v>2188</v>
      </c>
      <c r="B2177" s="2">
        <v>5</v>
      </c>
      <c r="C2177" s="2">
        <v>672821657.79999995</v>
      </c>
      <c r="D2177" s="2">
        <v>1</v>
      </c>
      <c r="E2177" s="2">
        <v>131992065</v>
      </c>
      <c r="F2177" s="2">
        <v>346953449.69999999</v>
      </c>
      <c r="G2177" s="2">
        <v>1</v>
      </c>
      <c r="H2177" s="2">
        <v>4</v>
      </c>
      <c r="I2177" s="2">
        <v>1</v>
      </c>
      <c r="J2177" s="2">
        <v>1.9</v>
      </c>
      <c r="K2177" s="2" t="s">
        <v>1268</v>
      </c>
      <c r="L2177" s="2" t="str">
        <f t="shared" si="198"/>
        <v>Profitable</v>
      </c>
      <c r="M2177" s="2" t="str">
        <f t="shared" si="199"/>
        <v>High Volatility</v>
      </c>
      <c r="N2177" s="2" t="str">
        <f t="shared" si="200"/>
        <v>Low Quality</v>
      </c>
      <c r="O2177" s="4" t="str">
        <f t="shared" si="201"/>
        <v>Operational Growth</v>
      </c>
      <c r="P2177" s="4" t="str">
        <f t="shared" si="202"/>
        <v>Low Quality</v>
      </c>
      <c r="Q2177" s="4" t="str">
        <f t="shared" si="203"/>
        <v>Weak Growth</v>
      </c>
    </row>
    <row r="2178" spans="1:17" x14ac:dyDescent="0.35">
      <c r="A2178" s="2" t="s">
        <v>2189</v>
      </c>
      <c r="B2178" s="2">
        <v>5</v>
      </c>
      <c r="C2178" s="2">
        <v>1227964194</v>
      </c>
      <c r="D2178" s="2">
        <v>1</v>
      </c>
      <c r="E2178" s="2">
        <v>328209806.10000002</v>
      </c>
      <c r="F2178" s="2">
        <v>676346093.20000005</v>
      </c>
      <c r="G2178" s="2">
        <v>1</v>
      </c>
      <c r="H2178" s="2">
        <v>4</v>
      </c>
      <c r="I2178" s="2">
        <v>1</v>
      </c>
      <c r="J2178" s="2">
        <v>1.9</v>
      </c>
      <c r="K2178" s="2" t="s">
        <v>1268</v>
      </c>
      <c r="L2178" s="2" t="str">
        <f t="shared" ref="L2178:L2241" si="204">IF(C2178&gt;0,"Profitable","Loss Making")</f>
        <v>Profitable</v>
      </c>
      <c r="M2178" s="2" t="str">
        <f t="shared" ref="M2178:M2241" si="205">IF(C2178&gt;500000000,"High Volatility","Stable Earnings")</f>
        <v>High Volatility</v>
      </c>
      <c r="N2178" s="2" t="str">
        <f t="shared" ref="N2178:N2241" si="206">IF(G2178&gt;=7,"High Quality",IF(G2178&gt;=4,"Moderate","Low Quality"))</f>
        <v>Low Quality</v>
      </c>
      <c r="O2178" s="4" t="str">
        <f t="shared" ref="O2178:O2241" si="207">IF(AND(F2178&gt;0,D2178&gt;0.6),"Operational Growth","Accounting Risk")</f>
        <v>Operational Growth</v>
      </c>
      <c r="P2178" s="4" t="str">
        <f t="shared" ref="P2178:P2241" si="208">IF(G2178&gt;=7,"High Quality", IF(G2178&gt;=4,"Moderate","Low Quality"))</f>
        <v>Low Quality</v>
      </c>
      <c r="Q2178" s="4" t="str">
        <f t="shared" ref="Q2178:Q2241" si="209">IF(I2178&gt;=4,"Strong Long-Term Growth",IF(I2178&gt;=2,"Moderate Growth","Weak Growth"))</f>
        <v>Weak Growth</v>
      </c>
    </row>
    <row r="2179" spans="1:17" x14ac:dyDescent="0.35">
      <c r="A2179" s="2" t="s">
        <v>2190</v>
      </c>
      <c r="B2179" s="2">
        <v>5</v>
      </c>
      <c r="C2179" s="2">
        <v>777297671.79999995</v>
      </c>
      <c r="D2179" s="2">
        <v>1</v>
      </c>
      <c r="E2179" s="2">
        <v>263180916.90000001</v>
      </c>
      <c r="F2179" s="2">
        <v>644708301.70000005</v>
      </c>
      <c r="G2179" s="2">
        <v>1</v>
      </c>
      <c r="H2179" s="2">
        <v>4</v>
      </c>
      <c r="I2179" s="2">
        <v>1</v>
      </c>
      <c r="J2179" s="2">
        <v>1.9</v>
      </c>
      <c r="K2179" s="2" t="s">
        <v>1268</v>
      </c>
      <c r="L2179" s="2" t="str">
        <f t="shared" si="204"/>
        <v>Profitable</v>
      </c>
      <c r="M2179" s="2" t="str">
        <f t="shared" si="205"/>
        <v>High Volatility</v>
      </c>
      <c r="N2179" s="2" t="str">
        <f t="shared" si="206"/>
        <v>Low Quality</v>
      </c>
      <c r="O2179" s="4" t="str">
        <f t="shared" si="207"/>
        <v>Operational Growth</v>
      </c>
      <c r="P2179" s="4" t="str">
        <f t="shared" si="208"/>
        <v>Low Quality</v>
      </c>
      <c r="Q2179" s="4" t="str">
        <f t="shared" si="209"/>
        <v>Weak Growth</v>
      </c>
    </row>
    <row r="2180" spans="1:17" x14ac:dyDescent="0.35">
      <c r="A2180" s="2" t="s">
        <v>2191</v>
      </c>
      <c r="B2180" s="2">
        <v>5</v>
      </c>
      <c r="C2180" s="2">
        <v>496604392.39999998</v>
      </c>
      <c r="D2180" s="2">
        <v>1</v>
      </c>
      <c r="E2180" s="2">
        <v>282424918.5</v>
      </c>
      <c r="F2180" s="2">
        <v>639510979.20000005</v>
      </c>
      <c r="G2180" s="2">
        <v>1</v>
      </c>
      <c r="H2180" s="2">
        <v>4</v>
      </c>
      <c r="I2180" s="2">
        <v>1</v>
      </c>
      <c r="J2180" s="2">
        <v>1.9</v>
      </c>
      <c r="K2180" s="2" t="s">
        <v>1268</v>
      </c>
      <c r="L2180" s="2" t="str">
        <f t="shared" si="204"/>
        <v>Profitable</v>
      </c>
      <c r="M2180" s="2" t="str">
        <f t="shared" si="205"/>
        <v>Stable Earnings</v>
      </c>
      <c r="N2180" s="2" t="str">
        <f t="shared" si="206"/>
        <v>Low Quality</v>
      </c>
      <c r="O2180" s="4" t="str">
        <f t="shared" si="207"/>
        <v>Operational Growth</v>
      </c>
      <c r="P2180" s="4" t="str">
        <f t="shared" si="208"/>
        <v>Low Quality</v>
      </c>
      <c r="Q2180" s="4" t="str">
        <f t="shared" si="209"/>
        <v>Weak Growth</v>
      </c>
    </row>
    <row r="2181" spans="1:17" x14ac:dyDescent="0.35">
      <c r="A2181" s="2" t="s">
        <v>2192</v>
      </c>
      <c r="B2181" s="2">
        <v>5</v>
      </c>
      <c r="C2181" s="2">
        <v>373779231.80000001</v>
      </c>
      <c r="D2181" s="2">
        <v>1</v>
      </c>
      <c r="E2181" s="2">
        <v>260387652.5</v>
      </c>
      <c r="F2181" s="2">
        <v>537940716</v>
      </c>
      <c r="G2181" s="2">
        <v>1</v>
      </c>
      <c r="H2181" s="2">
        <v>4</v>
      </c>
      <c r="I2181" s="2">
        <v>1</v>
      </c>
      <c r="J2181" s="2">
        <v>1.9</v>
      </c>
      <c r="K2181" s="2" t="s">
        <v>1268</v>
      </c>
      <c r="L2181" s="2" t="str">
        <f t="shared" si="204"/>
        <v>Profitable</v>
      </c>
      <c r="M2181" s="2" t="str">
        <f t="shared" si="205"/>
        <v>Stable Earnings</v>
      </c>
      <c r="N2181" s="2" t="str">
        <f t="shared" si="206"/>
        <v>Low Quality</v>
      </c>
      <c r="O2181" s="4" t="str">
        <f t="shared" si="207"/>
        <v>Operational Growth</v>
      </c>
      <c r="P2181" s="4" t="str">
        <f t="shared" si="208"/>
        <v>Low Quality</v>
      </c>
      <c r="Q2181" s="4" t="str">
        <f t="shared" si="209"/>
        <v>Weak Growth</v>
      </c>
    </row>
    <row r="2182" spans="1:17" x14ac:dyDescent="0.35">
      <c r="A2182" s="2" t="s">
        <v>2193</v>
      </c>
      <c r="B2182" s="2">
        <v>5</v>
      </c>
      <c r="C2182" s="2">
        <v>584189913.10000002</v>
      </c>
      <c r="D2182" s="2">
        <v>1</v>
      </c>
      <c r="E2182" s="2">
        <v>305845910.10000002</v>
      </c>
      <c r="F2182" s="2">
        <v>607029346</v>
      </c>
      <c r="G2182" s="2">
        <v>1</v>
      </c>
      <c r="H2182" s="2">
        <v>4</v>
      </c>
      <c r="I2182" s="2">
        <v>1</v>
      </c>
      <c r="J2182" s="2">
        <v>1.9</v>
      </c>
      <c r="K2182" s="2" t="s">
        <v>1268</v>
      </c>
      <c r="L2182" s="2" t="str">
        <f t="shared" si="204"/>
        <v>Profitable</v>
      </c>
      <c r="M2182" s="2" t="str">
        <f t="shared" si="205"/>
        <v>High Volatility</v>
      </c>
      <c r="N2182" s="2" t="str">
        <f t="shared" si="206"/>
        <v>Low Quality</v>
      </c>
      <c r="O2182" s="4" t="str">
        <f t="shared" si="207"/>
        <v>Operational Growth</v>
      </c>
      <c r="P2182" s="4" t="str">
        <f t="shared" si="208"/>
        <v>Low Quality</v>
      </c>
      <c r="Q2182" s="4" t="str">
        <f t="shared" si="209"/>
        <v>Weak Growth</v>
      </c>
    </row>
    <row r="2183" spans="1:17" x14ac:dyDescent="0.35">
      <c r="A2183" s="2" t="s">
        <v>2194</v>
      </c>
      <c r="B2183" s="2">
        <v>5</v>
      </c>
      <c r="C2183" s="2">
        <v>906061117.70000005</v>
      </c>
      <c r="D2183" s="2">
        <v>1</v>
      </c>
      <c r="E2183" s="2">
        <v>269578135.89999998</v>
      </c>
      <c r="F2183" s="2">
        <v>600049469.20000005</v>
      </c>
      <c r="G2183" s="2">
        <v>1</v>
      </c>
      <c r="H2183" s="2">
        <v>4</v>
      </c>
      <c r="I2183" s="2">
        <v>1</v>
      </c>
      <c r="J2183" s="2">
        <v>1.9</v>
      </c>
      <c r="K2183" s="2" t="s">
        <v>1268</v>
      </c>
      <c r="L2183" s="2" t="str">
        <f t="shared" si="204"/>
        <v>Profitable</v>
      </c>
      <c r="M2183" s="2" t="str">
        <f t="shared" si="205"/>
        <v>High Volatility</v>
      </c>
      <c r="N2183" s="2" t="str">
        <f t="shared" si="206"/>
        <v>Low Quality</v>
      </c>
      <c r="O2183" s="4" t="str">
        <f t="shared" si="207"/>
        <v>Operational Growth</v>
      </c>
      <c r="P2183" s="4" t="str">
        <f t="shared" si="208"/>
        <v>Low Quality</v>
      </c>
      <c r="Q2183" s="4" t="str">
        <f t="shared" si="209"/>
        <v>Weak Growth</v>
      </c>
    </row>
    <row r="2184" spans="1:17" x14ac:dyDescent="0.35">
      <c r="A2184" s="2" t="s">
        <v>2195</v>
      </c>
      <c r="B2184" s="2">
        <v>5</v>
      </c>
      <c r="C2184" s="2">
        <v>855057755.70000005</v>
      </c>
      <c r="D2184" s="2">
        <v>1</v>
      </c>
      <c r="E2184" s="2">
        <v>242964642.40000001</v>
      </c>
      <c r="F2184" s="2">
        <v>462076695.89999998</v>
      </c>
      <c r="G2184" s="2">
        <v>1</v>
      </c>
      <c r="H2184" s="2">
        <v>4</v>
      </c>
      <c r="I2184" s="2">
        <v>1</v>
      </c>
      <c r="J2184" s="2">
        <v>1.9</v>
      </c>
      <c r="K2184" s="2" t="s">
        <v>1268</v>
      </c>
      <c r="L2184" s="2" t="str">
        <f t="shared" si="204"/>
        <v>Profitable</v>
      </c>
      <c r="M2184" s="2" t="str">
        <f t="shared" si="205"/>
        <v>High Volatility</v>
      </c>
      <c r="N2184" s="2" t="str">
        <f t="shared" si="206"/>
        <v>Low Quality</v>
      </c>
      <c r="O2184" s="4" t="str">
        <f t="shared" si="207"/>
        <v>Operational Growth</v>
      </c>
      <c r="P2184" s="4" t="str">
        <f t="shared" si="208"/>
        <v>Low Quality</v>
      </c>
      <c r="Q2184" s="4" t="str">
        <f t="shared" si="209"/>
        <v>Weak Growth</v>
      </c>
    </row>
    <row r="2185" spans="1:17" x14ac:dyDescent="0.35">
      <c r="A2185" s="2" t="s">
        <v>2196</v>
      </c>
      <c r="B2185" s="2">
        <v>5</v>
      </c>
      <c r="C2185" s="2">
        <v>491120958.10000002</v>
      </c>
      <c r="D2185" s="2">
        <v>1</v>
      </c>
      <c r="E2185" s="2">
        <v>190076244.80000001</v>
      </c>
      <c r="F2185" s="2">
        <v>442044881.10000002</v>
      </c>
      <c r="G2185" s="2">
        <v>1</v>
      </c>
      <c r="H2185" s="2">
        <v>4</v>
      </c>
      <c r="I2185" s="2">
        <v>1</v>
      </c>
      <c r="J2185" s="2">
        <v>1.9</v>
      </c>
      <c r="K2185" s="2" t="s">
        <v>1268</v>
      </c>
      <c r="L2185" s="2" t="str">
        <f t="shared" si="204"/>
        <v>Profitable</v>
      </c>
      <c r="M2185" s="2" t="str">
        <f t="shared" si="205"/>
        <v>Stable Earnings</v>
      </c>
      <c r="N2185" s="2" t="str">
        <f t="shared" si="206"/>
        <v>Low Quality</v>
      </c>
      <c r="O2185" s="4" t="str">
        <f t="shared" si="207"/>
        <v>Operational Growth</v>
      </c>
      <c r="P2185" s="4" t="str">
        <f t="shared" si="208"/>
        <v>Low Quality</v>
      </c>
      <c r="Q2185" s="4" t="str">
        <f t="shared" si="209"/>
        <v>Weak Growth</v>
      </c>
    </row>
    <row r="2186" spans="1:17" x14ac:dyDescent="0.35">
      <c r="A2186" s="2" t="s">
        <v>2197</v>
      </c>
      <c r="B2186" s="2">
        <v>5</v>
      </c>
      <c r="C2186" s="2">
        <v>788495722.20000005</v>
      </c>
      <c r="D2186" s="2">
        <v>1</v>
      </c>
      <c r="E2186" s="2">
        <v>292218447.69999999</v>
      </c>
      <c r="F2186" s="2">
        <v>446842350.80000001</v>
      </c>
      <c r="G2186" s="2">
        <v>1</v>
      </c>
      <c r="H2186" s="2">
        <v>4</v>
      </c>
      <c r="I2186" s="2">
        <v>1</v>
      </c>
      <c r="J2186" s="2">
        <v>1.9</v>
      </c>
      <c r="K2186" s="2" t="s">
        <v>1268</v>
      </c>
      <c r="L2186" s="2" t="str">
        <f t="shared" si="204"/>
        <v>Profitable</v>
      </c>
      <c r="M2186" s="2" t="str">
        <f t="shared" si="205"/>
        <v>High Volatility</v>
      </c>
      <c r="N2186" s="2" t="str">
        <f t="shared" si="206"/>
        <v>Low Quality</v>
      </c>
      <c r="O2186" s="4" t="str">
        <f t="shared" si="207"/>
        <v>Operational Growth</v>
      </c>
      <c r="P2186" s="4" t="str">
        <f t="shared" si="208"/>
        <v>Low Quality</v>
      </c>
      <c r="Q2186" s="4" t="str">
        <f t="shared" si="209"/>
        <v>Weak Growth</v>
      </c>
    </row>
    <row r="2187" spans="1:17" x14ac:dyDescent="0.35">
      <c r="A2187" s="2" t="s">
        <v>2198</v>
      </c>
      <c r="B2187" s="2">
        <v>5</v>
      </c>
      <c r="C2187" s="2">
        <v>2535461974</v>
      </c>
      <c r="D2187" s="2">
        <v>1</v>
      </c>
      <c r="E2187" s="2">
        <v>307170098.69999999</v>
      </c>
      <c r="F2187" s="2">
        <v>511372070</v>
      </c>
      <c r="G2187" s="2">
        <v>1</v>
      </c>
      <c r="H2187" s="2">
        <v>4</v>
      </c>
      <c r="I2187" s="2">
        <v>1</v>
      </c>
      <c r="J2187" s="2">
        <v>1.9</v>
      </c>
      <c r="K2187" s="2" t="s">
        <v>1268</v>
      </c>
      <c r="L2187" s="2" t="str">
        <f t="shared" si="204"/>
        <v>Profitable</v>
      </c>
      <c r="M2187" s="2" t="str">
        <f t="shared" si="205"/>
        <v>High Volatility</v>
      </c>
      <c r="N2187" s="2" t="str">
        <f t="shared" si="206"/>
        <v>Low Quality</v>
      </c>
      <c r="O2187" s="4" t="str">
        <f t="shared" si="207"/>
        <v>Operational Growth</v>
      </c>
      <c r="P2187" s="4" t="str">
        <f t="shared" si="208"/>
        <v>Low Quality</v>
      </c>
      <c r="Q2187" s="4" t="str">
        <f t="shared" si="209"/>
        <v>Weak Growth</v>
      </c>
    </row>
    <row r="2188" spans="1:17" x14ac:dyDescent="0.35">
      <c r="A2188" s="2" t="s">
        <v>2199</v>
      </c>
      <c r="B2188" s="2">
        <v>5</v>
      </c>
      <c r="C2188" s="2">
        <v>1064993342</v>
      </c>
      <c r="D2188" s="2">
        <v>1</v>
      </c>
      <c r="E2188" s="2">
        <v>219011427</v>
      </c>
      <c r="F2188" s="2">
        <v>506059098.10000002</v>
      </c>
      <c r="G2188" s="2">
        <v>1</v>
      </c>
      <c r="H2188" s="2">
        <v>4</v>
      </c>
      <c r="I2188" s="2">
        <v>1</v>
      </c>
      <c r="J2188" s="2">
        <v>1.9</v>
      </c>
      <c r="K2188" s="2" t="s">
        <v>1268</v>
      </c>
      <c r="L2188" s="2" t="str">
        <f t="shared" si="204"/>
        <v>Profitable</v>
      </c>
      <c r="M2188" s="2" t="str">
        <f t="shared" si="205"/>
        <v>High Volatility</v>
      </c>
      <c r="N2188" s="2" t="str">
        <f t="shared" si="206"/>
        <v>Low Quality</v>
      </c>
      <c r="O2188" s="4" t="str">
        <f t="shared" si="207"/>
        <v>Operational Growth</v>
      </c>
      <c r="P2188" s="4" t="str">
        <f t="shared" si="208"/>
        <v>Low Quality</v>
      </c>
      <c r="Q2188" s="4" t="str">
        <f t="shared" si="209"/>
        <v>Weak Growth</v>
      </c>
    </row>
    <row r="2189" spans="1:17" x14ac:dyDescent="0.35">
      <c r="A2189" s="2" t="s">
        <v>2200</v>
      </c>
      <c r="B2189" s="2">
        <v>5</v>
      </c>
      <c r="C2189" s="2">
        <v>87943535.459999993</v>
      </c>
      <c r="D2189" s="2">
        <v>1</v>
      </c>
      <c r="E2189" s="2">
        <v>78944599.659999996</v>
      </c>
      <c r="F2189" s="2">
        <v>199123735.90000001</v>
      </c>
      <c r="G2189" s="2">
        <v>1</v>
      </c>
      <c r="H2189" s="2">
        <v>3</v>
      </c>
      <c r="I2189" s="2">
        <v>2</v>
      </c>
      <c r="J2189" s="2">
        <v>1.8</v>
      </c>
      <c r="K2189" s="2" t="s">
        <v>1268</v>
      </c>
      <c r="L2189" s="2" t="str">
        <f t="shared" si="204"/>
        <v>Profitable</v>
      </c>
      <c r="M2189" s="2" t="str">
        <f t="shared" si="205"/>
        <v>Stable Earnings</v>
      </c>
      <c r="N2189" s="2" t="str">
        <f t="shared" si="206"/>
        <v>Low Quality</v>
      </c>
      <c r="O2189" s="4" t="str">
        <f t="shared" si="207"/>
        <v>Operational Growth</v>
      </c>
      <c r="P2189" s="4" t="str">
        <f t="shared" si="208"/>
        <v>Low Quality</v>
      </c>
      <c r="Q2189" s="4" t="str">
        <f t="shared" si="209"/>
        <v>Moderate Growth</v>
      </c>
    </row>
    <row r="2190" spans="1:17" x14ac:dyDescent="0.35">
      <c r="A2190" s="2" t="s">
        <v>2201</v>
      </c>
      <c r="B2190" s="2">
        <v>5</v>
      </c>
      <c r="C2190" s="2">
        <v>194353572.40000001</v>
      </c>
      <c r="D2190" s="2">
        <v>1</v>
      </c>
      <c r="E2190" s="2">
        <v>84782032.370000005</v>
      </c>
      <c r="F2190" s="2">
        <v>194030621</v>
      </c>
      <c r="G2190" s="2">
        <v>1</v>
      </c>
      <c r="H2190" s="2">
        <v>3</v>
      </c>
      <c r="I2190" s="2">
        <v>2</v>
      </c>
      <c r="J2190" s="2">
        <v>1.8</v>
      </c>
      <c r="K2190" s="2" t="s">
        <v>1268</v>
      </c>
      <c r="L2190" s="2" t="str">
        <f t="shared" si="204"/>
        <v>Profitable</v>
      </c>
      <c r="M2190" s="2" t="str">
        <f t="shared" si="205"/>
        <v>Stable Earnings</v>
      </c>
      <c r="N2190" s="2" t="str">
        <f t="shared" si="206"/>
        <v>Low Quality</v>
      </c>
      <c r="O2190" s="4" t="str">
        <f t="shared" si="207"/>
        <v>Operational Growth</v>
      </c>
      <c r="P2190" s="4" t="str">
        <f t="shared" si="208"/>
        <v>Low Quality</v>
      </c>
      <c r="Q2190" s="4" t="str">
        <f t="shared" si="209"/>
        <v>Moderate Growth</v>
      </c>
    </row>
    <row r="2191" spans="1:17" x14ac:dyDescent="0.35">
      <c r="A2191" s="2" t="s">
        <v>2202</v>
      </c>
      <c r="B2191" s="2">
        <v>5</v>
      </c>
      <c r="C2191" s="2">
        <v>164139591.09999999</v>
      </c>
      <c r="D2191" s="2">
        <v>1</v>
      </c>
      <c r="E2191" s="2">
        <v>107032899</v>
      </c>
      <c r="F2191" s="2">
        <v>151480465.09999999</v>
      </c>
      <c r="G2191" s="2">
        <v>1</v>
      </c>
      <c r="H2191" s="2">
        <v>3</v>
      </c>
      <c r="I2191" s="2">
        <v>2</v>
      </c>
      <c r="J2191" s="2">
        <v>1.8</v>
      </c>
      <c r="K2191" s="2" t="s">
        <v>1268</v>
      </c>
      <c r="L2191" s="2" t="str">
        <f t="shared" si="204"/>
        <v>Profitable</v>
      </c>
      <c r="M2191" s="2" t="str">
        <f t="shared" si="205"/>
        <v>Stable Earnings</v>
      </c>
      <c r="N2191" s="2" t="str">
        <f t="shared" si="206"/>
        <v>Low Quality</v>
      </c>
      <c r="O2191" s="4" t="str">
        <f t="shared" si="207"/>
        <v>Operational Growth</v>
      </c>
      <c r="P2191" s="4" t="str">
        <f t="shared" si="208"/>
        <v>Low Quality</v>
      </c>
      <c r="Q2191" s="4" t="str">
        <f t="shared" si="209"/>
        <v>Moderate Growth</v>
      </c>
    </row>
    <row r="2192" spans="1:17" x14ac:dyDescent="0.35">
      <c r="A2192" s="2" t="s">
        <v>2203</v>
      </c>
      <c r="B2192" s="2">
        <v>5</v>
      </c>
      <c r="C2192" s="2">
        <v>481120325.69999999</v>
      </c>
      <c r="D2192" s="2">
        <v>1</v>
      </c>
      <c r="E2192" s="2">
        <v>83781571.819999993</v>
      </c>
      <c r="F2192" s="2">
        <v>151221492.59999999</v>
      </c>
      <c r="G2192" s="2">
        <v>1</v>
      </c>
      <c r="H2192" s="2">
        <v>3</v>
      </c>
      <c r="I2192" s="2">
        <v>2</v>
      </c>
      <c r="J2192" s="2">
        <v>1.8</v>
      </c>
      <c r="K2192" s="2" t="s">
        <v>1268</v>
      </c>
      <c r="L2192" s="2" t="str">
        <f t="shared" si="204"/>
        <v>Profitable</v>
      </c>
      <c r="M2192" s="2" t="str">
        <f t="shared" si="205"/>
        <v>Stable Earnings</v>
      </c>
      <c r="N2192" s="2" t="str">
        <f t="shared" si="206"/>
        <v>Low Quality</v>
      </c>
      <c r="O2192" s="4" t="str">
        <f t="shared" si="207"/>
        <v>Operational Growth</v>
      </c>
      <c r="P2192" s="4" t="str">
        <f t="shared" si="208"/>
        <v>Low Quality</v>
      </c>
      <c r="Q2192" s="4" t="str">
        <f t="shared" si="209"/>
        <v>Moderate Growth</v>
      </c>
    </row>
    <row r="2193" spans="1:17" x14ac:dyDescent="0.35">
      <c r="A2193" s="2" t="s">
        <v>2204</v>
      </c>
      <c r="B2193" s="2">
        <v>5</v>
      </c>
      <c r="C2193" s="2">
        <v>97013911.120000005</v>
      </c>
      <c r="D2193" s="2">
        <v>1</v>
      </c>
      <c r="E2193" s="2">
        <v>74981533.950000003</v>
      </c>
      <c r="F2193" s="2">
        <v>157114575.59999999</v>
      </c>
      <c r="G2193" s="2">
        <v>1</v>
      </c>
      <c r="H2193" s="2">
        <v>3</v>
      </c>
      <c r="I2193" s="2">
        <v>2</v>
      </c>
      <c r="J2193" s="2">
        <v>1.8</v>
      </c>
      <c r="K2193" s="2" t="s">
        <v>1268</v>
      </c>
      <c r="L2193" s="2" t="str">
        <f t="shared" si="204"/>
        <v>Profitable</v>
      </c>
      <c r="M2193" s="2" t="str">
        <f t="shared" si="205"/>
        <v>Stable Earnings</v>
      </c>
      <c r="N2193" s="2" t="str">
        <f t="shared" si="206"/>
        <v>Low Quality</v>
      </c>
      <c r="O2193" s="4" t="str">
        <f t="shared" si="207"/>
        <v>Operational Growth</v>
      </c>
      <c r="P2193" s="4" t="str">
        <f t="shared" si="208"/>
        <v>Low Quality</v>
      </c>
      <c r="Q2193" s="4" t="str">
        <f t="shared" si="209"/>
        <v>Moderate Growth</v>
      </c>
    </row>
    <row r="2194" spans="1:17" x14ac:dyDescent="0.35">
      <c r="A2194" s="2" t="s">
        <v>2205</v>
      </c>
      <c r="B2194" s="2">
        <v>5</v>
      </c>
      <c r="C2194" s="2">
        <v>147611737</v>
      </c>
      <c r="D2194" s="2">
        <v>1</v>
      </c>
      <c r="E2194" s="2">
        <v>76976640.799999997</v>
      </c>
      <c r="F2194" s="2">
        <v>170244406</v>
      </c>
      <c r="G2194" s="2">
        <v>1</v>
      </c>
      <c r="H2194" s="2">
        <v>3</v>
      </c>
      <c r="I2194" s="2">
        <v>2</v>
      </c>
      <c r="J2194" s="2">
        <v>1.8</v>
      </c>
      <c r="K2194" s="2" t="s">
        <v>1268</v>
      </c>
      <c r="L2194" s="2" t="str">
        <f t="shared" si="204"/>
        <v>Profitable</v>
      </c>
      <c r="M2194" s="2" t="str">
        <f t="shared" si="205"/>
        <v>Stable Earnings</v>
      </c>
      <c r="N2194" s="2" t="str">
        <f t="shared" si="206"/>
        <v>Low Quality</v>
      </c>
      <c r="O2194" s="4" t="str">
        <f t="shared" si="207"/>
        <v>Operational Growth</v>
      </c>
      <c r="P2194" s="4" t="str">
        <f t="shared" si="208"/>
        <v>Low Quality</v>
      </c>
      <c r="Q2194" s="4" t="str">
        <f t="shared" si="209"/>
        <v>Moderate Growth</v>
      </c>
    </row>
    <row r="2195" spans="1:17" x14ac:dyDescent="0.35">
      <c r="A2195" s="2" t="s">
        <v>2206</v>
      </c>
      <c r="B2195" s="2">
        <v>5</v>
      </c>
      <c r="C2195" s="2">
        <v>100761214.59999999</v>
      </c>
      <c r="D2195" s="2">
        <v>1</v>
      </c>
      <c r="E2195" s="2">
        <v>80129611.670000002</v>
      </c>
      <c r="F2195" s="2">
        <v>166202448.19999999</v>
      </c>
      <c r="G2195" s="2">
        <v>1</v>
      </c>
      <c r="H2195" s="2">
        <v>3</v>
      </c>
      <c r="I2195" s="2">
        <v>2</v>
      </c>
      <c r="J2195" s="2">
        <v>1.8</v>
      </c>
      <c r="K2195" s="2" t="s">
        <v>1268</v>
      </c>
      <c r="L2195" s="2" t="str">
        <f t="shared" si="204"/>
        <v>Profitable</v>
      </c>
      <c r="M2195" s="2" t="str">
        <f t="shared" si="205"/>
        <v>Stable Earnings</v>
      </c>
      <c r="N2195" s="2" t="str">
        <f t="shared" si="206"/>
        <v>Low Quality</v>
      </c>
      <c r="O2195" s="4" t="str">
        <f t="shared" si="207"/>
        <v>Operational Growth</v>
      </c>
      <c r="P2195" s="4" t="str">
        <f t="shared" si="208"/>
        <v>Low Quality</v>
      </c>
      <c r="Q2195" s="4" t="str">
        <f t="shared" si="209"/>
        <v>Moderate Growth</v>
      </c>
    </row>
    <row r="2196" spans="1:17" x14ac:dyDescent="0.35">
      <c r="A2196" s="2" t="s">
        <v>2207</v>
      </c>
      <c r="B2196" s="2">
        <v>5</v>
      </c>
      <c r="C2196" s="2">
        <v>613142164.70000005</v>
      </c>
      <c r="D2196" s="2">
        <v>1</v>
      </c>
      <c r="E2196" s="2">
        <v>68807882.150000006</v>
      </c>
      <c r="F2196" s="2">
        <v>165775881.40000001</v>
      </c>
      <c r="G2196" s="2">
        <v>1</v>
      </c>
      <c r="H2196" s="2">
        <v>3</v>
      </c>
      <c r="I2196" s="2">
        <v>2</v>
      </c>
      <c r="J2196" s="2">
        <v>1.8</v>
      </c>
      <c r="K2196" s="2" t="s">
        <v>1268</v>
      </c>
      <c r="L2196" s="2" t="str">
        <f t="shared" si="204"/>
        <v>Profitable</v>
      </c>
      <c r="M2196" s="2" t="str">
        <f t="shared" si="205"/>
        <v>High Volatility</v>
      </c>
      <c r="N2196" s="2" t="str">
        <f t="shared" si="206"/>
        <v>Low Quality</v>
      </c>
      <c r="O2196" s="4" t="str">
        <f t="shared" si="207"/>
        <v>Operational Growth</v>
      </c>
      <c r="P2196" s="4" t="str">
        <f t="shared" si="208"/>
        <v>Low Quality</v>
      </c>
      <c r="Q2196" s="4" t="str">
        <f t="shared" si="209"/>
        <v>Moderate Growth</v>
      </c>
    </row>
    <row r="2197" spans="1:17" x14ac:dyDescent="0.35">
      <c r="A2197" s="2" t="s">
        <v>2208</v>
      </c>
      <c r="B2197" s="2">
        <v>5</v>
      </c>
      <c r="C2197" s="2">
        <v>414750493.19999999</v>
      </c>
      <c r="D2197" s="2">
        <v>1</v>
      </c>
      <c r="E2197" s="2">
        <v>75491202.430000007</v>
      </c>
      <c r="F2197" s="2">
        <v>165024966.59999999</v>
      </c>
      <c r="G2197" s="2">
        <v>1</v>
      </c>
      <c r="H2197" s="2">
        <v>3</v>
      </c>
      <c r="I2197" s="2">
        <v>2</v>
      </c>
      <c r="J2197" s="2">
        <v>1.8</v>
      </c>
      <c r="K2197" s="2" t="s">
        <v>1268</v>
      </c>
      <c r="L2197" s="2" t="str">
        <f t="shared" si="204"/>
        <v>Profitable</v>
      </c>
      <c r="M2197" s="2" t="str">
        <f t="shared" si="205"/>
        <v>Stable Earnings</v>
      </c>
      <c r="N2197" s="2" t="str">
        <f t="shared" si="206"/>
        <v>Low Quality</v>
      </c>
      <c r="O2197" s="4" t="str">
        <f t="shared" si="207"/>
        <v>Operational Growth</v>
      </c>
      <c r="P2197" s="4" t="str">
        <f t="shared" si="208"/>
        <v>Low Quality</v>
      </c>
      <c r="Q2197" s="4" t="str">
        <f t="shared" si="209"/>
        <v>Moderate Growth</v>
      </c>
    </row>
    <row r="2198" spans="1:17" x14ac:dyDescent="0.35">
      <c r="A2198" s="2" t="s">
        <v>2209</v>
      </c>
      <c r="B2198" s="2">
        <v>5</v>
      </c>
      <c r="C2198" s="2">
        <v>468670609.60000002</v>
      </c>
      <c r="D2198" s="2">
        <v>1</v>
      </c>
      <c r="E2198" s="2">
        <v>85943137.269999996</v>
      </c>
      <c r="F2198" s="2">
        <v>163624705.40000001</v>
      </c>
      <c r="G2198" s="2">
        <v>1</v>
      </c>
      <c r="H2198" s="2">
        <v>3</v>
      </c>
      <c r="I2198" s="2">
        <v>2</v>
      </c>
      <c r="J2198" s="2">
        <v>1.8</v>
      </c>
      <c r="K2198" s="2" t="s">
        <v>1268</v>
      </c>
      <c r="L2198" s="2" t="str">
        <f t="shared" si="204"/>
        <v>Profitable</v>
      </c>
      <c r="M2198" s="2" t="str">
        <f t="shared" si="205"/>
        <v>Stable Earnings</v>
      </c>
      <c r="N2198" s="2" t="str">
        <f t="shared" si="206"/>
        <v>Low Quality</v>
      </c>
      <c r="O2198" s="4" t="str">
        <f t="shared" si="207"/>
        <v>Operational Growth</v>
      </c>
      <c r="P2198" s="4" t="str">
        <f t="shared" si="208"/>
        <v>Low Quality</v>
      </c>
      <c r="Q2198" s="4" t="str">
        <f t="shared" si="209"/>
        <v>Moderate Growth</v>
      </c>
    </row>
    <row r="2199" spans="1:17" x14ac:dyDescent="0.35">
      <c r="A2199" s="2" t="s">
        <v>2210</v>
      </c>
      <c r="B2199" s="2">
        <v>5</v>
      </c>
      <c r="C2199" s="2">
        <v>168641013.09999999</v>
      </c>
      <c r="D2199" s="2">
        <v>1</v>
      </c>
      <c r="E2199" s="2">
        <v>81491527.810000002</v>
      </c>
      <c r="F2199" s="2">
        <v>137003214.30000001</v>
      </c>
      <c r="G2199" s="2">
        <v>1</v>
      </c>
      <c r="H2199" s="2">
        <v>3</v>
      </c>
      <c r="I2199" s="2">
        <v>2</v>
      </c>
      <c r="J2199" s="2">
        <v>1.8</v>
      </c>
      <c r="K2199" s="2" t="s">
        <v>1268</v>
      </c>
      <c r="L2199" s="2" t="str">
        <f t="shared" si="204"/>
        <v>Profitable</v>
      </c>
      <c r="M2199" s="2" t="str">
        <f t="shared" si="205"/>
        <v>Stable Earnings</v>
      </c>
      <c r="N2199" s="2" t="str">
        <f t="shared" si="206"/>
        <v>Low Quality</v>
      </c>
      <c r="O2199" s="4" t="str">
        <f t="shared" si="207"/>
        <v>Operational Growth</v>
      </c>
      <c r="P2199" s="4" t="str">
        <f t="shared" si="208"/>
        <v>Low Quality</v>
      </c>
      <c r="Q2199" s="4" t="str">
        <f t="shared" si="209"/>
        <v>Moderate Growth</v>
      </c>
    </row>
    <row r="2200" spans="1:17" x14ac:dyDescent="0.35">
      <c r="A2200" s="2" t="s">
        <v>2211</v>
      </c>
      <c r="B2200" s="2">
        <v>5</v>
      </c>
      <c r="C2200" s="2">
        <v>132550249.2</v>
      </c>
      <c r="D2200" s="2">
        <v>1</v>
      </c>
      <c r="E2200" s="2">
        <v>60237274.380000003</v>
      </c>
      <c r="F2200" s="2">
        <v>136788002.80000001</v>
      </c>
      <c r="G2200" s="2">
        <v>1</v>
      </c>
      <c r="H2200" s="2">
        <v>3</v>
      </c>
      <c r="I2200" s="2">
        <v>2</v>
      </c>
      <c r="J2200" s="2">
        <v>1.8</v>
      </c>
      <c r="K2200" s="2" t="s">
        <v>1268</v>
      </c>
      <c r="L2200" s="2" t="str">
        <f t="shared" si="204"/>
        <v>Profitable</v>
      </c>
      <c r="M2200" s="2" t="str">
        <f t="shared" si="205"/>
        <v>Stable Earnings</v>
      </c>
      <c r="N2200" s="2" t="str">
        <f t="shared" si="206"/>
        <v>Low Quality</v>
      </c>
      <c r="O2200" s="4" t="str">
        <f t="shared" si="207"/>
        <v>Operational Growth</v>
      </c>
      <c r="P2200" s="4" t="str">
        <f t="shared" si="208"/>
        <v>Low Quality</v>
      </c>
      <c r="Q2200" s="4" t="str">
        <f t="shared" si="209"/>
        <v>Moderate Growth</v>
      </c>
    </row>
    <row r="2201" spans="1:17" x14ac:dyDescent="0.35">
      <c r="A2201" s="2" t="s">
        <v>2212</v>
      </c>
      <c r="B2201" s="2">
        <v>5</v>
      </c>
      <c r="C2201" s="2">
        <v>382539646.19999999</v>
      </c>
      <c r="D2201" s="2">
        <v>1</v>
      </c>
      <c r="E2201" s="2">
        <v>83064737.319999993</v>
      </c>
      <c r="F2201" s="2">
        <v>139600088.59999999</v>
      </c>
      <c r="G2201" s="2">
        <v>1</v>
      </c>
      <c r="H2201" s="2">
        <v>3</v>
      </c>
      <c r="I2201" s="2">
        <v>2</v>
      </c>
      <c r="J2201" s="2">
        <v>1.8</v>
      </c>
      <c r="K2201" s="2" t="s">
        <v>1268</v>
      </c>
      <c r="L2201" s="2" t="str">
        <f t="shared" si="204"/>
        <v>Profitable</v>
      </c>
      <c r="M2201" s="2" t="str">
        <f t="shared" si="205"/>
        <v>Stable Earnings</v>
      </c>
      <c r="N2201" s="2" t="str">
        <f t="shared" si="206"/>
        <v>Low Quality</v>
      </c>
      <c r="O2201" s="4" t="str">
        <f t="shared" si="207"/>
        <v>Operational Growth</v>
      </c>
      <c r="P2201" s="4" t="str">
        <f t="shared" si="208"/>
        <v>Low Quality</v>
      </c>
      <c r="Q2201" s="4" t="str">
        <f t="shared" si="209"/>
        <v>Moderate Growth</v>
      </c>
    </row>
    <row r="2202" spans="1:17" x14ac:dyDescent="0.35">
      <c r="A2202" s="2" t="s">
        <v>2213</v>
      </c>
      <c r="B2202" s="2">
        <v>5</v>
      </c>
      <c r="C2202" s="2">
        <v>361851865.39999998</v>
      </c>
      <c r="D2202" s="2">
        <v>1</v>
      </c>
      <c r="E2202" s="2">
        <v>71598051.780000001</v>
      </c>
      <c r="F2202" s="2">
        <v>139348442.90000001</v>
      </c>
      <c r="G2202" s="2">
        <v>1</v>
      </c>
      <c r="H2202" s="2">
        <v>3</v>
      </c>
      <c r="I2202" s="2">
        <v>2</v>
      </c>
      <c r="J2202" s="2">
        <v>1.8</v>
      </c>
      <c r="K2202" s="2" t="s">
        <v>1268</v>
      </c>
      <c r="L2202" s="2" t="str">
        <f t="shared" si="204"/>
        <v>Profitable</v>
      </c>
      <c r="M2202" s="2" t="str">
        <f t="shared" si="205"/>
        <v>Stable Earnings</v>
      </c>
      <c r="N2202" s="2" t="str">
        <f t="shared" si="206"/>
        <v>Low Quality</v>
      </c>
      <c r="O2202" s="4" t="str">
        <f t="shared" si="207"/>
        <v>Operational Growth</v>
      </c>
      <c r="P2202" s="4" t="str">
        <f t="shared" si="208"/>
        <v>Low Quality</v>
      </c>
      <c r="Q2202" s="4" t="str">
        <f t="shared" si="209"/>
        <v>Moderate Growth</v>
      </c>
    </row>
    <row r="2203" spans="1:17" x14ac:dyDescent="0.35">
      <c r="A2203" s="2" t="s">
        <v>2214</v>
      </c>
      <c r="B2203" s="2">
        <v>5</v>
      </c>
      <c r="C2203" s="2">
        <v>109203282</v>
      </c>
      <c r="D2203" s="2">
        <v>1</v>
      </c>
      <c r="E2203" s="2">
        <v>61923741.859999999</v>
      </c>
      <c r="F2203" s="2">
        <v>128876506.09999999</v>
      </c>
      <c r="G2203" s="2">
        <v>1</v>
      </c>
      <c r="H2203" s="2">
        <v>3</v>
      </c>
      <c r="I2203" s="2">
        <v>2</v>
      </c>
      <c r="J2203" s="2">
        <v>1.8</v>
      </c>
      <c r="K2203" s="2" t="s">
        <v>1268</v>
      </c>
      <c r="L2203" s="2" t="str">
        <f t="shared" si="204"/>
        <v>Profitable</v>
      </c>
      <c r="M2203" s="2" t="str">
        <f t="shared" si="205"/>
        <v>Stable Earnings</v>
      </c>
      <c r="N2203" s="2" t="str">
        <f t="shared" si="206"/>
        <v>Low Quality</v>
      </c>
      <c r="O2203" s="4" t="str">
        <f t="shared" si="207"/>
        <v>Operational Growth</v>
      </c>
      <c r="P2203" s="4" t="str">
        <f t="shared" si="208"/>
        <v>Low Quality</v>
      </c>
      <c r="Q2203" s="4" t="str">
        <f t="shared" si="209"/>
        <v>Moderate Growth</v>
      </c>
    </row>
    <row r="2204" spans="1:17" x14ac:dyDescent="0.35">
      <c r="A2204" s="2" t="s">
        <v>2215</v>
      </c>
      <c r="B2204" s="2">
        <v>5</v>
      </c>
      <c r="C2204" s="2">
        <v>225899933.30000001</v>
      </c>
      <c r="D2204" s="2">
        <v>1</v>
      </c>
      <c r="E2204" s="2">
        <v>73304822.640000001</v>
      </c>
      <c r="F2204" s="2">
        <v>132015194.40000001</v>
      </c>
      <c r="G2204" s="2">
        <v>1</v>
      </c>
      <c r="H2204" s="2">
        <v>3</v>
      </c>
      <c r="I2204" s="2">
        <v>2</v>
      </c>
      <c r="J2204" s="2">
        <v>1.8</v>
      </c>
      <c r="K2204" s="2" t="s">
        <v>1268</v>
      </c>
      <c r="L2204" s="2" t="str">
        <f t="shared" si="204"/>
        <v>Profitable</v>
      </c>
      <c r="M2204" s="2" t="str">
        <f t="shared" si="205"/>
        <v>Stable Earnings</v>
      </c>
      <c r="N2204" s="2" t="str">
        <f t="shared" si="206"/>
        <v>Low Quality</v>
      </c>
      <c r="O2204" s="4" t="str">
        <f t="shared" si="207"/>
        <v>Operational Growth</v>
      </c>
      <c r="P2204" s="4" t="str">
        <f t="shared" si="208"/>
        <v>Low Quality</v>
      </c>
      <c r="Q2204" s="4" t="str">
        <f t="shared" si="209"/>
        <v>Moderate Growth</v>
      </c>
    </row>
    <row r="2205" spans="1:17" x14ac:dyDescent="0.35">
      <c r="A2205" s="2" t="s">
        <v>2216</v>
      </c>
      <c r="B2205" s="2">
        <v>5</v>
      </c>
      <c r="C2205" s="2">
        <v>440806270.39999998</v>
      </c>
      <c r="D2205" s="2">
        <v>1</v>
      </c>
      <c r="E2205" s="2">
        <v>84772121.010000005</v>
      </c>
      <c r="F2205" s="2">
        <v>150759223.30000001</v>
      </c>
      <c r="G2205" s="2">
        <v>1</v>
      </c>
      <c r="H2205" s="2">
        <v>3</v>
      </c>
      <c r="I2205" s="2">
        <v>2</v>
      </c>
      <c r="J2205" s="2">
        <v>1.8</v>
      </c>
      <c r="K2205" s="2" t="s">
        <v>1268</v>
      </c>
      <c r="L2205" s="2" t="str">
        <f t="shared" si="204"/>
        <v>Profitable</v>
      </c>
      <c r="M2205" s="2" t="str">
        <f t="shared" si="205"/>
        <v>Stable Earnings</v>
      </c>
      <c r="N2205" s="2" t="str">
        <f t="shared" si="206"/>
        <v>Low Quality</v>
      </c>
      <c r="O2205" s="4" t="str">
        <f t="shared" si="207"/>
        <v>Operational Growth</v>
      </c>
      <c r="P2205" s="4" t="str">
        <f t="shared" si="208"/>
        <v>Low Quality</v>
      </c>
      <c r="Q2205" s="4" t="str">
        <f t="shared" si="209"/>
        <v>Moderate Growth</v>
      </c>
    </row>
    <row r="2206" spans="1:17" x14ac:dyDescent="0.35">
      <c r="A2206" s="2" t="s">
        <v>2217</v>
      </c>
      <c r="B2206" s="2">
        <v>5</v>
      </c>
      <c r="C2206" s="2">
        <v>101450967.40000001</v>
      </c>
      <c r="D2206" s="2">
        <v>1</v>
      </c>
      <c r="E2206" s="2">
        <v>63348282.460000001</v>
      </c>
      <c r="F2206" s="2">
        <v>148386316.69999999</v>
      </c>
      <c r="G2206" s="2">
        <v>1</v>
      </c>
      <c r="H2206" s="2">
        <v>3</v>
      </c>
      <c r="I2206" s="2">
        <v>2</v>
      </c>
      <c r="J2206" s="2">
        <v>1.8</v>
      </c>
      <c r="K2206" s="2" t="s">
        <v>1268</v>
      </c>
      <c r="L2206" s="2" t="str">
        <f t="shared" si="204"/>
        <v>Profitable</v>
      </c>
      <c r="M2206" s="2" t="str">
        <f t="shared" si="205"/>
        <v>Stable Earnings</v>
      </c>
      <c r="N2206" s="2" t="str">
        <f t="shared" si="206"/>
        <v>Low Quality</v>
      </c>
      <c r="O2206" s="4" t="str">
        <f t="shared" si="207"/>
        <v>Operational Growth</v>
      </c>
      <c r="P2206" s="4" t="str">
        <f t="shared" si="208"/>
        <v>Low Quality</v>
      </c>
      <c r="Q2206" s="4" t="str">
        <f t="shared" si="209"/>
        <v>Moderate Growth</v>
      </c>
    </row>
    <row r="2207" spans="1:17" x14ac:dyDescent="0.35">
      <c r="A2207" s="2" t="s">
        <v>2218</v>
      </c>
      <c r="B2207" s="2">
        <v>5</v>
      </c>
      <c r="C2207" s="2">
        <v>720739874.39999998</v>
      </c>
      <c r="D2207" s="2">
        <v>1</v>
      </c>
      <c r="E2207" s="2">
        <v>110485539.2</v>
      </c>
      <c r="F2207" s="2">
        <v>143216449.19999999</v>
      </c>
      <c r="G2207" s="2">
        <v>1</v>
      </c>
      <c r="H2207" s="2">
        <v>3</v>
      </c>
      <c r="I2207" s="2">
        <v>2</v>
      </c>
      <c r="J2207" s="2">
        <v>1.8</v>
      </c>
      <c r="K2207" s="2" t="s">
        <v>1268</v>
      </c>
      <c r="L2207" s="2" t="str">
        <f t="shared" si="204"/>
        <v>Profitable</v>
      </c>
      <c r="M2207" s="2" t="str">
        <f t="shared" si="205"/>
        <v>High Volatility</v>
      </c>
      <c r="N2207" s="2" t="str">
        <f t="shared" si="206"/>
        <v>Low Quality</v>
      </c>
      <c r="O2207" s="4" t="str">
        <f t="shared" si="207"/>
        <v>Operational Growth</v>
      </c>
      <c r="P2207" s="4" t="str">
        <f t="shared" si="208"/>
        <v>Low Quality</v>
      </c>
      <c r="Q2207" s="4" t="str">
        <f t="shared" si="209"/>
        <v>Moderate Growth</v>
      </c>
    </row>
    <row r="2208" spans="1:17" x14ac:dyDescent="0.35">
      <c r="A2208" s="2" t="s">
        <v>2219</v>
      </c>
      <c r="B2208" s="2">
        <v>5</v>
      </c>
      <c r="C2208" s="2">
        <v>639158240.20000005</v>
      </c>
      <c r="D2208" s="2">
        <v>1</v>
      </c>
      <c r="E2208" s="2">
        <v>56928700.350000001</v>
      </c>
      <c r="F2208" s="2">
        <v>141852450.59999999</v>
      </c>
      <c r="G2208" s="2">
        <v>1</v>
      </c>
      <c r="H2208" s="2">
        <v>3</v>
      </c>
      <c r="I2208" s="2">
        <v>2</v>
      </c>
      <c r="J2208" s="2">
        <v>1.8</v>
      </c>
      <c r="K2208" s="2" t="s">
        <v>1268</v>
      </c>
      <c r="L2208" s="2" t="str">
        <f t="shared" si="204"/>
        <v>Profitable</v>
      </c>
      <c r="M2208" s="2" t="str">
        <f t="shared" si="205"/>
        <v>High Volatility</v>
      </c>
      <c r="N2208" s="2" t="str">
        <f t="shared" si="206"/>
        <v>Low Quality</v>
      </c>
      <c r="O2208" s="4" t="str">
        <f t="shared" si="207"/>
        <v>Operational Growth</v>
      </c>
      <c r="P2208" s="4" t="str">
        <f t="shared" si="208"/>
        <v>Low Quality</v>
      </c>
      <c r="Q2208" s="4" t="str">
        <f t="shared" si="209"/>
        <v>Moderate Growth</v>
      </c>
    </row>
    <row r="2209" spans="1:17" x14ac:dyDescent="0.35">
      <c r="A2209" s="2" t="s">
        <v>2220</v>
      </c>
      <c r="B2209" s="2">
        <v>5</v>
      </c>
      <c r="C2209" s="2">
        <v>103202511.09999999</v>
      </c>
      <c r="D2209" s="2">
        <v>1</v>
      </c>
      <c r="E2209" s="2">
        <v>59418485.57</v>
      </c>
      <c r="F2209" s="2">
        <v>141062071.19999999</v>
      </c>
      <c r="G2209" s="2">
        <v>1</v>
      </c>
      <c r="H2209" s="2">
        <v>3</v>
      </c>
      <c r="I2209" s="2">
        <v>2</v>
      </c>
      <c r="J2209" s="2">
        <v>1.8</v>
      </c>
      <c r="K2209" s="2" t="s">
        <v>1268</v>
      </c>
      <c r="L2209" s="2" t="str">
        <f t="shared" si="204"/>
        <v>Profitable</v>
      </c>
      <c r="M2209" s="2" t="str">
        <f t="shared" si="205"/>
        <v>Stable Earnings</v>
      </c>
      <c r="N2209" s="2" t="str">
        <f t="shared" si="206"/>
        <v>Low Quality</v>
      </c>
      <c r="O2209" s="4" t="str">
        <f t="shared" si="207"/>
        <v>Operational Growth</v>
      </c>
      <c r="P2209" s="4" t="str">
        <f t="shared" si="208"/>
        <v>Low Quality</v>
      </c>
      <c r="Q2209" s="4" t="str">
        <f t="shared" si="209"/>
        <v>Moderate Growth</v>
      </c>
    </row>
    <row r="2210" spans="1:17" x14ac:dyDescent="0.35">
      <c r="A2210" s="2" t="s">
        <v>2221</v>
      </c>
      <c r="B2210" s="2">
        <v>5</v>
      </c>
      <c r="C2210" s="2">
        <v>51509969.899999999</v>
      </c>
      <c r="D2210" s="2">
        <v>1</v>
      </c>
      <c r="E2210" s="2">
        <v>50515404.240000002</v>
      </c>
      <c r="F2210" s="2">
        <v>26924927.600000001</v>
      </c>
      <c r="G2210" s="2">
        <v>1</v>
      </c>
      <c r="H2210" s="2">
        <v>3</v>
      </c>
      <c r="I2210" s="2">
        <v>2</v>
      </c>
      <c r="J2210" s="2">
        <v>1.8</v>
      </c>
      <c r="K2210" s="2" t="s">
        <v>1268</v>
      </c>
      <c r="L2210" s="2" t="str">
        <f t="shared" si="204"/>
        <v>Profitable</v>
      </c>
      <c r="M2210" s="2" t="str">
        <f t="shared" si="205"/>
        <v>Stable Earnings</v>
      </c>
      <c r="N2210" s="2" t="str">
        <f t="shared" si="206"/>
        <v>Low Quality</v>
      </c>
      <c r="O2210" s="4" t="str">
        <f t="shared" si="207"/>
        <v>Operational Growth</v>
      </c>
      <c r="P2210" s="4" t="str">
        <f t="shared" si="208"/>
        <v>Low Quality</v>
      </c>
      <c r="Q2210" s="4" t="str">
        <f t="shared" si="209"/>
        <v>Moderate Growth</v>
      </c>
    </row>
    <row r="2211" spans="1:17" x14ac:dyDescent="0.35">
      <c r="A2211" s="2" t="s">
        <v>2222</v>
      </c>
      <c r="B2211" s="2">
        <v>5</v>
      </c>
      <c r="C2211" s="2">
        <v>93479086.040000007</v>
      </c>
      <c r="D2211" s="2">
        <v>1</v>
      </c>
      <c r="E2211" s="2">
        <v>48930659.850000001</v>
      </c>
      <c r="F2211" s="2">
        <v>27675377.5</v>
      </c>
      <c r="G2211" s="2">
        <v>1</v>
      </c>
      <c r="H2211" s="2">
        <v>3</v>
      </c>
      <c r="I2211" s="2">
        <v>2</v>
      </c>
      <c r="J2211" s="2">
        <v>1.8</v>
      </c>
      <c r="K2211" s="2" t="s">
        <v>1268</v>
      </c>
      <c r="L2211" s="2" t="str">
        <f t="shared" si="204"/>
        <v>Profitable</v>
      </c>
      <c r="M2211" s="2" t="str">
        <f t="shared" si="205"/>
        <v>Stable Earnings</v>
      </c>
      <c r="N2211" s="2" t="str">
        <f t="shared" si="206"/>
        <v>Low Quality</v>
      </c>
      <c r="O2211" s="4" t="str">
        <f t="shared" si="207"/>
        <v>Operational Growth</v>
      </c>
      <c r="P2211" s="4" t="str">
        <f t="shared" si="208"/>
        <v>Low Quality</v>
      </c>
      <c r="Q2211" s="4" t="str">
        <f t="shared" si="209"/>
        <v>Moderate Growth</v>
      </c>
    </row>
    <row r="2212" spans="1:17" x14ac:dyDescent="0.35">
      <c r="A2212" s="2" t="s">
        <v>2223</v>
      </c>
      <c r="B2212" s="2">
        <v>5</v>
      </c>
      <c r="C2212" s="2">
        <v>269550455.80000001</v>
      </c>
      <c r="D2212" s="2">
        <v>1</v>
      </c>
      <c r="E2212" s="2">
        <v>88319970.349999994</v>
      </c>
      <c r="F2212" s="2">
        <v>37270685.399999999</v>
      </c>
      <c r="G2212" s="2">
        <v>1</v>
      </c>
      <c r="H2212" s="2">
        <v>3</v>
      </c>
      <c r="I2212" s="2">
        <v>2</v>
      </c>
      <c r="J2212" s="2">
        <v>1.8</v>
      </c>
      <c r="K2212" s="2" t="s">
        <v>1268</v>
      </c>
      <c r="L2212" s="2" t="str">
        <f t="shared" si="204"/>
        <v>Profitable</v>
      </c>
      <c r="M2212" s="2" t="str">
        <f t="shared" si="205"/>
        <v>Stable Earnings</v>
      </c>
      <c r="N2212" s="2" t="str">
        <f t="shared" si="206"/>
        <v>Low Quality</v>
      </c>
      <c r="O2212" s="4" t="str">
        <f t="shared" si="207"/>
        <v>Operational Growth</v>
      </c>
      <c r="P2212" s="4" t="str">
        <f t="shared" si="208"/>
        <v>Low Quality</v>
      </c>
      <c r="Q2212" s="4" t="str">
        <f t="shared" si="209"/>
        <v>Moderate Growth</v>
      </c>
    </row>
    <row r="2213" spans="1:17" x14ac:dyDescent="0.35">
      <c r="A2213" s="2" t="s">
        <v>2224</v>
      </c>
      <c r="B2213" s="2">
        <v>5</v>
      </c>
      <c r="C2213" s="2">
        <v>188136708.19999999</v>
      </c>
      <c r="D2213" s="2">
        <v>1</v>
      </c>
      <c r="E2213" s="2">
        <v>62321332.399999999</v>
      </c>
      <c r="F2213" s="2">
        <v>37233218</v>
      </c>
      <c r="G2213" s="2">
        <v>1</v>
      </c>
      <c r="H2213" s="2">
        <v>3</v>
      </c>
      <c r="I2213" s="2">
        <v>2</v>
      </c>
      <c r="J2213" s="2">
        <v>1.8</v>
      </c>
      <c r="K2213" s="2" t="s">
        <v>1268</v>
      </c>
      <c r="L2213" s="2" t="str">
        <f t="shared" si="204"/>
        <v>Profitable</v>
      </c>
      <c r="M2213" s="2" t="str">
        <f t="shared" si="205"/>
        <v>Stable Earnings</v>
      </c>
      <c r="N2213" s="2" t="str">
        <f t="shared" si="206"/>
        <v>Low Quality</v>
      </c>
      <c r="O2213" s="4" t="str">
        <f t="shared" si="207"/>
        <v>Operational Growth</v>
      </c>
      <c r="P2213" s="4" t="str">
        <f t="shared" si="208"/>
        <v>Low Quality</v>
      </c>
      <c r="Q2213" s="4" t="str">
        <f t="shared" si="209"/>
        <v>Moderate Growth</v>
      </c>
    </row>
    <row r="2214" spans="1:17" x14ac:dyDescent="0.35">
      <c r="A2214" s="2" t="s">
        <v>2225</v>
      </c>
      <c r="B2214" s="2">
        <v>5</v>
      </c>
      <c r="C2214" s="2">
        <v>256488686.69999999</v>
      </c>
      <c r="D2214" s="2">
        <v>1</v>
      </c>
      <c r="E2214" s="2">
        <v>96080024.730000004</v>
      </c>
      <c r="F2214" s="2">
        <v>35561656.799999997</v>
      </c>
      <c r="G2214" s="2">
        <v>1</v>
      </c>
      <c r="H2214" s="2">
        <v>3</v>
      </c>
      <c r="I2214" s="2">
        <v>2</v>
      </c>
      <c r="J2214" s="2">
        <v>1.8</v>
      </c>
      <c r="K2214" s="2" t="s">
        <v>1268</v>
      </c>
      <c r="L2214" s="2" t="str">
        <f t="shared" si="204"/>
        <v>Profitable</v>
      </c>
      <c r="M2214" s="2" t="str">
        <f t="shared" si="205"/>
        <v>Stable Earnings</v>
      </c>
      <c r="N2214" s="2" t="str">
        <f t="shared" si="206"/>
        <v>Low Quality</v>
      </c>
      <c r="O2214" s="4" t="str">
        <f t="shared" si="207"/>
        <v>Operational Growth</v>
      </c>
      <c r="P2214" s="4" t="str">
        <f t="shared" si="208"/>
        <v>Low Quality</v>
      </c>
      <c r="Q2214" s="4" t="str">
        <f t="shared" si="209"/>
        <v>Moderate Growth</v>
      </c>
    </row>
    <row r="2215" spans="1:17" x14ac:dyDescent="0.35">
      <c r="A2215" s="2" t="s">
        <v>2226</v>
      </c>
      <c r="B2215" s="2">
        <v>5</v>
      </c>
      <c r="C2215" s="2">
        <v>652985477.39999998</v>
      </c>
      <c r="D2215" s="2">
        <v>1</v>
      </c>
      <c r="E2215" s="2">
        <v>105374544.5</v>
      </c>
      <c r="F2215" s="2">
        <v>34511390.200000003</v>
      </c>
      <c r="G2215" s="2">
        <v>1</v>
      </c>
      <c r="H2215" s="2">
        <v>3</v>
      </c>
      <c r="I2215" s="2">
        <v>2</v>
      </c>
      <c r="J2215" s="2">
        <v>1.8</v>
      </c>
      <c r="K2215" s="2" t="s">
        <v>1268</v>
      </c>
      <c r="L2215" s="2" t="str">
        <f t="shared" si="204"/>
        <v>Profitable</v>
      </c>
      <c r="M2215" s="2" t="str">
        <f t="shared" si="205"/>
        <v>High Volatility</v>
      </c>
      <c r="N2215" s="2" t="str">
        <f t="shared" si="206"/>
        <v>Low Quality</v>
      </c>
      <c r="O2215" s="4" t="str">
        <f t="shared" si="207"/>
        <v>Operational Growth</v>
      </c>
      <c r="P2215" s="4" t="str">
        <f t="shared" si="208"/>
        <v>Low Quality</v>
      </c>
      <c r="Q2215" s="4" t="str">
        <f t="shared" si="209"/>
        <v>Moderate Growth</v>
      </c>
    </row>
    <row r="2216" spans="1:17" x14ac:dyDescent="0.35">
      <c r="A2216" s="2" t="s">
        <v>2227</v>
      </c>
      <c r="B2216" s="2">
        <v>5</v>
      </c>
      <c r="C2216" s="2">
        <v>134916109.30000001</v>
      </c>
      <c r="D2216" s="2">
        <v>1</v>
      </c>
      <c r="E2216" s="2">
        <v>48777447.390000001</v>
      </c>
      <c r="F2216" s="2">
        <v>32358647.199999999</v>
      </c>
      <c r="G2216" s="2">
        <v>1</v>
      </c>
      <c r="H2216" s="2">
        <v>3</v>
      </c>
      <c r="I2216" s="2">
        <v>2</v>
      </c>
      <c r="J2216" s="2">
        <v>1.8</v>
      </c>
      <c r="K2216" s="2" t="s">
        <v>1268</v>
      </c>
      <c r="L2216" s="2" t="str">
        <f t="shared" si="204"/>
        <v>Profitable</v>
      </c>
      <c r="M2216" s="2" t="str">
        <f t="shared" si="205"/>
        <v>Stable Earnings</v>
      </c>
      <c r="N2216" s="2" t="str">
        <f t="shared" si="206"/>
        <v>Low Quality</v>
      </c>
      <c r="O2216" s="4" t="str">
        <f t="shared" si="207"/>
        <v>Operational Growth</v>
      </c>
      <c r="P2216" s="4" t="str">
        <f t="shared" si="208"/>
        <v>Low Quality</v>
      </c>
      <c r="Q2216" s="4" t="str">
        <f t="shared" si="209"/>
        <v>Moderate Growth</v>
      </c>
    </row>
    <row r="2217" spans="1:17" x14ac:dyDescent="0.35">
      <c r="A2217" s="2" t="s">
        <v>2228</v>
      </c>
      <c r="B2217" s="2">
        <v>5</v>
      </c>
      <c r="C2217" s="2">
        <v>267978672.59999999</v>
      </c>
      <c r="D2217" s="2">
        <v>1</v>
      </c>
      <c r="E2217" s="2">
        <v>60805455.909999996</v>
      </c>
      <c r="F2217" s="2">
        <v>41255876.299999997</v>
      </c>
      <c r="G2217" s="2">
        <v>1</v>
      </c>
      <c r="H2217" s="2">
        <v>3</v>
      </c>
      <c r="I2217" s="2">
        <v>2</v>
      </c>
      <c r="J2217" s="2">
        <v>1.8</v>
      </c>
      <c r="K2217" s="2" t="s">
        <v>1268</v>
      </c>
      <c r="L2217" s="2" t="str">
        <f t="shared" si="204"/>
        <v>Profitable</v>
      </c>
      <c r="M2217" s="2" t="str">
        <f t="shared" si="205"/>
        <v>Stable Earnings</v>
      </c>
      <c r="N2217" s="2" t="str">
        <f t="shared" si="206"/>
        <v>Low Quality</v>
      </c>
      <c r="O2217" s="4" t="str">
        <f t="shared" si="207"/>
        <v>Operational Growth</v>
      </c>
      <c r="P2217" s="4" t="str">
        <f t="shared" si="208"/>
        <v>Low Quality</v>
      </c>
      <c r="Q2217" s="4" t="str">
        <f t="shared" si="209"/>
        <v>Moderate Growth</v>
      </c>
    </row>
    <row r="2218" spans="1:17" x14ac:dyDescent="0.35">
      <c r="A2218" s="2" t="s">
        <v>2229</v>
      </c>
      <c r="B2218" s="2">
        <v>5</v>
      </c>
      <c r="C2218" s="2">
        <v>246816255.09999999</v>
      </c>
      <c r="D2218" s="2">
        <v>1</v>
      </c>
      <c r="E2218" s="2">
        <v>58179121.490000002</v>
      </c>
      <c r="F2218" s="2">
        <v>42582251.5</v>
      </c>
      <c r="G2218" s="2">
        <v>1</v>
      </c>
      <c r="H2218" s="2">
        <v>3</v>
      </c>
      <c r="I2218" s="2">
        <v>2</v>
      </c>
      <c r="J2218" s="2">
        <v>1.8</v>
      </c>
      <c r="K2218" s="2" t="s">
        <v>1268</v>
      </c>
      <c r="L2218" s="2" t="str">
        <f t="shared" si="204"/>
        <v>Profitable</v>
      </c>
      <c r="M2218" s="2" t="str">
        <f t="shared" si="205"/>
        <v>Stable Earnings</v>
      </c>
      <c r="N2218" s="2" t="str">
        <f t="shared" si="206"/>
        <v>Low Quality</v>
      </c>
      <c r="O2218" s="4" t="str">
        <f t="shared" si="207"/>
        <v>Operational Growth</v>
      </c>
      <c r="P2218" s="4" t="str">
        <f t="shared" si="208"/>
        <v>Low Quality</v>
      </c>
      <c r="Q2218" s="4" t="str">
        <f t="shared" si="209"/>
        <v>Moderate Growth</v>
      </c>
    </row>
    <row r="2219" spans="1:17" x14ac:dyDescent="0.35">
      <c r="A2219" s="2" t="s">
        <v>2230</v>
      </c>
      <c r="B2219" s="2">
        <v>5</v>
      </c>
      <c r="C2219" s="2">
        <v>238992799.5</v>
      </c>
      <c r="D2219" s="2">
        <v>1</v>
      </c>
      <c r="E2219" s="2">
        <v>100233705.5</v>
      </c>
      <c r="F2219" s="2">
        <v>44368245.899999999</v>
      </c>
      <c r="G2219" s="2">
        <v>1</v>
      </c>
      <c r="H2219" s="2">
        <v>3</v>
      </c>
      <c r="I2219" s="2">
        <v>2</v>
      </c>
      <c r="J2219" s="2">
        <v>1.8</v>
      </c>
      <c r="K2219" s="2" t="s">
        <v>1268</v>
      </c>
      <c r="L2219" s="2" t="str">
        <f t="shared" si="204"/>
        <v>Profitable</v>
      </c>
      <c r="M2219" s="2" t="str">
        <f t="shared" si="205"/>
        <v>Stable Earnings</v>
      </c>
      <c r="N2219" s="2" t="str">
        <f t="shared" si="206"/>
        <v>Low Quality</v>
      </c>
      <c r="O2219" s="4" t="str">
        <f t="shared" si="207"/>
        <v>Operational Growth</v>
      </c>
      <c r="P2219" s="4" t="str">
        <f t="shared" si="208"/>
        <v>Low Quality</v>
      </c>
      <c r="Q2219" s="4" t="str">
        <f t="shared" si="209"/>
        <v>Moderate Growth</v>
      </c>
    </row>
    <row r="2220" spans="1:17" x14ac:dyDescent="0.35">
      <c r="A2220" s="2" t="s">
        <v>2231</v>
      </c>
      <c r="B2220" s="2">
        <v>5</v>
      </c>
      <c r="C2220" s="2">
        <v>173523831.30000001</v>
      </c>
      <c r="D2220" s="2">
        <v>1</v>
      </c>
      <c r="E2220" s="2">
        <v>59939391.619999997</v>
      </c>
      <c r="F2220" s="2">
        <v>47643742.399999999</v>
      </c>
      <c r="G2220" s="2">
        <v>1</v>
      </c>
      <c r="H2220" s="2">
        <v>3</v>
      </c>
      <c r="I2220" s="2">
        <v>2</v>
      </c>
      <c r="J2220" s="2">
        <v>1.8</v>
      </c>
      <c r="K2220" s="2" t="s">
        <v>1268</v>
      </c>
      <c r="L2220" s="2" t="str">
        <f t="shared" si="204"/>
        <v>Profitable</v>
      </c>
      <c r="M2220" s="2" t="str">
        <f t="shared" si="205"/>
        <v>Stable Earnings</v>
      </c>
      <c r="N2220" s="2" t="str">
        <f t="shared" si="206"/>
        <v>Low Quality</v>
      </c>
      <c r="O2220" s="4" t="str">
        <f t="shared" si="207"/>
        <v>Operational Growth</v>
      </c>
      <c r="P2220" s="4" t="str">
        <f t="shared" si="208"/>
        <v>Low Quality</v>
      </c>
      <c r="Q2220" s="4" t="str">
        <f t="shared" si="209"/>
        <v>Moderate Growth</v>
      </c>
    </row>
    <row r="2221" spans="1:17" x14ac:dyDescent="0.35">
      <c r="A2221" s="2" t="s">
        <v>2232</v>
      </c>
      <c r="B2221" s="2">
        <v>5</v>
      </c>
      <c r="C2221" s="2">
        <v>870891677.39999998</v>
      </c>
      <c r="D2221" s="2">
        <v>1</v>
      </c>
      <c r="E2221" s="2">
        <v>93503510.689999998</v>
      </c>
      <c r="F2221" s="2">
        <v>50414988.799999997</v>
      </c>
      <c r="G2221" s="2">
        <v>1</v>
      </c>
      <c r="H2221" s="2">
        <v>3</v>
      </c>
      <c r="I2221" s="2">
        <v>2</v>
      </c>
      <c r="J2221" s="2">
        <v>1.8</v>
      </c>
      <c r="K2221" s="2" t="s">
        <v>1268</v>
      </c>
      <c r="L2221" s="2" t="str">
        <f t="shared" si="204"/>
        <v>Profitable</v>
      </c>
      <c r="M2221" s="2" t="str">
        <f t="shared" si="205"/>
        <v>High Volatility</v>
      </c>
      <c r="N2221" s="2" t="str">
        <f t="shared" si="206"/>
        <v>Low Quality</v>
      </c>
      <c r="O2221" s="4" t="str">
        <f t="shared" si="207"/>
        <v>Operational Growth</v>
      </c>
      <c r="P2221" s="4" t="str">
        <f t="shared" si="208"/>
        <v>Low Quality</v>
      </c>
      <c r="Q2221" s="4" t="str">
        <f t="shared" si="209"/>
        <v>Moderate Growth</v>
      </c>
    </row>
    <row r="2222" spans="1:17" x14ac:dyDescent="0.35">
      <c r="A2222" s="2" t="s">
        <v>2233</v>
      </c>
      <c r="B2222" s="2">
        <v>5</v>
      </c>
      <c r="C2222" s="2">
        <v>138142505.40000001</v>
      </c>
      <c r="D2222" s="2">
        <v>1</v>
      </c>
      <c r="E2222" s="2">
        <v>71082114.950000003</v>
      </c>
      <c r="F2222" s="2">
        <v>49188915.799999997</v>
      </c>
      <c r="G2222" s="2">
        <v>1</v>
      </c>
      <c r="H2222" s="2">
        <v>3</v>
      </c>
      <c r="I2222" s="2">
        <v>2</v>
      </c>
      <c r="J2222" s="2">
        <v>1.8</v>
      </c>
      <c r="K2222" s="2" t="s">
        <v>1268</v>
      </c>
      <c r="L2222" s="2" t="str">
        <f t="shared" si="204"/>
        <v>Profitable</v>
      </c>
      <c r="M2222" s="2" t="str">
        <f t="shared" si="205"/>
        <v>Stable Earnings</v>
      </c>
      <c r="N2222" s="2" t="str">
        <f t="shared" si="206"/>
        <v>Low Quality</v>
      </c>
      <c r="O2222" s="4" t="str">
        <f t="shared" si="207"/>
        <v>Operational Growth</v>
      </c>
      <c r="P2222" s="4" t="str">
        <f t="shared" si="208"/>
        <v>Low Quality</v>
      </c>
      <c r="Q2222" s="4" t="str">
        <f t="shared" si="209"/>
        <v>Moderate Growth</v>
      </c>
    </row>
    <row r="2223" spans="1:17" x14ac:dyDescent="0.35">
      <c r="A2223" s="2" t="s">
        <v>2234</v>
      </c>
      <c r="B2223" s="2">
        <v>5</v>
      </c>
      <c r="C2223" s="2">
        <v>115044737.09999999</v>
      </c>
      <c r="D2223" s="2">
        <v>1</v>
      </c>
      <c r="E2223" s="2">
        <v>66578209.859999999</v>
      </c>
      <c r="F2223" s="2">
        <v>70758327.200000003</v>
      </c>
      <c r="G2223" s="2">
        <v>1</v>
      </c>
      <c r="H2223" s="2">
        <v>3</v>
      </c>
      <c r="I2223" s="2">
        <v>2</v>
      </c>
      <c r="J2223" s="2">
        <v>1.8</v>
      </c>
      <c r="K2223" s="2" t="s">
        <v>1268</v>
      </c>
      <c r="L2223" s="2" t="str">
        <f t="shared" si="204"/>
        <v>Profitable</v>
      </c>
      <c r="M2223" s="2" t="str">
        <f t="shared" si="205"/>
        <v>Stable Earnings</v>
      </c>
      <c r="N2223" s="2" t="str">
        <f t="shared" si="206"/>
        <v>Low Quality</v>
      </c>
      <c r="O2223" s="4" t="str">
        <f t="shared" si="207"/>
        <v>Operational Growth</v>
      </c>
      <c r="P2223" s="4" t="str">
        <f t="shared" si="208"/>
        <v>Low Quality</v>
      </c>
      <c r="Q2223" s="4" t="str">
        <f t="shared" si="209"/>
        <v>Moderate Growth</v>
      </c>
    </row>
    <row r="2224" spans="1:17" x14ac:dyDescent="0.35">
      <c r="A2224" s="2" t="s">
        <v>2235</v>
      </c>
      <c r="B2224" s="2">
        <v>5</v>
      </c>
      <c r="C2224" s="2">
        <v>284084869.30000001</v>
      </c>
      <c r="D2224" s="2">
        <v>1</v>
      </c>
      <c r="E2224" s="2">
        <v>60820970.420000002</v>
      </c>
      <c r="F2224" s="2">
        <v>70639336.5</v>
      </c>
      <c r="G2224" s="2">
        <v>1</v>
      </c>
      <c r="H2224" s="2">
        <v>3</v>
      </c>
      <c r="I2224" s="2">
        <v>2</v>
      </c>
      <c r="J2224" s="2">
        <v>1.8</v>
      </c>
      <c r="K2224" s="2" t="s">
        <v>1268</v>
      </c>
      <c r="L2224" s="2" t="str">
        <f t="shared" si="204"/>
        <v>Profitable</v>
      </c>
      <c r="M2224" s="2" t="str">
        <f t="shared" si="205"/>
        <v>Stable Earnings</v>
      </c>
      <c r="N2224" s="2" t="str">
        <f t="shared" si="206"/>
        <v>Low Quality</v>
      </c>
      <c r="O2224" s="4" t="str">
        <f t="shared" si="207"/>
        <v>Operational Growth</v>
      </c>
      <c r="P2224" s="4" t="str">
        <f t="shared" si="208"/>
        <v>Low Quality</v>
      </c>
      <c r="Q2224" s="4" t="str">
        <f t="shared" si="209"/>
        <v>Moderate Growth</v>
      </c>
    </row>
    <row r="2225" spans="1:17" x14ac:dyDescent="0.35">
      <c r="A2225" s="2" t="s">
        <v>2236</v>
      </c>
      <c r="B2225" s="2">
        <v>5</v>
      </c>
      <c r="C2225" s="2">
        <v>98160629.579999998</v>
      </c>
      <c r="D2225" s="2">
        <v>1</v>
      </c>
      <c r="E2225" s="2">
        <v>52889930.380000003</v>
      </c>
      <c r="F2225" s="2">
        <v>71527280.299999997</v>
      </c>
      <c r="G2225" s="2">
        <v>1</v>
      </c>
      <c r="H2225" s="2">
        <v>3</v>
      </c>
      <c r="I2225" s="2">
        <v>2</v>
      </c>
      <c r="J2225" s="2">
        <v>1.8</v>
      </c>
      <c r="K2225" s="2" t="s">
        <v>1268</v>
      </c>
      <c r="L2225" s="2" t="str">
        <f t="shared" si="204"/>
        <v>Profitable</v>
      </c>
      <c r="M2225" s="2" t="str">
        <f t="shared" si="205"/>
        <v>Stable Earnings</v>
      </c>
      <c r="N2225" s="2" t="str">
        <f t="shared" si="206"/>
        <v>Low Quality</v>
      </c>
      <c r="O2225" s="4" t="str">
        <f t="shared" si="207"/>
        <v>Operational Growth</v>
      </c>
      <c r="P2225" s="4" t="str">
        <f t="shared" si="208"/>
        <v>Low Quality</v>
      </c>
      <c r="Q2225" s="4" t="str">
        <f t="shared" si="209"/>
        <v>Moderate Growth</v>
      </c>
    </row>
    <row r="2226" spans="1:17" x14ac:dyDescent="0.35">
      <c r="A2226" s="2" t="s">
        <v>2237</v>
      </c>
      <c r="B2226" s="2">
        <v>5</v>
      </c>
      <c r="C2226" s="2">
        <v>751886829.79999995</v>
      </c>
      <c r="D2226" s="2">
        <v>1</v>
      </c>
      <c r="E2226" s="2">
        <v>108714810.7</v>
      </c>
      <c r="F2226" s="2">
        <v>57755478.899999999</v>
      </c>
      <c r="G2226" s="2">
        <v>1</v>
      </c>
      <c r="H2226" s="2">
        <v>3</v>
      </c>
      <c r="I2226" s="2">
        <v>2</v>
      </c>
      <c r="J2226" s="2">
        <v>1.8</v>
      </c>
      <c r="K2226" s="2" t="s">
        <v>1268</v>
      </c>
      <c r="L2226" s="2" t="str">
        <f t="shared" si="204"/>
        <v>Profitable</v>
      </c>
      <c r="M2226" s="2" t="str">
        <f t="shared" si="205"/>
        <v>High Volatility</v>
      </c>
      <c r="N2226" s="2" t="str">
        <f t="shared" si="206"/>
        <v>Low Quality</v>
      </c>
      <c r="O2226" s="4" t="str">
        <f t="shared" si="207"/>
        <v>Operational Growth</v>
      </c>
      <c r="P2226" s="4" t="str">
        <f t="shared" si="208"/>
        <v>Low Quality</v>
      </c>
      <c r="Q2226" s="4" t="str">
        <f t="shared" si="209"/>
        <v>Moderate Growth</v>
      </c>
    </row>
    <row r="2227" spans="1:17" x14ac:dyDescent="0.35">
      <c r="A2227" s="2" t="s">
        <v>2238</v>
      </c>
      <c r="B2227" s="2">
        <v>5</v>
      </c>
      <c r="C2227" s="2">
        <v>81265403.340000004</v>
      </c>
      <c r="D2227" s="2">
        <v>1</v>
      </c>
      <c r="E2227" s="2">
        <v>63694055.130000003</v>
      </c>
      <c r="F2227" s="2">
        <v>56191841.5</v>
      </c>
      <c r="G2227" s="2">
        <v>1</v>
      </c>
      <c r="H2227" s="2">
        <v>3</v>
      </c>
      <c r="I2227" s="2">
        <v>2</v>
      </c>
      <c r="J2227" s="2">
        <v>1.8</v>
      </c>
      <c r="K2227" s="2" t="s">
        <v>1268</v>
      </c>
      <c r="L2227" s="2" t="str">
        <f t="shared" si="204"/>
        <v>Profitable</v>
      </c>
      <c r="M2227" s="2" t="str">
        <f t="shared" si="205"/>
        <v>Stable Earnings</v>
      </c>
      <c r="N2227" s="2" t="str">
        <f t="shared" si="206"/>
        <v>Low Quality</v>
      </c>
      <c r="O2227" s="4" t="str">
        <f t="shared" si="207"/>
        <v>Operational Growth</v>
      </c>
      <c r="P2227" s="4" t="str">
        <f t="shared" si="208"/>
        <v>Low Quality</v>
      </c>
      <c r="Q2227" s="4" t="str">
        <f t="shared" si="209"/>
        <v>Moderate Growth</v>
      </c>
    </row>
    <row r="2228" spans="1:17" x14ac:dyDescent="0.35">
      <c r="A2228" s="2" t="s">
        <v>2239</v>
      </c>
      <c r="B2228" s="2">
        <v>5</v>
      </c>
      <c r="C2228" s="2">
        <v>320080325.10000002</v>
      </c>
      <c r="D2228" s="2">
        <v>1</v>
      </c>
      <c r="E2228" s="2">
        <v>64511896.240000002</v>
      </c>
      <c r="F2228" s="2">
        <v>56012593.899999999</v>
      </c>
      <c r="G2228" s="2">
        <v>1</v>
      </c>
      <c r="H2228" s="2">
        <v>3</v>
      </c>
      <c r="I2228" s="2">
        <v>2</v>
      </c>
      <c r="J2228" s="2">
        <v>1.8</v>
      </c>
      <c r="K2228" s="2" t="s">
        <v>1268</v>
      </c>
      <c r="L2228" s="2" t="str">
        <f t="shared" si="204"/>
        <v>Profitable</v>
      </c>
      <c r="M2228" s="2" t="str">
        <f t="shared" si="205"/>
        <v>Stable Earnings</v>
      </c>
      <c r="N2228" s="2" t="str">
        <f t="shared" si="206"/>
        <v>Low Quality</v>
      </c>
      <c r="O2228" s="4" t="str">
        <f t="shared" si="207"/>
        <v>Operational Growth</v>
      </c>
      <c r="P2228" s="4" t="str">
        <f t="shared" si="208"/>
        <v>Low Quality</v>
      </c>
      <c r="Q2228" s="4" t="str">
        <f t="shared" si="209"/>
        <v>Moderate Growth</v>
      </c>
    </row>
    <row r="2229" spans="1:17" x14ac:dyDescent="0.35">
      <c r="A2229" s="2" t="s">
        <v>2240</v>
      </c>
      <c r="B2229" s="2">
        <v>5</v>
      </c>
      <c r="C2229" s="2">
        <v>230898679.19999999</v>
      </c>
      <c r="D2229" s="2">
        <v>1</v>
      </c>
      <c r="E2229" s="2">
        <v>59285830.009999998</v>
      </c>
      <c r="F2229" s="2">
        <v>96914784.400000006</v>
      </c>
      <c r="G2229" s="2">
        <v>1</v>
      </c>
      <c r="H2229" s="2">
        <v>3</v>
      </c>
      <c r="I2229" s="2">
        <v>2</v>
      </c>
      <c r="J2229" s="2">
        <v>1.8</v>
      </c>
      <c r="K2229" s="2" t="s">
        <v>1268</v>
      </c>
      <c r="L2229" s="2" t="str">
        <f t="shared" si="204"/>
        <v>Profitable</v>
      </c>
      <c r="M2229" s="2" t="str">
        <f t="shared" si="205"/>
        <v>Stable Earnings</v>
      </c>
      <c r="N2229" s="2" t="str">
        <f t="shared" si="206"/>
        <v>Low Quality</v>
      </c>
      <c r="O2229" s="4" t="str">
        <f t="shared" si="207"/>
        <v>Operational Growth</v>
      </c>
      <c r="P2229" s="4" t="str">
        <f t="shared" si="208"/>
        <v>Low Quality</v>
      </c>
      <c r="Q2229" s="4" t="str">
        <f t="shared" si="209"/>
        <v>Moderate Growth</v>
      </c>
    </row>
    <row r="2230" spans="1:17" x14ac:dyDescent="0.35">
      <c r="A2230" s="2" t="s">
        <v>2241</v>
      </c>
      <c r="B2230" s="2">
        <v>5</v>
      </c>
      <c r="C2230" s="2">
        <v>555012440</v>
      </c>
      <c r="D2230" s="2">
        <v>1</v>
      </c>
      <c r="E2230" s="2">
        <v>78656930.569999993</v>
      </c>
      <c r="F2230" s="2">
        <v>98301264.599999994</v>
      </c>
      <c r="G2230" s="2">
        <v>1</v>
      </c>
      <c r="H2230" s="2">
        <v>3</v>
      </c>
      <c r="I2230" s="2">
        <v>2</v>
      </c>
      <c r="J2230" s="2">
        <v>1.8</v>
      </c>
      <c r="K2230" s="2" t="s">
        <v>1268</v>
      </c>
      <c r="L2230" s="2" t="str">
        <f t="shared" si="204"/>
        <v>Profitable</v>
      </c>
      <c r="M2230" s="2" t="str">
        <f t="shared" si="205"/>
        <v>High Volatility</v>
      </c>
      <c r="N2230" s="2" t="str">
        <f t="shared" si="206"/>
        <v>Low Quality</v>
      </c>
      <c r="O2230" s="4" t="str">
        <f t="shared" si="207"/>
        <v>Operational Growth</v>
      </c>
      <c r="P2230" s="4" t="str">
        <f t="shared" si="208"/>
        <v>Low Quality</v>
      </c>
      <c r="Q2230" s="4" t="str">
        <f t="shared" si="209"/>
        <v>Moderate Growth</v>
      </c>
    </row>
    <row r="2231" spans="1:17" x14ac:dyDescent="0.35">
      <c r="A2231" s="2" t="s">
        <v>2242</v>
      </c>
      <c r="B2231" s="2">
        <v>5</v>
      </c>
      <c r="C2231" s="2">
        <v>241595867.80000001</v>
      </c>
      <c r="D2231" s="2">
        <v>1</v>
      </c>
      <c r="E2231" s="2">
        <v>105239798.5</v>
      </c>
      <c r="F2231" s="2">
        <v>107370150.5</v>
      </c>
      <c r="G2231" s="2">
        <v>1</v>
      </c>
      <c r="H2231" s="2">
        <v>3</v>
      </c>
      <c r="I2231" s="2">
        <v>2</v>
      </c>
      <c r="J2231" s="2">
        <v>1.8</v>
      </c>
      <c r="K2231" s="2" t="s">
        <v>1268</v>
      </c>
      <c r="L2231" s="2" t="str">
        <f t="shared" si="204"/>
        <v>Profitable</v>
      </c>
      <c r="M2231" s="2" t="str">
        <f t="shared" si="205"/>
        <v>Stable Earnings</v>
      </c>
      <c r="N2231" s="2" t="str">
        <f t="shared" si="206"/>
        <v>Low Quality</v>
      </c>
      <c r="O2231" s="4" t="str">
        <f t="shared" si="207"/>
        <v>Operational Growth</v>
      </c>
      <c r="P2231" s="4" t="str">
        <f t="shared" si="208"/>
        <v>Low Quality</v>
      </c>
      <c r="Q2231" s="4" t="str">
        <f t="shared" si="209"/>
        <v>Moderate Growth</v>
      </c>
    </row>
    <row r="2232" spans="1:17" x14ac:dyDescent="0.35">
      <c r="A2232" s="2" t="s">
        <v>2243</v>
      </c>
      <c r="B2232" s="2">
        <v>5</v>
      </c>
      <c r="C2232" s="2">
        <v>377398078.19999999</v>
      </c>
      <c r="D2232" s="2">
        <v>1</v>
      </c>
      <c r="E2232" s="2">
        <v>91450554.019999996</v>
      </c>
      <c r="F2232" s="2">
        <v>108613925.40000001</v>
      </c>
      <c r="G2232" s="2">
        <v>1</v>
      </c>
      <c r="H2232" s="2">
        <v>3</v>
      </c>
      <c r="I2232" s="2">
        <v>2</v>
      </c>
      <c r="J2232" s="2">
        <v>1.8</v>
      </c>
      <c r="K2232" s="2" t="s">
        <v>1268</v>
      </c>
      <c r="L2232" s="2" t="str">
        <f t="shared" si="204"/>
        <v>Profitable</v>
      </c>
      <c r="M2232" s="2" t="str">
        <f t="shared" si="205"/>
        <v>Stable Earnings</v>
      </c>
      <c r="N2232" s="2" t="str">
        <f t="shared" si="206"/>
        <v>Low Quality</v>
      </c>
      <c r="O2232" s="4" t="str">
        <f t="shared" si="207"/>
        <v>Operational Growth</v>
      </c>
      <c r="P2232" s="4" t="str">
        <f t="shared" si="208"/>
        <v>Low Quality</v>
      </c>
      <c r="Q2232" s="4" t="str">
        <f t="shared" si="209"/>
        <v>Moderate Growth</v>
      </c>
    </row>
    <row r="2233" spans="1:17" x14ac:dyDescent="0.35">
      <c r="A2233" s="2" t="s">
        <v>2244</v>
      </c>
      <c r="B2233" s="2">
        <v>5</v>
      </c>
      <c r="C2233" s="2">
        <v>182983940.5</v>
      </c>
      <c r="D2233" s="2">
        <v>1</v>
      </c>
      <c r="E2233" s="2">
        <v>45611256.509999998</v>
      </c>
      <c r="F2233" s="2">
        <v>109052733.3</v>
      </c>
      <c r="G2233" s="2">
        <v>1</v>
      </c>
      <c r="H2233" s="2">
        <v>3</v>
      </c>
      <c r="I2233" s="2">
        <v>2</v>
      </c>
      <c r="J2233" s="2">
        <v>1.8</v>
      </c>
      <c r="K2233" s="2" t="s">
        <v>1268</v>
      </c>
      <c r="L2233" s="2" t="str">
        <f t="shared" si="204"/>
        <v>Profitable</v>
      </c>
      <c r="M2233" s="2" t="str">
        <f t="shared" si="205"/>
        <v>Stable Earnings</v>
      </c>
      <c r="N2233" s="2" t="str">
        <f t="shared" si="206"/>
        <v>Low Quality</v>
      </c>
      <c r="O2233" s="4" t="str">
        <f t="shared" si="207"/>
        <v>Operational Growth</v>
      </c>
      <c r="P2233" s="4" t="str">
        <f t="shared" si="208"/>
        <v>Low Quality</v>
      </c>
      <c r="Q2233" s="4" t="str">
        <f t="shared" si="209"/>
        <v>Moderate Growth</v>
      </c>
    </row>
    <row r="2234" spans="1:17" x14ac:dyDescent="0.35">
      <c r="A2234" s="2" t="s">
        <v>2245</v>
      </c>
      <c r="B2234" s="2">
        <v>5</v>
      </c>
      <c r="C2234" s="2">
        <v>163840504.59999999</v>
      </c>
      <c r="D2234" s="2">
        <v>1</v>
      </c>
      <c r="E2234" s="2">
        <v>53050182.850000001</v>
      </c>
      <c r="F2234" s="2">
        <v>118891638.40000001</v>
      </c>
      <c r="G2234" s="2">
        <v>1</v>
      </c>
      <c r="H2234" s="2">
        <v>3</v>
      </c>
      <c r="I2234" s="2">
        <v>2</v>
      </c>
      <c r="J2234" s="2">
        <v>1.8</v>
      </c>
      <c r="K2234" s="2" t="s">
        <v>1268</v>
      </c>
      <c r="L2234" s="2" t="str">
        <f t="shared" si="204"/>
        <v>Profitable</v>
      </c>
      <c r="M2234" s="2" t="str">
        <f t="shared" si="205"/>
        <v>Stable Earnings</v>
      </c>
      <c r="N2234" s="2" t="str">
        <f t="shared" si="206"/>
        <v>Low Quality</v>
      </c>
      <c r="O2234" s="4" t="str">
        <f t="shared" si="207"/>
        <v>Operational Growth</v>
      </c>
      <c r="P2234" s="4" t="str">
        <f t="shared" si="208"/>
        <v>Low Quality</v>
      </c>
      <c r="Q2234" s="4" t="str">
        <f t="shared" si="209"/>
        <v>Moderate Growth</v>
      </c>
    </row>
    <row r="2235" spans="1:17" x14ac:dyDescent="0.35">
      <c r="A2235" s="2" t="s">
        <v>2246</v>
      </c>
      <c r="B2235" s="2">
        <v>5</v>
      </c>
      <c r="C2235" s="2">
        <v>531039124.19999999</v>
      </c>
      <c r="D2235" s="2">
        <v>1</v>
      </c>
      <c r="E2235" s="2">
        <v>58276730.109999999</v>
      </c>
      <c r="F2235" s="2">
        <v>121192271.59999999</v>
      </c>
      <c r="G2235" s="2">
        <v>1</v>
      </c>
      <c r="H2235" s="2">
        <v>3</v>
      </c>
      <c r="I2235" s="2">
        <v>2</v>
      </c>
      <c r="J2235" s="2">
        <v>1.8</v>
      </c>
      <c r="K2235" s="2" t="s">
        <v>1268</v>
      </c>
      <c r="L2235" s="2" t="str">
        <f t="shared" si="204"/>
        <v>Profitable</v>
      </c>
      <c r="M2235" s="2" t="str">
        <f t="shared" si="205"/>
        <v>High Volatility</v>
      </c>
      <c r="N2235" s="2" t="str">
        <f t="shared" si="206"/>
        <v>Low Quality</v>
      </c>
      <c r="O2235" s="4" t="str">
        <f t="shared" si="207"/>
        <v>Operational Growth</v>
      </c>
      <c r="P2235" s="4" t="str">
        <f t="shared" si="208"/>
        <v>Low Quality</v>
      </c>
      <c r="Q2235" s="4" t="str">
        <f t="shared" si="209"/>
        <v>Moderate Growth</v>
      </c>
    </row>
    <row r="2236" spans="1:17" x14ac:dyDescent="0.35">
      <c r="A2236" s="2" t="s">
        <v>2247</v>
      </c>
      <c r="B2236" s="2">
        <v>5</v>
      </c>
      <c r="C2236" s="2">
        <v>147519594.80000001</v>
      </c>
      <c r="D2236" s="2">
        <v>1</v>
      </c>
      <c r="E2236" s="2">
        <v>99651234.930000007</v>
      </c>
      <c r="F2236" s="2">
        <v>126689309.59999999</v>
      </c>
      <c r="G2236" s="2">
        <v>1</v>
      </c>
      <c r="H2236" s="2">
        <v>3</v>
      </c>
      <c r="I2236" s="2">
        <v>2</v>
      </c>
      <c r="J2236" s="2">
        <v>1.8</v>
      </c>
      <c r="K2236" s="2" t="s">
        <v>1268</v>
      </c>
      <c r="L2236" s="2" t="str">
        <f t="shared" si="204"/>
        <v>Profitable</v>
      </c>
      <c r="M2236" s="2" t="str">
        <f t="shared" si="205"/>
        <v>Stable Earnings</v>
      </c>
      <c r="N2236" s="2" t="str">
        <f t="shared" si="206"/>
        <v>Low Quality</v>
      </c>
      <c r="O2236" s="4" t="str">
        <f t="shared" si="207"/>
        <v>Operational Growth</v>
      </c>
      <c r="P2236" s="4" t="str">
        <f t="shared" si="208"/>
        <v>Low Quality</v>
      </c>
      <c r="Q2236" s="4" t="str">
        <f t="shared" si="209"/>
        <v>Moderate Growth</v>
      </c>
    </row>
    <row r="2237" spans="1:17" x14ac:dyDescent="0.35">
      <c r="A2237" s="2" t="s">
        <v>2248</v>
      </c>
      <c r="B2237" s="2">
        <v>5</v>
      </c>
      <c r="C2237" s="2">
        <v>95813036.379999995</v>
      </c>
      <c r="D2237" s="2">
        <v>1</v>
      </c>
      <c r="E2237" s="2">
        <v>52431655.729999997</v>
      </c>
      <c r="F2237" s="2">
        <v>127967119.90000001</v>
      </c>
      <c r="G2237" s="2">
        <v>1</v>
      </c>
      <c r="H2237" s="2">
        <v>3</v>
      </c>
      <c r="I2237" s="2">
        <v>2</v>
      </c>
      <c r="J2237" s="2">
        <v>1.8</v>
      </c>
      <c r="K2237" s="2" t="s">
        <v>1268</v>
      </c>
      <c r="L2237" s="2" t="str">
        <f t="shared" si="204"/>
        <v>Profitable</v>
      </c>
      <c r="M2237" s="2" t="str">
        <f t="shared" si="205"/>
        <v>Stable Earnings</v>
      </c>
      <c r="N2237" s="2" t="str">
        <f t="shared" si="206"/>
        <v>Low Quality</v>
      </c>
      <c r="O2237" s="4" t="str">
        <f t="shared" si="207"/>
        <v>Operational Growth</v>
      </c>
      <c r="P2237" s="4" t="str">
        <f t="shared" si="208"/>
        <v>Low Quality</v>
      </c>
      <c r="Q2237" s="4" t="str">
        <f t="shared" si="209"/>
        <v>Moderate Growth</v>
      </c>
    </row>
    <row r="2238" spans="1:17" x14ac:dyDescent="0.35">
      <c r="A2238" s="2" t="s">
        <v>2249</v>
      </c>
      <c r="B2238" s="2">
        <v>5</v>
      </c>
      <c r="C2238" s="2">
        <v>194096814.90000001</v>
      </c>
      <c r="D2238" s="2">
        <v>1</v>
      </c>
      <c r="E2238" s="2">
        <v>72416679.060000002</v>
      </c>
      <c r="F2238" s="2">
        <v>113982973.5</v>
      </c>
      <c r="G2238" s="2">
        <v>1</v>
      </c>
      <c r="H2238" s="2">
        <v>3</v>
      </c>
      <c r="I2238" s="2">
        <v>2</v>
      </c>
      <c r="J2238" s="2">
        <v>1.8</v>
      </c>
      <c r="K2238" s="2" t="s">
        <v>1268</v>
      </c>
      <c r="L2238" s="2" t="str">
        <f t="shared" si="204"/>
        <v>Profitable</v>
      </c>
      <c r="M2238" s="2" t="str">
        <f t="shared" si="205"/>
        <v>Stable Earnings</v>
      </c>
      <c r="N2238" s="2" t="str">
        <f t="shared" si="206"/>
        <v>Low Quality</v>
      </c>
      <c r="O2238" s="4" t="str">
        <f t="shared" si="207"/>
        <v>Operational Growth</v>
      </c>
      <c r="P2238" s="4" t="str">
        <f t="shared" si="208"/>
        <v>Low Quality</v>
      </c>
      <c r="Q2238" s="4" t="str">
        <f t="shared" si="209"/>
        <v>Moderate Growth</v>
      </c>
    </row>
    <row r="2239" spans="1:17" x14ac:dyDescent="0.35">
      <c r="A2239" s="2" t="s">
        <v>2250</v>
      </c>
      <c r="B2239" s="2">
        <v>5</v>
      </c>
      <c r="C2239" s="2">
        <v>173894104.40000001</v>
      </c>
      <c r="D2239" s="2">
        <v>1</v>
      </c>
      <c r="E2239" s="2">
        <v>100196226.59999999</v>
      </c>
      <c r="F2239" s="2">
        <v>117777656.8</v>
      </c>
      <c r="G2239" s="2">
        <v>1</v>
      </c>
      <c r="H2239" s="2">
        <v>3</v>
      </c>
      <c r="I2239" s="2">
        <v>2</v>
      </c>
      <c r="J2239" s="2">
        <v>1.8</v>
      </c>
      <c r="K2239" s="2" t="s">
        <v>1268</v>
      </c>
      <c r="L2239" s="2" t="str">
        <f t="shared" si="204"/>
        <v>Profitable</v>
      </c>
      <c r="M2239" s="2" t="str">
        <f t="shared" si="205"/>
        <v>Stable Earnings</v>
      </c>
      <c r="N2239" s="2" t="str">
        <f t="shared" si="206"/>
        <v>Low Quality</v>
      </c>
      <c r="O2239" s="4" t="str">
        <f t="shared" si="207"/>
        <v>Operational Growth</v>
      </c>
      <c r="P2239" s="4" t="str">
        <f t="shared" si="208"/>
        <v>Low Quality</v>
      </c>
      <c r="Q2239" s="4" t="str">
        <f t="shared" si="209"/>
        <v>Moderate Growth</v>
      </c>
    </row>
    <row r="2240" spans="1:17" x14ac:dyDescent="0.35">
      <c r="A2240" s="2" t="s">
        <v>2251</v>
      </c>
      <c r="B2240" s="2">
        <v>5</v>
      </c>
      <c r="C2240" s="2">
        <v>485114742.30000001</v>
      </c>
      <c r="D2240" s="2">
        <v>1</v>
      </c>
      <c r="E2240" s="2">
        <v>48620022.75</v>
      </c>
      <c r="F2240" s="2">
        <v>111704257.8</v>
      </c>
      <c r="G2240" s="2">
        <v>1</v>
      </c>
      <c r="H2240" s="2">
        <v>3</v>
      </c>
      <c r="I2240" s="2">
        <v>2</v>
      </c>
      <c r="J2240" s="2">
        <v>1.8</v>
      </c>
      <c r="K2240" s="2" t="s">
        <v>1268</v>
      </c>
      <c r="L2240" s="2" t="str">
        <f t="shared" si="204"/>
        <v>Profitable</v>
      </c>
      <c r="M2240" s="2" t="str">
        <f t="shared" si="205"/>
        <v>Stable Earnings</v>
      </c>
      <c r="N2240" s="2" t="str">
        <f t="shared" si="206"/>
        <v>Low Quality</v>
      </c>
      <c r="O2240" s="4" t="str">
        <f t="shared" si="207"/>
        <v>Operational Growth</v>
      </c>
      <c r="P2240" s="4" t="str">
        <f t="shared" si="208"/>
        <v>Low Quality</v>
      </c>
      <c r="Q2240" s="4" t="str">
        <f t="shared" si="209"/>
        <v>Moderate Growth</v>
      </c>
    </row>
    <row r="2241" spans="1:17" x14ac:dyDescent="0.35">
      <c r="A2241" s="2" t="s">
        <v>2252</v>
      </c>
      <c r="B2241" s="2">
        <v>5</v>
      </c>
      <c r="C2241" s="2">
        <v>209956291.09999999</v>
      </c>
      <c r="D2241" s="2">
        <v>1</v>
      </c>
      <c r="E2241" s="2">
        <v>95554870.430000007</v>
      </c>
      <c r="F2241" s="2">
        <v>81277884.900000006</v>
      </c>
      <c r="G2241" s="2">
        <v>1</v>
      </c>
      <c r="H2241" s="2">
        <v>3</v>
      </c>
      <c r="I2241" s="2">
        <v>2</v>
      </c>
      <c r="J2241" s="2">
        <v>1.8</v>
      </c>
      <c r="K2241" s="2" t="s">
        <v>1268</v>
      </c>
      <c r="L2241" s="2" t="str">
        <f t="shared" si="204"/>
        <v>Profitable</v>
      </c>
      <c r="M2241" s="2" t="str">
        <f t="shared" si="205"/>
        <v>Stable Earnings</v>
      </c>
      <c r="N2241" s="2" t="str">
        <f t="shared" si="206"/>
        <v>Low Quality</v>
      </c>
      <c r="O2241" s="4" t="str">
        <f t="shared" si="207"/>
        <v>Operational Growth</v>
      </c>
      <c r="P2241" s="4" t="str">
        <f t="shared" si="208"/>
        <v>Low Quality</v>
      </c>
      <c r="Q2241" s="4" t="str">
        <f t="shared" si="209"/>
        <v>Moderate Growth</v>
      </c>
    </row>
    <row r="2242" spans="1:17" x14ac:dyDescent="0.35">
      <c r="A2242" s="2" t="s">
        <v>2253</v>
      </c>
      <c r="B2242" s="2">
        <v>5</v>
      </c>
      <c r="C2242" s="2">
        <v>72717550</v>
      </c>
      <c r="D2242" s="2">
        <v>1</v>
      </c>
      <c r="E2242" s="2">
        <v>56653588.200000003</v>
      </c>
      <c r="F2242" s="2">
        <v>78975434</v>
      </c>
      <c r="G2242" s="2">
        <v>1</v>
      </c>
      <c r="H2242" s="2">
        <v>3</v>
      </c>
      <c r="I2242" s="2">
        <v>2</v>
      </c>
      <c r="J2242" s="2">
        <v>1.8</v>
      </c>
      <c r="K2242" s="2" t="s">
        <v>1268</v>
      </c>
      <c r="L2242" s="2" t="str">
        <f t="shared" ref="L2242:L2305" si="210">IF(C2242&gt;0,"Profitable","Loss Making")</f>
        <v>Profitable</v>
      </c>
      <c r="M2242" s="2" t="str">
        <f t="shared" ref="M2242:M2305" si="211">IF(C2242&gt;500000000,"High Volatility","Stable Earnings")</f>
        <v>Stable Earnings</v>
      </c>
      <c r="N2242" s="2" t="str">
        <f t="shared" ref="N2242:N2305" si="212">IF(G2242&gt;=7,"High Quality",IF(G2242&gt;=4,"Moderate","Low Quality"))</f>
        <v>Low Quality</v>
      </c>
      <c r="O2242" s="4" t="str">
        <f t="shared" ref="O2242:O2305" si="213">IF(AND(F2242&gt;0,D2242&gt;0.6),"Operational Growth","Accounting Risk")</f>
        <v>Operational Growth</v>
      </c>
      <c r="P2242" s="4" t="str">
        <f t="shared" ref="P2242:P2305" si="214">IF(G2242&gt;=7,"High Quality", IF(G2242&gt;=4,"Moderate","Low Quality"))</f>
        <v>Low Quality</v>
      </c>
      <c r="Q2242" s="4" t="str">
        <f t="shared" ref="Q2242:Q2305" si="215">IF(I2242&gt;=4,"Strong Long-Term Growth",IF(I2242&gt;=2,"Moderate Growth","Weak Growth"))</f>
        <v>Moderate Growth</v>
      </c>
    </row>
    <row r="2243" spans="1:17" x14ac:dyDescent="0.35">
      <c r="A2243" s="2" t="s">
        <v>2254</v>
      </c>
      <c r="B2243" s="2">
        <v>5</v>
      </c>
      <c r="C2243" s="2">
        <v>108241829.3</v>
      </c>
      <c r="D2243" s="2">
        <v>1</v>
      </c>
      <c r="E2243" s="2">
        <v>58293183.710000001</v>
      </c>
      <c r="F2243" s="2">
        <v>78796379.5</v>
      </c>
      <c r="G2243" s="2">
        <v>1</v>
      </c>
      <c r="H2243" s="2">
        <v>3</v>
      </c>
      <c r="I2243" s="2">
        <v>2</v>
      </c>
      <c r="J2243" s="2">
        <v>1.8</v>
      </c>
      <c r="K2243" s="2" t="s">
        <v>1268</v>
      </c>
      <c r="L2243" s="2" t="str">
        <f t="shared" si="210"/>
        <v>Profitable</v>
      </c>
      <c r="M2243" s="2" t="str">
        <f t="shared" si="211"/>
        <v>Stable Earnings</v>
      </c>
      <c r="N2243" s="2" t="str">
        <f t="shared" si="212"/>
        <v>Low Quality</v>
      </c>
      <c r="O2243" s="4" t="str">
        <f t="shared" si="213"/>
        <v>Operational Growth</v>
      </c>
      <c r="P2243" s="4" t="str">
        <f t="shared" si="214"/>
        <v>Low Quality</v>
      </c>
      <c r="Q2243" s="4" t="str">
        <f t="shared" si="215"/>
        <v>Moderate Growth</v>
      </c>
    </row>
    <row r="2244" spans="1:17" x14ac:dyDescent="0.35">
      <c r="A2244" s="2" t="s">
        <v>2255</v>
      </c>
      <c r="B2244" s="2">
        <v>5</v>
      </c>
      <c r="C2244" s="2">
        <v>116332354.90000001</v>
      </c>
      <c r="D2244" s="2">
        <v>1</v>
      </c>
      <c r="E2244" s="2">
        <v>68803546.079999998</v>
      </c>
      <c r="F2244" s="2">
        <v>78374777.200000003</v>
      </c>
      <c r="G2244" s="2">
        <v>1</v>
      </c>
      <c r="H2244" s="2">
        <v>3</v>
      </c>
      <c r="I2244" s="2">
        <v>2</v>
      </c>
      <c r="J2244" s="2">
        <v>1.8</v>
      </c>
      <c r="K2244" s="2" t="s">
        <v>1268</v>
      </c>
      <c r="L2244" s="2" t="str">
        <f t="shared" si="210"/>
        <v>Profitable</v>
      </c>
      <c r="M2244" s="2" t="str">
        <f t="shared" si="211"/>
        <v>Stable Earnings</v>
      </c>
      <c r="N2244" s="2" t="str">
        <f t="shared" si="212"/>
        <v>Low Quality</v>
      </c>
      <c r="O2244" s="4" t="str">
        <f t="shared" si="213"/>
        <v>Operational Growth</v>
      </c>
      <c r="P2244" s="4" t="str">
        <f t="shared" si="214"/>
        <v>Low Quality</v>
      </c>
      <c r="Q2244" s="4" t="str">
        <f t="shared" si="215"/>
        <v>Moderate Growth</v>
      </c>
    </row>
    <row r="2245" spans="1:17" x14ac:dyDescent="0.35">
      <c r="A2245" s="2" t="s">
        <v>2256</v>
      </c>
      <c r="B2245" s="2">
        <v>5</v>
      </c>
      <c r="C2245" s="2">
        <v>108968112.8</v>
      </c>
      <c r="D2245" s="2">
        <v>1</v>
      </c>
      <c r="E2245" s="2">
        <v>64947057.25</v>
      </c>
      <c r="F2245" s="2">
        <v>74327767.299999997</v>
      </c>
      <c r="G2245" s="2">
        <v>1</v>
      </c>
      <c r="H2245" s="2">
        <v>3</v>
      </c>
      <c r="I2245" s="2">
        <v>2</v>
      </c>
      <c r="J2245" s="2">
        <v>1.8</v>
      </c>
      <c r="K2245" s="2" t="s">
        <v>1268</v>
      </c>
      <c r="L2245" s="2" t="str">
        <f t="shared" si="210"/>
        <v>Profitable</v>
      </c>
      <c r="M2245" s="2" t="str">
        <f t="shared" si="211"/>
        <v>Stable Earnings</v>
      </c>
      <c r="N2245" s="2" t="str">
        <f t="shared" si="212"/>
        <v>Low Quality</v>
      </c>
      <c r="O2245" s="4" t="str">
        <f t="shared" si="213"/>
        <v>Operational Growth</v>
      </c>
      <c r="P2245" s="4" t="str">
        <f t="shared" si="214"/>
        <v>Low Quality</v>
      </c>
      <c r="Q2245" s="4" t="str">
        <f t="shared" si="215"/>
        <v>Moderate Growth</v>
      </c>
    </row>
    <row r="2246" spans="1:17" x14ac:dyDescent="0.35">
      <c r="A2246" s="2" t="s">
        <v>2257</v>
      </c>
      <c r="B2246" s="2">
        <v>5</v>
      </c>
      <c r="C2246" s="2">
        <v>229768050.90000001</v>
      </c>
      <c r="D2246" s="2">
        <v>1</v>
      </c>
      <c r="E2246" s="2">
        <v>68854653.569999993</v>
      </c>
      <c r="F2246" s="2">
        <v>77432068.299999997</v>
      </c>
      <c r="G2246" s="2">
        <v>1</v>
      </c>
      <c r="H2246" s="2">
        <v>3</v>
      </c>
      <c r="I2246" s="2">
        <v>2</v>
      </c>
      <c r="J2246" s="2">
        <v>1.8</v>
      </c>
      <c r="K2246" s="2" t="s">
        <v>1268</v>
      </c>
      <c r="L2246" s="2" t="str">
        <f t="shared" si="210"/>
        <v>Profitable</v>
      </c>
      <c r="M2246" s="2" t="str">
        <f t="shared" si="211"/>
        <v>Stable Earnings</v>
      </c>
      <c r="N2246" s="2" t="str">
        <f t="shared" si="212"/>
        <v>Low Quality</v>
      </c>
      <c r="O2246" s="4" t="str">
        <f t="shared" si="213"/>
        <v>Operational Growth</v>
      </c>
      <c r="P2246" s="4" t="str">
        <f t="shared" si="214"/>
        <v>Low Quality</v>
      </c>
      <c r="Q2246" s="4" t="str">
        <f t="shared" si="215"/>
        <v>Moderate Growth</v>
      </c>
    </row>
    <row r="2247" spans="1:17" x14ac:dyDescent="0.35">
      <c r="A2247" s="2" t="s">
        <v>2258</v>
      </c>
      <c r="B2247" s="2">
        <v>5</v>
      </c>
      <c r="C2247" s="2">
        <v>294804717.39999998</v>
      </c>
      <c r="D2247" s="2">
        <v>1</v>
      </c>
      <c r="E2247" s="2">
        <v>46196669.149999999</v>
      </c>
      <c r="F2247" s="2">
        <v>86960340.900000006</v>
      </c>
      <c r="G2247" s="2">
        <v>1</v>
      </c>
      <c r="H2247" s="2">
        <v>3</v>
      </c>
      <c r="I2247" s="2">
        <v>2</v>
      </c>
      <c r="J2247" s="2">
        <v>1.8</v>
      </c>
      <c r="K2247" s="2" t="s">
        <v>1268</v>
      </c>
      <c r="L2247" s="2" t="str">
        <f t="shared" si="210"/>
        <v>Profitable</v>
      </c>
      <c r="M2247" s="2" t="str">
        <f t="shared" si="211"/>
        <v>Stable Earnings</v>
      </c>
      <c r="N2247" s="2" t="str">
        <f t="shared" si="212"/>
        <v>Low Quality</v>
      </c>
      <c r="O2247" s="4" t="str">
        <f t="shared" si="213"/>
        <v>Operational Growth</v>
      </c>
      <c r="P2247" s="4" t="str">
        <f t="shared" si="214"/>
        <v>Low Quality</v>
      </c>
      <c r="Q2247" s="4" t="str">
        <f t="shared" si="215"/>
        <v>Moderate Growth</v>
      </c>
    </row>
    <row r="2248" spans="1:17" x14ac:dyDescent="0.35">
      <c r="A2248" s="2" t="s">
        <v>2259</v>
      </c>
      <c r="B2248" s="2">
        <v>5</v>
      </c>
      <c r="C2248" s="2">
        <v>91424596.780000001</v>
      </c>
      <c r="D2248" s="2">
        <v>1</v>
      </c>
      <c r="E2248" s="2">
        <v>45967134.600000001</v>
      </c>
      <c r="F2248" s="2">
        <v>88533988.700000003</v>
      </c>
      <c r="G2248" s="2">
        <v>1</v>
      </c>
      <c r="H2248" s="2">
        <v>3</v>
      </c>
      <c r="I2248" s="2">
        <v>2</v>
      </c>
      <c r="J2248" s="2">
        <v>1.8</v>
      </c>
      <c r="K2248" s="2" t="s">
        <v>1268</v>
      </c>
      <c r="L2248" s="2" t="str">
        <f t="shared" si="210"/>
        <v>Profitable</v>
      </c>
      <c r="M2248" s="2" t="str">
        <f t="shared" si="211"/>
        <v>Stable Earnings</v>
      </c>
      <c r="N2248" s="2" t="str">
        <f t="shared" si="212"/>
        <v>Low Quality</v>
      </c>
      <c r="O2248" s="4" t="str">
        <f t="shared" si="213"/>
        <v>Operational Growth</v>
      </c>
      <c r="P2248" s="4" t="str">
        <f t="shared" si="214"/>
        <v>Low Quality</v>
      </c>
      <c r="Q2248" s="4" t="str">
        <f t="shared" si="215"/>
        <v>Moderate Growth</v>
      </c>
    </row>
    <row r="2249" spans="1:17" x14ac:dyDescent="0.35">
      <c r="A2249" s="2" t="s">
        <v>2260</v>
      </c>
      <c r="B2249" s="2">
        <v>5</v>
      </c>
      <c r="C2249" s="2">
        <v>48404640.259999998</v>
      </c>
      <c r="D2249" s="2">
        <v>1</v>
      </c>
      <c r="E2249" s="2">
        <v>12116832.869999999</v>
      </c>
      <c r="F2249" s="2">
        <v>32605019</v>
      </c>
      <c r="G2249" s="2">
        <v>2</v>
      </c>
      <c r="H2249" s="2">
        <v>1</v>
      </c>
      <c r="I2249" s="2">
        <v>2</v>
      </c>
      <c r="J2249" s="2">
        <v>1.7</v>
      </c>
      <c r="K2249" s="2" t="s">
        <v>1268</v>
      </c>
      <c r="L2249" s="2" t="str">
        <f t="shared" si="210"/>
        <v>Profitable</v>
      </c>
      <c r="M2249" s="2" t="str">
        <f t="shared" si="211"/>
        <v>Stable Earnings</v>
      </c>
      <c r="N2249" s="2" t="str">
        <f t="shared" si="212"/>
        <v>Low Quality</v>
      </c>
      <c r="O2249" s="4" t="str">
        <f t="shared" si="213"/>
        <v>Operational Growth</v>
      </c>
      <c r="P2249" s="4" t="str">
        <f t="shared" si="214"/>
        <v>Low Quality</v>
      </c>
      <c r="Q2249" s="4" t="str">
        <f t="shared" si="215"/>
        <v>Moderate Growth</v>
      </c>
    </row>
    <row r="2250" spans="1:17" x14ac:dyDescent="0.35">
      <c r="A2250" s="2" t="s">
        <v>2261</v>
      </c>
      <c r="B2250" s="2">
        <v>5</v>
      </c>
      <c r="C2250" s="2">
        <v>31335059.539999999</v>
      </c>
      <c r="D2250" s="2">
        <v>1</v>
      </c>
      <c r="E2250" s="2">
        <v>15238668.25</v>
      </c>
      <c r="F2250" s="2">
        <v>36509814.299999997</v>
      </c>
      <c r="G2250" s="2">
        <v>2</v>
      </c>
      <c r="H2250" s="2">
        <v>1</v>
      </c>
      <c r="I2250" s="2">
        <v>2</v>
      </c>
      <c r="J2250" s="2">
        <v>1.7</v>
      </c>
      <c r="K2250" s="2" t="s">
        <v>1268</v>
      </c>
      <c r="L2250" s="2" t="str">
        <f t="shared" si="210"/>
        <v>Profitable</v>
      </c>
      <c r="M2250" s="2" t="str">
        <f t="shared" si="211"/>
        <v>Stable Earnings</v>
      </c>
      <c r="N2250" s="2" t="str">
        <f t="shared" si="212"/>
        <v>Low Quality</v>
      </c>
      <c r="O2250" s="4" t="str">
        <f t="shared" si="213"/>
        <v>Operational Growth</v>
      </c>
      <c r="P2250" s="4" t="str">
        <f t="shared" si="214"/>
        <v>Low Quality</v>
      </c>
      <c r="Q2250" s="4" t="str">
        <f t="shared" si="215"/>
        <v>Moderate Growth</v>
      </c>
    </row>
    <row r="2251" spans="1:17" x14ac:dyDescent="0.35">
      <c r="A2251" s="2" t="s">
        <v>2262</v>
      </c>
      <c r="B2251" s="2">
        <v>5</v>
      </c>
      <c r="C2251" s="2">
        <v>55983500.640000001</v>
      </c>
      <c r="D2251" s="2">
        <v>1</v>
      </c>
      <c r="E2251" s="2">
        <v>15153928.02</v>
      </c>
      <c r="F2251" s="2">
        <v>27980381.399999999</v>
      </c>
      <c r="G2251" s="2">
        <v>2</v>
      </c>
      <c r="H2251" s="2">
        <v>1</v>
      </c>
      <c r="I2251" s="2">
        <v>2</v>
      </c>
      <c r="J2251" s="2">
        <v>1.7</v>
      </c>
      <c r="K2251" s="2" t="s">
        <v>1268</v>
      </c>
      <c r="L2251" s="2" t="str">
        <f t="shared" si="210"/>
        <v>Profitable</v>
      </c>
      <c r="M2251" s="2" t="str">
        <f t="shared" si="211"/>
        <v>Stable Earnings</v>
      </c>
      <c r="N2251" s="2" t="str">
        <f t="shared" si="212"/>
        <v>Low Quality</v>
      </c>
      <c r="O2251" s="4" t="str">
        <f t="shared" si="213"/>
        <v>Operational Growth</v>
      </c>
      <c r="P2251" s="4" t="str">
        <f t="shared" si="214"/>
        <v>Low Quality</v>
      </c>
      <c r="Q2251" s="4" t="str">
        <f t="shared" si="215"/>
        <v>Moderate Growth</v>
      </c>
    </row>
    <row r="2252" spans="1:17" x14ac:dyDescent="0.35">
      <c r="A2252" s="2" t="s">
        <v>2263</v>
      </c>
      <c r="B2252" s="2">
        <v>5</v>
      </c>
      <c r="C2252" s="2">
        <v>69483123.680000007</v>
      </c>
      <c r="D2252" s="2">
        <v>1</v>
      </c>
      <c r="E2252" s="2">
        <v>13097607.539999999</v>
      </c>
      <c r="F2252" s="2">
        <v>27428651.199999999</v>
      </c>
      <c r="G2252" s="2">
        <v>2</v>
      </c>
      <c r="H2252" s="2">
        <v>1</v>
      </c>
      <c r="I2252" s="2">
        <v>2</v>
      </c>
      <c r="J2252" s="2">
        <v>1.7</v>
      </c>
      <c r="K2252" s="2" t="s">
        <v>1268</v>
      </c>
      <c r="L2252" s="2" t="str">
        <f t="shared" si="210"/>
        <v>Profitable</v>
      </c>
      <c r="M2252" s="2" t="str">
        <f t="shared" si="211"/>
        <v>Stable Earnings</v>
      </c>
      <c r="N2252" s="2" t="str">
        <f t="shared" si="212"/>
        <v>Low Quality</v>
      </c>
      <c r="O2252" s="4" t="str">
        <f t="shared" si="213"/>
        <v>Operational Growth</v>
      </c>
      <c r="P2252" s="4" t="str">
        <f t="shared" si="214"/>
        <v>Low Quality</v>
      </c>
      <c r="Q2252" s="4" t="str">
        <f t="shared" si="215"/>
        <v>Moderate Growth</v>
      </c>
    </row>
    <row r="2253" spans="1:17" x14ac:dyDescent="0.35">
      <c r="A2253" s="2" t="s">
        <v>2264</v>
      </c>
      <c r="B2253" s="2">
        <v>5</v>
      </c>
      <c r="C2253" s="2">
        <v>209108873.40000001</v>
      </c>
      <c r="D2253" s="2">
        <v>1</v>
      </c>
      <c r="E2253" s="2">
        <v>37335582.939999998</v>
      </c>
      <c r="F2253" s="2">
        <v>25312969.399999999</v>
      </c>
      <c r="G2253" s="2">
        <v>1</v>
      </c>
      <c r="H2253" s="2">
        <v>2</v>
      </c>
      <c r="I2253" s="2">
        <v>3</v>
      </c>
      <c r="J2253" s="2">
        <v>1.7</v>
      </c>
      <c r="K2253" s="2" t="s">
        <v>1268</v>
      </c>
      <c r="L2253" s="2" t="str">
        <f t="shared" si="210"/>
        <v>Profitable</v>
      </c>
      <c r="M2253" s="2" t="str">
        <f t="shared" si="211"/>
        <v>Stable Earnings</v>
      </c>
      <c r="N2253" s="2" t="str">
        <f t="shared" si="212"/>
        <v>Low Quality</v>
      </c>
      <c r="O2253" s="4" t="str">
        <f t="shared" si="213"/>
        <v>Operational Growth</v>
      </c>
      <c r="P2253" s="4" t="str">
        <f t="shared" si="214"/>
        <v>Low Quality</v>
      </c>
      <c r="Q2253" s="4" t="str">
        <f t="shared" si="215"/>
        <v>Moderate Growth</v>
      </c>
    </row>
    <row r="2254" spans="1:17" x14ac:dyDescent="0.35">
      <c r="A2254" s="2" t="s">
        <v>2265</v>
      </c>
      <c r="B2254" s="2">
        <v>5</v>
      </c>
      <c r="C2254" s="2">
        <v>102521353.2</v>
      </c>
      <c r="D2254" s="2">
        <v>1</v>
      </c>
      <c r="E2254" s="2">
        <v>44187745.380000003</v>
      </c>
      <c r="F2254" s="2">
        <v>23538983.899999999</v>
      </c>
      <c r="G2254" s="2">
        <v>1</v>
      </c>
      <c r="H2254" s="2">
        <v>2</v>
      </c>
      <c r="I2254" s="2">
        <v>3</v>
      </c>
      <c r="J2254" s="2">
        <v>1.7</v>
      </c>
      <c r="K2254" s="2" t="s">
        <v>1268</v>
      </c>
      <c r="L2254" s="2" t="str">
        <f t="shared" si="210"/>
        <v>Profitable</v>
      </c>
      <c r="M2254" s="2" t="str">
        <f t="shared" si="211"/>
        <v>Stable Earnings</v>
      </c>
      <c r="N2254" s="2" t="str">
        <f t="shared" si="212"/>
        <v>Low Quality</v>
      </c>
      <c r="O2254" s="4" t="str">
        <f t="shared" si="213"/>
        <v>Operational Growth</v>
      </c>
      <c r="P2254" s="4" t="str">
        <f t="shared" si="214"/>
        <v>Low Quality</v>
      </c>
      <c r="Q2254" s="4" t="str">
        <f t="shared" si="215"/>
        <v>Moderate Growth</v>
      </c>
    </row>
    <row r="2255" spans="1:17" x14ac:dyDescent="0.35">
      <c r="A2255" s="2" t="s">
        <v>2266</v>
      </c>
      <c r="B2255" s="2">
        <v>5</v>
      </c>
      <c r="C2255" s="2">
        <v>39618758.840000004</v>
      </c>
      <c r="D2255" s="2">
        <v>1</v>
      </c>
      <c r="E2255" s="2">
        <v>22187211.890000001</v>
      </c>
      <c r="F2255" s="2">
        <v>24622156.600000001</v>
      </c>
      <c r="G2255" s="2">
        <v>1</v>
      </c>
      <c r="H2255" s="2">
        <v>2</v>
      </c>
      <c r="I2255" s="2">
        <v>3</v>
      </c>
      <c r="J2255" s="2">
        <v>1.7</v>
      </c>
      <c r="K2255" s="2" t="s">
        <v>1268</v>
      </c>
      <c r="L2255" s="2" t="str">
        <f t="shared" si="210"/>
        <v>Profitable</v>
      </c>
      <c r="M2255" s="2" t="str">
        <f t="shared" si="211"/>
        <v>Stable Earnings</v>
      </c>
      <c r="N2255" s="2" t="str">
        <f t="shared" si="212"/>
        <v>Low Quality</v>
      </c>
      <c r="O2255" s="4" t="str">
        <f t="shared" si="213"/>
        <v>Operational Growth</v>
      </c>
      <c r="P2255" s="4" t="str">
        <f t="shared" si="214"/>
        <v>Low Quality</v>
      </c>
      <c r="Q2255" s="4" t="str">
        <f t="shared" si="215"/>
        <v>Moderate Growth</v>
      </c>
    </row>
    <row r="2256" spans="1:17" x14ac:dyDescent="0.35">
      <c r="A2256" s="2" t="s">
        <v>2267</v>
      </c>
      <c r="B2256" s="2">
        <v>5</v>
      </c>
      <c r="C2256" s="2">
        <v>39989351.539999999</v>
      </c>
      <c r="D2256" s="2">
        <v>1</v>
      </c>
      <c r="E2256" s="2">
        <v>18126463.23</v>
      </c>
      <c r="F2256" s="2">
        <v>26415875.699999999</v>
      </c>
      <c r="G2256" s="2">
        <v>1</v>
      </c>
      <c r="H2256" s="2">
        <v>2</v>
      </c>
      <c r="I2256" s="2">
        <v>3</v>
      </c>
      <c r="J2256" s="2">
        <v>1.7</v>
      </c>
      <c r="K2256" s="2" t="s">
        <v>1268</v>
      </c>
      <c r="L2256" s="2" t="str">
        <f t="shared" si="210"/>
        <v>Profitable</v>
      </c>
      <c r="M2256" s="2" t="str">
        <f t="shared" si="211"/>
        <v>Stable Earnings</v>
      </c>
      <c r="N2256" s="2" t="str">
        <f t="shared" si="212"/>
        <v>Low Quality</v>
      </c>
      <c r="O2256" s="4" t="str">
        <f t="shared" si="213"/>
        <v>Operational Growth</v>
      </c>
      <c r="P2256" s="4" t="str">
        <f t="shared" si="214"/>
        <v>Low Quality</v>
      </c>
      <c r="Q2256" s="4" t="str">
        <f t="shared" si="215"/>
        <v>Moderate Growth</v>
      </c>
    </row>
    <row r="2257" spans="1:17" x14ac:dyDescent="0.35">
      <c r="A2257" s="2" t="s">
        <v>2268</v>
      </c>
      <c r="B2257" s="2">
        <v>5</v>
      </c>
      <c r="C2257" s="2">
        <v>83727456.579999998</v>
      </c>
      <c r="D2257" s="2">
        <v>1</v>
      </c>
      <c r="E2257" s="2">
        <v>20907361.75</v>
      </c>
      <c r="F2257" s="2">
        <v>20649844.300000001</v>
      </c>
      <c r="G2257" s="2">
        <v>1</v>
      </c>
      <c r="H2257" s="2">
        <v>2</v>
      </c>
      <c r="I2257" s="2">
        <v>3</v>
      </c>
      <c r="J2257" s="2">
        <v>1.7</v>
      </c>
      <c r="K2257" s="2" t="s">
        <v>1268</v>
      </c>
      <c r="L2257" s="2" t="str">
        <f t="shared" si="210"/>
        <v>Profitable</v>
      </c>
      <c r="M2257" s="2" t="str">
        <f t="shared" si="211"/>
        <v>Stable Earnings</v>
      </c>
      <c r="N2257" s="2" t="str">
        <f t="shared" si="212"/>
        <v>Low Quality</v>
      </c>
      <c r="O2257" s="4" t="str">
        <f t="shared" si="213"/>
        <v>Operational Growth</v>
      </c>
      <c r="P2257" s="4" t="str">
        <f t="shared" si="214"/>
        <v>Low Quality</v>
      </c>
      <c r="Q2257" s="4" t="str">
        <f t="shared" si="215"/>
        <v>Moderate Growth</v>
      </c>
    </row>
    <row r="2258" spans="1:17" x14ac:dyDescent="0.35">
      <c r="A2258" s="2" t="s">
        <v>2269</v>
      </c>
      <c r="B2258" s="2">
        <v>5</v>
      </c>
      <c r="C2258" s="2">
        <v>282546544.10000002</v>
      </c>
      <c r="D2258" s="2">
        <v>1</v>
      </c>
      <c r="E2258" s="2">
        <v>29361372.640000001</v>
      </c>
      <c r="F2258" s="2">
        <v>9975097.1999999993</v>
      </c>
      <c r="G2258" s="2">
        <v>1</v>
      </c>
      <c r="H2258" s="2">
        <v>2</v>
      </c>
      <c r="I2258" s="2">
        <v>3</v>
      </c>
      <c r="J2258" s="2">
        <v>1.7</v>
      </c>
      <c r="K2258" s="2" t="s">
        <v>1268</v>
      </c>
      <c r="L2258" s="2" t="str">
        <f t="shared" si="210"/>
        <v>Profitable</v>
      </c>
      <c r="M2258" s="2" t="str">
        <f t="shared" si="211"/>
        <v>Stable Earnings</v>
      </c>
      <c r="N2258" s="2" t="str">
        <f t="shared" si="212"/>
        <v>Low Quality</v>
      </c>
      <c r="O2258" s="4" t="str">
        <f t="shared" si="213"/>
        <v>Operational Growth</v>
      </c>
      <c r="P2258" s="4" t="str">
        <f t="shared" si="214"/>
        <v>Low Quality</v>
      </c>
      <c r="Q2258" s="4" t="str">
        <f t="shared" si="215"/>
        <v>Moderate Growth</v>
      </c>
    </row>
    <row r="2259" spans="1:17" x14ac:dyDescent="0.35">
      <c r="A2259" s="2" t="s">
        <v>2270</v>
      </c>
      <c r="B2259" s="2">
        <v>5</v>
      </c>
      <c r="C2259" s="2">
        <v>84559561.180000007</v>
      </c>
      <c r="D2259" s="2">
        <v>1</v>
      </c>
      <c r="E2259" s="2">
        <v>17126157.789999999</v>
      </c>
      <c r="F2259" s="2">
        <v>10358185.199999999</v>
      </c>
      <c r="G2259" s="2">
        <v>1</v>
      </c>
      <c r="H2259" s="2">
        <v>2</v>
      </c>
      <c r="I2259" s="2">
        <v>3</v>
      </c>
      <c r="J2259" s="2">
        <v>1.7</v>
      </c>
      <c r="K2259" s="2" t="s">
        <v>1268</v>
      </c>
      <c r="L2259" s="2" t="str">
        <f t="shared" si="210"/>
        <v>Profitable</v>
      </c>
      <c r="M2259" s="2" t="str">
        <f t="shared" si="211"/>
        <v>Stable Earnings</v>
      </c>
      <c r="N2259" s="2" t="str">
        <f t="shared" si="212"/>
        <v>Low Quality</v>
      </c>
      <c r="O2259" s="4" t="str">
        <f t="shared" si="213"/>
        <v>Operational Growth</v>
      </c>
      <c r="P2259" s="4" t="str">
        <f t="shared" si="214"/>
        <v>Low Quality</v>
      </c>
      <c r="Q2259" s="4" t="str">
        <f t="shared" si="215"/>
        <v>Moderate Growth</v>
      </c>
    </row>
    <row r="2260" spans="1:17" x14ac:dyDescent="0.35">
      <c r="A2260" s="2" t="s">
        <v>2271</v>
      </c>
      <c r="B2260" s="2">
        <v>5</v>
      </c>
      <c r="C2260" s="2">
        <v>84888298</v>
      </c>
      <c r="D2260" s="2">
        <v>1</v>
      </c>
      <c r="E2260" s="2">
        <v>15791295.029999999</v>
      </c>
      <c r="F2260" s="2">
        <v>10861408</v>
      </c>
      <c r="G2260" s="2">
        <v>1</v>
      </c>
      <c r="H2260" s="2">
        <v>2</v>
      </c>
      <c r="I2260" s="2">
        <v>3</v>
      </c>
      <c r="J2260" s="2">
        <v>1.7</v>
      </c>
      <c r="K2260" s="2" t="s">
        <v>1268</v>
      </c>
      <c r="L2260" s="2" t="str">
        <f t="shared" si="210"/>
        <v>Profitable</v>
      </c>
      <c r="M2260" s="2" t="str">
        <f t="shared" si="211"/>
        <v>Stable Earnings</v>
      </c>
      <c r="N2260" s="2" t="str">
        <f t="shared" si="212"/>
        <v>Low Quality</v>
      </c>
      <c r="O2260" s="4" t="str">
        <f t="shared" si="213"/>
        <v>Operational Growth</v>
      </c>
      <c r="P2260" s="4" t="str">
        <f t="shared" si="214"/>
        <v>Low Quality</v>
      </c>
      <c r="Q2260" s="4" t="str">
        <f t="shared" si="215"/>
        <v>Moderate Growth</v>
      </c>
    </row>
    <row r="2261" spans="1:17" x14ac:dyDescent="0.35">
      <c r="A2261" s="2" t="s">
        <v>2272</v>
      </c>
      <c r="B2261" s="2">
        <v>5</v>
      </c>
      <c r="C2261" s="2">
        <v>65562991.200000003</v>
      </c>
      <c r="D2261" s="2">
        <v>1</v>
      </c>
      <c r="E2261" s="2">
        <v>18235136.469999999</v>
      </c>
      <c r="F2261" s="2">
        <v>18762272.399999999</v>
      </c>
      <c r="G2261" s="2">
        <v>1</v>
      </c>
      <c r="H2261" s="2">
        <v>2</v>
      </c>
      <c r="I2261" s="2">
        <v>3</v>
      </c>
      <c r="J2261" s="2">
        <v>1.7</v>
      </c>
      <c r="K2261" s="2" t="s">
        <v>1268</v>
      </c>
      <c r="L2261" s="2" t="str">
        <f t="shared" si="210"/>
        <v>Profitable</v>
      </c>
      <c r="M2261" s="2" t="str">
        <f t="shared" si="211"/>
        <v>Stable Earnings</v>
      </c>
      <c r="N2261" s="2" t="str">
        <f t="shared" si="212"/>
        <v>Low Quality</v>
      </c>
      <c r="O2261" s="4" t="str">
        <f t="shared" si="213"/>
        <v>Operational Growth</v>
      </c>
      <c r="P2261" s="4" t="str">
        <f t="shared" si="214"/>
        <v>Low Quality</v>
      </c>
      <c r="Q2261" s="4" t="str">
        <f t="shared" si="215"/>
        <v>Moderate Growth</v>
      </c>
    </row>
    <row r="2262" spans="1:17" x14ac:dyDescent="0.35">
      <c r="A2262" s="2" t="s">
        <v>2273</v>
      </c>
      <c r="B2262" s="2">
        <v>5</v>
      </c>
      <c r="C2262" s="2">
        <v>149030868.30000001</v>
      </c>
      <c r="D2262" s="2">
        <v>1</v>
      </c>
      <c r="E2262" s="2">
        <v>19634584.350000001</v>
      </c>
      <c r="F2262" s="2">
        <v>15121685.4</v>
      </c>
      <c r="G2262" s="2">
        <v>1</v>
      </c>
      <c r="H2262" s="2">
        <v>2</v>
      </c>
      <c r="I2262" s="2">
        <v>3</v>
      </c>
      <c r="J2262" s="2">
        <v>1.7</v>
      </c>
      <c r="K2262" s="2" t="s">
        <v>1268</v>
      </c>
      <c r="L2262" s="2" t="str">
        <f t="shared" si="210"/>
        <v>Profitable</v>
      </c>
      <c r="M2262" s="2" t="str">
        <f t="shared" si="211"/>
        <v>Stable Earnings</v>
      </c>
      <c r="N2262" s="2" t="str">
        <f t="shared" si="212"/>
        <v>Low Quality</v>
      </c>
      <c r="O2262" s="4" t="str">
        <f t="shared" si="213"/>
        <v>Operational Growth</v>
      </c>
      <c r="P2262" s="4" t="str">
        <f t="shared" si="214"/>
        <v>Low Quality</v>
      </c>
      <c r="Q2262" s="4" t="str">
        <f t="shared" si="215"/>
        <v>Moderate Growth</v>
      </c>
    </row>
    <row r="2263" spans="1:17" x14ac:dyDescent="0.35">
      <c r="A2263" s="2" t="s">
        <v>2274</v>
      </c>
      <c r="B2263" s="2">
        <v>5</v>
      </c>
      <c r="C2263" s="2">
        <v>29365621.460000001</v>
      </c>
      <c r="D2263" s="2">
        <v>1</v>
      </c>
      <c r="E2263" s="2">
        <v>43052130.869999997</v>
      </c>
      <c r="F2263" s="2">
        <v>1711689.8</v>
      </c>
      <c r="G2263" s="2">
        <v>1</v>
      </c>
      <c r="H2263" s="2">
        <v>2</v>
      </c>
      <c r="I2263" s="2">
        <v>3</v>
      </c>
      <c r="J2263" s="2">
        <v>1.7</v>
      </c>
      <c r="K2263" s="2" t="s">
        <v>1268</v>
      </c>
      <c r="L2263" s="2" t="str">
        <f t="shared" si="210"/>
        <v>Profitable</v>
      </c>
      <c r="M2263" s="2" t="str">
        <f t="shared" si="211"/>
        <v>Stable Earnings</v>
      </c>
      <c r="N2263" s="2" t="str">
        <f t="shared" si="212"/>
        <v>Low Quality</v>
      </c>
      <c r="O2263" s="4" t="str">
        <f t="shared" si="213"/>
        <v>Operational Growth</v>
      </c>
      <c r="P2263" s="4" t="str">
        <f t="shared" si="214"/>
        <v>Low Quality</v>
      </c>
      <c r="Q2263" s="4" t="str">
        <f t="shared" si="215"/>
        <v>Moderate Growth</v>
      </c>
    </row>
    <row r="2264" spans="1:17" x14ac:dyDescent="0.35">
      <c r="A2264" s="2" t="s">
        <v>2275</v>
      </c>
      <c r="B2264" s="2">
        <v>5</v>
      </c>
      <c r="C2264" s="2">
        <v>148251382.40000001</v>
      </c>
      <c r="D2264" s="2">
        <v>1</v>
      </c>
      <c r="E2264" s="2">
        <v>17910482.949999999</v>
      </c>
      <c r="F2264" s="2">
        <v>1303528.5</v>
      </c>
      <c r="G2264" s="2">
        <v>1</v>
      </c>
      <c r="H2264" s="2">
        <v>2</v>
      </c>
      <c r="I2264" s="2">
        <v>3</v>
      </c>
      <c r="J2264" s="2">
        <v>1.7</v>
      </c>
      <c r="K2264" s="2" t="s">
        <v>1268</v>
      </c>
      <c r="L2264" s="2" t="str">
        <f t="shared" si="210"/>
        <v>Profitable</v>
      </c>
      <c r="M2264" s="2" t="str">
        <f t="shared" si="211"/>
        <v>Stable Earnings</v>
      </c>
      <c r="N2264" s="2" t="str">
        <f t="shared" si="212"/>
        <v>Low Quality</v>
      </c>
      <c r="O2264" s="4" t="str">
        <f t="shared" si="213"/>
        <v>Operational Growth</v>
      </c>
      <c r="P2264" s="4" t="str">
        <f t="shared" si="214"/>
        <v>Low Quality</v>
      </c>
      <c r="Q2264" s="4" t="str">
        <f t="shared" si="215"/>
        <v>Moderate Growth</v>
      </c>
    </row>
    <row r="2265" spans="1:17" x14ac:dyDescent="0.35">
      <c r="A2265" s="2" t="s">
        <v>2276</v>
      </c>
      <c r="B2265" s="2">
        <v>5</v>
      </c>
      <c r="C2265" s="2">
        <v>263897203.09999999</v>
      </c>
      <c r="D2265" s="2">
        <v>1</v>
      </c>
      <c r="E2265" s="2">
        <v>23633782.91</v>
      </c>
      <c r="F2265" s="2">
        <v>4783819.8</v>
      </c>
      <c r="G2265" s="2">
        <v>1</v>
      </c>
      <c r="H2265" s="2">
        <v>2</v>
      </c>
      <c r="I2265" s="2">
        <v>3</v>
      </c>
      <c r="J2265" s="2">
        <v>1.7</v>
      </c>
      <c r="K2265" s="2" t="s">
        <v>1268</v>
      </c>
      <c r="L2265" s="2" t="str">
        <f t="shared" si="210"/>
        <v>Profitable</v>
      </c>
      <c r="M2265" s="2" t="str">
        <f t="shared" si="211"/>
        <v>Stable Earnings</v>
      </c>
      <c r="N2265" s="2" t="str">
        <f t="shared" si="212"/>
        <v>Low Quality</v>
      </c>
      <c r="O2265" s="4" t="str">
        <f t="shared" si="213"/>
        <v>Operational Growth</v>
      </c>
      <c r="P2265" s="4" t="str">
        <f t="shared" si="214"/>
        <v>Low Quality</v>
      </c>
      <c r="Q2265" s="4" t="str">
        <f t="shared" si="215"/>
        <v>Moderate Growth</v>
      </c>
    </row>
    <row r="2266" spans="1:17" x14ac:dyDescent="0.35">
      <c r="A2266" s="2" t="s">
        <v>2277</v>
      </c>
      <c r="B2266" s="2">
        <v>5</v>
      </c>
      <c r="C2266" s="2">
        <v>7438384.5999999996</v>
      </c>
      <c r="D2266" s="2">
        <v>1</v>
      </c>
      <c r="E2266" s="2">
        <v>4701892.32</v>
      </c>
      <c r="F2266" s="2">
        <v>-5300201.3</v>
      </c>
      <c r="G2266" s="2">
        <v>1</v>
      </c>
      <c r="H2266" s="2">
        <v>1</v>
      </c>
      <c r="I2266" s="2">
        <v>4</v>
      </c>
      <c r="J2266" s="2">
        <v>1.6</v>
      </c>
      <c r="K2266" s="2" t="s">
        <v>1268</v>
      </c>
      <c r="L2266" s="2" t="str">
        <f t="shared" si="210"/>
        <v>Profitable</v>
      </c>
      <c r="M2266" s="2" t="str">
        <f t="shared" si="211"/>
        <v>Stable Earnings</v>
      </c>
      <c r="N2266" s="2" t="str">
        <f t="shared" si="212"/>
        <v>Low Quality</v>
      </c>
      <c r="O2266" s="4" t="str">
        <f t="shared" si="213"/>
        <v>Accounting Risk</v>
      </c>
      <c r="P2266" s="4" t="str">
        <f t="shared" si="214"/>
        <v>Low Quality</v>
      </c>
      <c r="Q2266" s="4" t="str">
        <f t="shared" si="215"/>
        <v>Strong Long-Term Growth</v>
      </c>
    </row>
    <row r="2267" spans="1:17" x14ac:dyDescent="0.35">
      <c r="A2267" s="2" t="s">
        <v>2278</v>
      </c>
      <c r="B2267" s="2">
        <v>5</v>
      </c>
      <c r="C2267" s="2">
        <v>16618057.460000001</v>
      </c>
      <c r="D2267" s="2">
        <v>1</v>
      </c>
      <c r="E2267" s="2">
        <v>7595223.2580000004</v>
      </c>
      <c r="F2267" s="2">
        <v>-5539873.2999999998</v>
      </c>
      <c r="G2267" s="2">
        <v>1</v>
      </c>
      <c r="H2267" s="2">
        <v>1</v>
      </c>
      <c r="I2267" s="2">
        <v>4</v>
      </c>
      <c r="J2267" s="2">
        <v>1.6</v>
      </c>
      <c r="K2267" s="2" t="s">
        <v>1268</v>
      </c>
      <c r="L2267" s="2" t="str">
        <f t="shared" si="210"/>
        <v>Profitable</v>
      </c>
      <c r="M2267" s="2" t="str">
        <f t="shared" si="211"/>
        <v>Stable Earnings</v>
      </c>
      <c r="N2267" s="2" t="str">
        <f t="shared" si="212"/>
        <v>Low Quality</v>
      </c>
      <c r="O2267" s="4" t="str">
        <f t="shared" si="213"/>
        <v>Accounting Risk</v>
      </c>
      <c r="P2267" s="4" t="str">
        <f t="shared" si="214"/>
        <v>Low Quality</v>
      </c>
      <c r="Q2267" s="4" t="str">
        <f t="shared" si="215"/>
        <v>Strong Long-Term Growth</v>
      </c>
    </row>
    <row r="2268" spans="1:17" x14ac:dyDescent="0.35">
      <c r="A2268" s="2" t="s">
        <v>2279</v>
      </c>
      <c r="B2268" s="2">
        <v>5</v>
      </c>
      <c r="C2268" s="2">
        <v>7558900.6799999997</v>
      </c>
      <c r="D2268" s="2">
        <v>1</v>
      </c>
      <c r="E2268" s="2">
        <v>2209382.176</v>
      </c>
      <c r="F2268" s="2">
        <v>-5928129.5</v>
      </c>
      <c r="G2268" s="2">
        <v>1</v>
      </c>
      <c r="H2268" s="2">
        <v>1</v>
      </c>
      <c r="I2268" s="2">
        <v>4</v>
      </c>
      <c r="J2268" s="2">
        <v>1.6</v>
      </c>
      <c r="K2268" s="2" t="s">
        <v>1268</v>
      </c>
      <c r="L2268" s="2" t="str">
        <f t="shared" si="210"/>
        <v>Profitable</v>
      </c>
      <c r="M2268" s="2" t="str">
        <f t="shared" si="211"/>
        <v>Stable Earnings</v>
      </c>
      <c r="N2268" s="2" t="str">
        <f t="shared" si="212"/>
        <v>Low Quality</v>
      </c>
      <c r="O2268" s="4" t="str">
        <f t="shared" si="213"/>
        <v>Accounting Risk</v>
      </c>
      <c r="P2268" s="4" t="str">
        <f t="shared" si="214"/>
        <v>Low Quality</v>
      </c>
      <c r="Q2268" s="4" t="str">
        <f t="shared" si="215"/>
        <v>Strong Long-Term Growth</v>
      </c>
    </row>
    <row r="2269" spans="1:17" x14ac:dyDescent="0.35">
      <c r="A2269" s="2" t="s">
        <v>2280</v>
      </c>
      <c r="B2269" s="2">
        <v>5</v>
      </c>
      <c r="C2269" s="2">
        <v>65034097.899999999</v>
      </c>
      <c r="D2269" s="2">
        <v>1</v>
      </c>
      <c r="E2269" s="2">
        <v>14734677.310000001</v>
      </c>
      <c r="F2269" s="2">
        <v>-16941684.699999999</v>
      </c>
      <c r="G2269" s="2">
        <v>1</v>
      </c>
      <c r="H2269" s="2">
        <v>1</v>
      </c>
      <c r="I2269" s="2">
        <v>4</v>
      </c>
      <c r="J2269" s="2">
        <v>1.6</v>
      </c>
      <c r="K2269" s="2" t="s">
        <v>1268</v>
      </c>
      <c r="L2269" s="2" t="str">
        <f t="shared" si="210"/>
        <v>Profitable</v>
      </c>
      <c r="M2269" s="2" t="str">
        <f t="shared" si="211"/>
        <v>Stable Earnings</v>
      </c>
      <c r="N2269" s="2" t="str">
        <f t="shared" si="212"/>
        <v>Low Quality</v>
      </c>
      <c r="O2269" s="4" t="str">
        <f t="shared" si="213"/>
        <v>Accounting Risk</v>
      </c>
      <c r="P2269" s="4" t="str">
        <f t="shared" si="214"/>
        <v>Low Quality</v>
      </c>
      <c r="Q2269" s="4" t="str">
        <f t="shared" si="215"/>
        <v>Strong Long-Term Growth</v>
      </c>
    </row>
    <row r="2270" spans="1:17" x14ac:dyDescent="0.35">
      <c r="A2270" s="2" t="s">
        <v>2281</v>
      </c>
      <c r="B2270" s="2">
        <v>5</v>
      </c>
      <c r="C2270" s="2">
        <v>13224686.32</v>
      </c>
      <c r="D2270" s="2">
        <v>1</v>
      </c>
      <c r="E2270" s="2">
        <v>9463879.5539999995</v>
      </c>
      <c r="F2270" s="2">
        <v>-10939788.4</v>
      </c>
      <c r="G2270" s="2">
        <v>1</v>
      </c>
      <c r="H2270" s="2">
        <v>1</v>
      </c>
      <c r="I2270" s="2">
        <v>4</v>
      </c>
      <c r="J2270" s="2">
        <v>1.6</v>
      </c>
      <c r="K2270" s="2" t="s">
        <v>1268</v>
      </c>
      <c r="L2270" s="2" t="str">
        <f t="shared" si="210"/>
        <v>Profitable</v>
      </c>
      <c r="M2270" s="2" t="str">
        <f t="shared" si="211"/>
        <v>Stable Earnings</v>
      </c>
      <c r="N2270" s="2" t="str">
        <f t="shared" si="212"/>
        <v>Low Quality</v>
      </c>
      <c r="O2270" s="4" t="str">
        <f t="shared" si="213"/>
        <v>Accounting Risk</v>
      </c>
      <c r="P2270" s="4" t="str">
        <f t="shared" si="214"/>
        <v>Low Quality</v>
      </c>
      <c r="Q2270" s="4" t="str">
        <f t="shared" si="215"/>
        <v>Strong Long-Term Growth</v>
      </c>
    </row>
    <row r="2271" spans="1:17" x14ac:dyDescent="0.35">
      <c r="A2271" s="2" t="s">
        <v>2282</v>
      </c>
      <c r="B2271" s="2">
        <v>5</v>
      </c>
      <c r="C2271" s="2">
        <v>42438449.880000003</v>
      </c>
      <c r="D2271" s="2">
        <v>1</v>
      </c>
      <c r="E2271" s="2">
        <v>15238523.85</v>
      </c>
      <c r="F2271" s="2">
        <v>-11452319.699999999</v>
      </c>
      <c r="G2271" s="2">
        <v>1</v>
      </c>
      <c r="H2271" s="2">
        <v>1</v>
      </c>
      <c r="I2271" s="2">
        <v>4</v>
      </c>
      <c r="J2271" s="2">
        <v>1.6</v>
      </c>
      <c r="K2271" s="2" t="s">
        <v>1268</v>
      </c>
      <c r="L2271" s="2" t="str">
        <f t="shared" si="210"/>
        <v>Profitable</v>
      </c>
      <c r="M2271" s="2" t="str">
        <f t="shared" si="211"/>
        <v>Stable Earnings</v>
      </c>
      <c r="N2271" s="2" t="str">
        <f t="shared" si="212"/>
        <v>Low Quality</v>
      </c>
      <c r="O2271" s="4" t="str">
        <f t="shared" si="213"/>
        <v>Accounting Risk</v>
      </c>
      <c r="P2271" s="4" t="str">
        <f t="shared" si="214"/>
        <v>Low Quality</v>
      </c>
      <c r="Q2271" s="4" t="str">
        <f t="shared" si="215"/>
        <v>Strong Long-Term Growth</v>
      </c>
    </row>
    <row r="2272" spans="1:17" x14ac:dyDescent="0.35">
      <c r="A2272" s="2" t="s">
        <v>2283</v>
      </c>
      <c r="B2272" s="2">
        <v>5</v>
      </c>
      <c r="C2272" s="2">
        <v>49606369.979999997</v>
      </c>
      <c r="D2272" s="2">
        <v>1</v>
      </c>
      <c r="E2272" s="2">
        <v>14227446.02</v>
      </c>
      <c r="F2272" s="2">
        <v>-11922299.699999999</v>
      </c>
      <c r="G2272" s="2">
        <v>1</v>
      </c>
      <c r="H2272" s="2">
        <v>1</v>
      </c>
      <c r="I2272" s="2">
        <v>4</v>
      </c>
      <c r="J2272" s="2">
        <v>1.6</v>
      </c>
      <c r="K2272" s="2" t="s">
        <v>1268</v>
      </c>
      <c r="L2272" s="2" t="str">
        <f t="shared" si="210"/>
        <v>Profitable</v>
      </c>
      <c r="M2272" s="2" t="str">
        <f t="shared" si="211"/>
        <v>Stable Earnings</v>
      </c>
      <c r="N2272" s="2" t="str">
        <f t="shared" si="212"/>
        <v>Low Quality</v>
      </c>
      <c r="O2272" s="4" t="str">
        <f t="shared" si="213"/>
        <v>Accounting Risk</v>
      </c>
      <c r="P2272" s="4" t="str">
        <f t="shared" si="214"/>
        <v>Low Quality</v>
      </c>
      <c r="Q2272" s="4" t="str">
        <f t="shared" si="215"/>
        <v>Strong Long-Term Growth</v>
      </c>
    </row>
    <row r="2273" spans="1:17" x14ac:dyDescent="0.35">
      <c r="A2273" s="2" t="s">
        <v>2284</v>
      </c>
      <c r="B2273" s="2">
        <v>5</v>
      </c>
      <c r="C2273" s="2">
        <v>4840375.5</v>
      </c>
      <c r="D2273" s="2">
        <v>1</v>
      </c>
      <c r="E2273" s="2">
        <v>4838954.1919999998</v>
      </c>
      <c r="F2273" s="2">
        <v>-7749470.4000000004</v>
      </c>
      <c r="G2273" s="2">
        <v>1</v>
      </c>
      <c r="H2273" s="2">
        <v>1</v>
      </c>
      <c r="I2273" s="2">
        <v>4</v>
      </c>
      <c r="J2273" s="2">
        <v>1.6</v>
      </c>
      <c r="K2273" s="2" t="s">
        <v>1268</v>
      </c>
      <c r="L2273" s="2" t="str">
        <f t="shared" si="210"/>
        <v>Profitable</v>
      </c>
      <c r="M2273" s="2" t="str">
        <f t="shared" si="211"/>
        <v>Stable Earnings</v>
      </c>
      <c r="N2273" s="2" t="str">
        <f t="shared" si="212"/>
        <v>Low Quality</v>
      </c>
      <c r="O2273" s="4" t="str">
        <f t="shared" si="213"/>
        <v>Accounting Risk</v>
      </c>
      <c r="P2273" s="4" t="str">
        <f t="shared" si="214"/>
        <v>Low Quality</v>
      </c>
      <c r="Q2273" s="4" t="str">
        <f t="shared" si="215"/>
        <v>Strong Long-Term Growth</v>
      </c>
    </row>
    <row r="2274" spans="1:17" x14ac:dyDescent="0.35">
      <c r="A2274" s="2" t="s">
        <v>2285</v>
      </c>
      <c r="B2274" s="2">
        <v>5</v>
      </c>
      <c r="C2274" s="2">
        <v>8979465.2200000007</v>
      </c>
      <c r="D2274" s="2">
        <v>1</v>
      </c>
      <c r="E2274" s="2">
        <v>3704955.5830000001</v>
      </c>
      <c r="F2274" s="2">
        <v>-7271538.2000000002</v>
      </c>
      <c r="G2274" s="2">
        <v>1</v>
      </c>
      <c r="H2274" s="2">
        <v>1</v>
      </c>
      <c r="I2274" s="2">
        <v>4</v>
      </c>
      <c r="J2274" s="2">
        <v>1.6</v>
      </c>
      <c r="K2274" s="2" t="s">
        <v>1268</v>
      </c>
      <c r="L2274" s="2" t="str">
        <f t="shared" si="210"/>
        <v>Profitable</v>
      </c>
      <c r="M2274" s="2" t="str">
        <f t="shared" si="211"/>
        <v>Stable Earnings</v>
      </c>
      <c r="N2274" s="2" t="str">
        <f t="shared" si="212"/>
        <v>Low Quality</v>
      </c>
      <c r="O2274" s="4" t="str">
        <f t="shared" si="213"/>
        <v>Accounting Risk</v>
      </c>
      <c r="P2274" s="4" t="str">
        <f t="shared" si="214"/>
        <v>Low Quality</v>
      </c>
      <c r="Q2274" s="4" t="str">
        <f t="shared" si="215"/>
        <v>Strong Long-Term Growth</v>
      </c>
    </row>
    <row r="2275" spans="1:17" x14ac:dyDescent="0.35">
      <c r="A2275" s="2" t="s">
        <v>2286</v>
      </c>
      <c r="B2275" s="2">
        <v>5</v>
      </c>
      <c r="C2275" s="2">
        <v>22296946.260000002</v>
      </c>
      <c r="D2275" s="2">
        <v>1</v>
      </c>
      <c r="E2275" s="2">
        <v>15213387.689999999</v>
      </c>
      <c r="F2275" s="2">
        <v>-37499972.299999997</v>
      </c>
      <c r="G2275" s="2">
        <v>1</v>
      </c>
      <c r="H2275" s="2">
        <v>1</v>
      </c>
      <c r="I2275" s="2">
        <v>4</v>
      </c>
      <c r="J2275" s="2">
        <v>1.6</v>
      </c>
      <c r="K2275" s="2" t="s">
        <v>1268</v>
      </c>
      <c r="L2275" s="2" t="str">
        <f t="shared" si="210"/>
        <v>Profitable</v>
      </c>
      <c r="M2275" s="2" t="str">
        <f t="shared" si="211"/>
        <v>Stable Earnings</v>
      </c>
      <c r="N2275" s="2" t="str">
        <f t="shared" si="212"/>
        <v>Low Quality</v>
      </c>
      <c r="O2275" s="4" t="str">
        <f t="shared" si="213"/>
        <v>Accounting Risk</v>
      </c>
      <c r="P2275" s="4" t="str">
        <f t="shared" si="214"/>
        <v>Low Quality</v>
      </c>
      <c r="Q2275" s="4" t="str">
        <f t="shared" si="215"/>
        <v>Strong Long-Term Growth</v>
      </c>
    </row>
    <row r="2276" spans="1:17" x14ac:dyDescent="0.35">
      <c r="A2276" s="2" t="s">
        <v>2287</v>
      </c>
      <c r="B2276" s="2">
        <v>5</v>
      </c>
      <c r="C2276" s="2">
        <v>126790576.40000001</v>
      </c>
      <c r="D2276" s="2">
        <v>1</v>
      </c>
      <c r="E2276" s="2">
        <v>97172067.900000006</v>
      </c>
      <c r="F2276" s="2">
        <v>227200222.59999999</v>
      </c>
      <c r="G2276" s="2">
        <v>1</v>
      </c>
      <c r="H2276" s="2">
        <v>3</v>
      </c>
      <c r="I2276" s="2">
        <v>1</v>
      </c>
      <c r="J2276" s="2">
        <v>1.6</v>
      </c>
      <c r="K2276" s="2" t="s">
        <v>1268</v>
      </c>
      <c r="L2276" s="2" t="str">
        <f t="shared" si="210"/>
        <v>Profitable</v>
      </c>
      <c r="M2276" s="2" t="str">
        <f t="shared" si="211"/>
        <v>Stable Earnings</v>
      </c>
      <c r="N2276" s="2" t="str">
        <f t="shared" si="212"/>
        <v>Low Quality</v>
      </c>
      <c r="O2276" s="4" t="str">
        <f t="shared" si="213"/>
        <v>Operational Growth</v>
      </c>
      <c r="P2276" s="4" t="str">
        <f t="shared" si="214"/>
        <v>Low Quality</v>
      </c>
      <c r="Q2276" s="4" t="str">
        <f t="shared" si="215"/>
        <v>Weak Growth</v>
      </c>
    </row>
    <row r="2277" spans="1:17" x14ac:dyDescent="0.35">
      <c r="A2277" s="2" t="s">
        <v>2288</v>
      </c>
      <c r="B2277" s="2">
        <v>5</v>
      </c>
      <c r="C2277" s="2">
        <v>265612559.30000001</v>
      </c>
      <c r="D2277" s="2">
        <v>1</v>
      </c>
      <c r="E2277" s="2">
        <v>109182594.90000001</v>
      </c>
      <c r="F2277" s="2">
        <v>226471746.69999999</v>
      </c>
      <c r="G2277" s="2">
        <v>1</v>
      </c>
      <c r="H2277" s="2">
        <v>3</v>
      </c>
      <c r="I2277" s="2">
        <v>1</v>
      </c>
      <c r="J2277" s="2">
        <v>1.6</v>
      </c>
      <c r="K2277" s="2" t="s">
        <v>1268</v>
      </c>
      <c r="L2277" s="2" t="str">
        <f t="shared" si="210"/>
        <v>Profitable</v>
      </c>
      <c r="M2277" s="2" t="str">
        <f t="shared" si="211"/>
        <v>Stable Earnings</v>
      </c>
      <c r="N2277" s="2" t="str">
        <f t="shared" si="212"/>
        <v>Low Quality</v>
      </c>
      <c r="O2277" s="4" t="str">
        <f t="shared" si="213"/>
        <v>Operational Growth</v>
      </c>
      <c r="P2277" s="4" t="str">
        <f t="shared" si="214"/>
        <v>Low Quality</v>
      </c>
      <c r="Q2277" s="4" t="str">
        <f t="shared" si="215"/>
        <v>Weak Growth</v>
      </c>
    </row>
    <row r="2278" spans="1:17" x14ac:dyDescent="0.35">
      <c r="A2278" s="2" t="s">
        <v>2289</v>
      </c>
      <c r="B2278" s="2">
        <v>5</v>
      </c>
      <c r="C2278" s="2">
        <v>313036790.69999999</v>
      </c>
      <c r="D2278" s="2">
        <v>1</v>
      </c>
      <c r="E2278" s="2">
        <v>86790785.930000007</v>
      </c>
      <c r="F2278" s="2">
        <v>232755012.19999999</v>
      </c>
      <c r="G2278" s="2">
        <v>1</v>
      </c>
      <c r="H2278" s="2">
        <v>3</v>
      </c>
      <c r="I2278" s="2">
        <v>1</v>
      </c>
      <c r="J2278" s="2">
        <v>1.6</v>
      </c>
      <c r="K2278" s="2" t="s">
        <v>1268</v>
      </c>
      <c r="L2278" s="2" t="str">
        <f t="shared" si="210"/>
        <v>Profitable</v>
      </c>
      <c r="M2278" s="2" t="str">
        <f t="shared" si="211"/>
        <v>Stable Earnings</v>
      </c>
      <c r="N2278" s="2" t="str">
        <f t="shared" si="212"/>
        <v>Low Quality</v>
      </c>
      <c r="O2278" s="4" t="str">
        <f t="shared" si="213"/>
        <v>Operational Growth</v>
      </c>
      <c r="P2278" s="4" t="str">
        <f t="shared" si="214"/>
        <v>Low Quality</v>
      </c>
      <c r="Q2278" s="4" t="str">
        <f t="shared" si="215"/>
        <v>Weak Growth</v>
      </c>
    </row>
    <row r="2279" spans="1:17" x14ac:dyDescent="0.35">
      <c r="A2279" s="2" t="s">
        <v>2290</v>
      </c>
      <c r="B2279" s="2">
        <v>5</v>
      </c>
      <c r="C2279" s="2">
        <v>118986237.5</v>
      </c>
      <c r="D2279" s="2">
        <v>1</v>
      </c>
      <c r="E2279" s="2">
        <v>94145489.709999993</v>
      </c>
      <c r="F2279" s="2">
        <v>223305940.40000001</v>
      </c>
      <c r="G2279" s="2">
        <v>1</v>
      </c>
      <c r="H2279" s="2">
        <v>3</v>
      </c>
      <c r="I2279" s="2">
        <v>1</v>
      </c>
      <c r="J2279" s="2">
        <v>1.6</v>
      </c>
      <c r="K2279" s="2" t="s">
        <v>1268</v>
      </c>
      <c r="L2279" s="2" t="str">
        <f t="shared" si="210"/>
        <v>Profitable</v>
      </c>
      <c r="M2279" s="2" t="str">
        <f t="shared" si="211"/>
        <v>Stable Earnings</v>
      </c>
      <c r="N2279" s="2" t="str">
        <f t="shared" si="212"/>
        <v>Low Quality</v>
      </c>
      <c r="O2279" s="4" t="str">
        <f t="shared" si="213"/>
        <v>Operational Growth</v>
      </c>
      <c r="P2279" s="4" t="str">
        <f t="shared" si="214"/>
        <v>Low Quality</v>
      </c>
      <c r="Q2279" s="4" t="str">
        <f t="shared" si="215"/>
        <v>Weak Growth</v>
      </c>
    </row>
    <row r="2280" spans="1:17" x14ac:dyDescent="0.35">
      <c r="A2280" s="2" t="s">
        <v>2291</v>
      </c>
      <c r="B2280" s="2">
        <v>5</v>
      </c>
      <c r="C2280" s="2">
        <v>254266216</v>
      </c>
      <c r="D2280" s="2">
        <v>1</v>
      </c>
      <c r="E2280" s="2">
        <v>102879709.09999999</v>
      </c>
      <c r="F2280" s="2">
        <v>239858359.90000001</v>
      </c>
      <c r="G2280" s="2">
        <v>1</v>
      </c>
      <c r="H2280" s="2">
        <v>3</v>
      </c>
      <c r="I2280" s="2">
        <v>1</v>
      </c>
      <c r="J2280" s="2">
        <v>1.6</v>
      </c>
      <c r="K2280" s="2" t="s">
        <v>1268</v>
      </c>
      <c r="L2280" s="2" t="str">
        <f t="shared" si="210"/>
        <v>Profitable</v>
      </c>
      <c r="M2280" s="2" t="str">
        <f t="shared" si="211"/>
        <v>Stable Earnings</v>
      </c>
      <c r="N2280" s="2" t="str">
        <f t="shared" si="212"/>
        <v>Low Quality</v>
      </c>
      <c r="O2280" s="4" t="str">
        <f t="shared" si="213"/>
        <v>Operational Growth</v>
      </c>
      <c r="P2280" s="4" t="str">
        <f t="shared" si="214"/>
        <v>Low Quality</v>
      </c>
      <c r="Q2280" s="4" t="str">
        <f t="shared" si="215"/>
        <v>Weak Growth</v>
      </c>
    </row>
    <row r="2281" spans="1:17" x14ac:dyDescent="0.35">
      <c r="A2281" s="2" t="s">
        <v>2292</v>
      </c>
      <c r="B2281" s="2">
        <v>5</v>
      </c>
      <c r="C2281" s="2">
        <v>386777196.89999998</v>
      </c>
      <c r="D2281" s="2">
        <v>1</v>
      </c>
      <c r="E2281" s="2">
        <v>96143161.260000005</v>
      </c>
      <c r="F2281" s="2">
        <v>239293030.90000001</v>
      </c>
      <c r="G2281" s="2">
        <v>1</v>
      </c>
      <c r="H2281" s="2">
        <v>3</v>
      </c>
      <c r="I2281" s="2">
        <v>1</v>
      </c>
      <c r="J2281" s="2">
        <v>1.6</v>
      </c>
      <c r="K2281" s="2" t="s">
        <v>1268</v>
      </c>
      <c r="L2281" s="2" t="str">
        <f t="shared" si="210"/>
        <v>Profitable</v>
      </c>
      <c r="M2281" s="2" t="str">
        <f t="shared" si="211"/>
        <v>Stable Earnings</v>
      </c>
      <c r="N2281" s="2" t="str">
        <f t="shared" si="212"/>
        <v>Low Quality</v>
      </c>
      <c r="O2281" s="4" t="str">
        <f t="shared" si="213"/>
        <v>Operational Growth</v>
      </c>
      <c r="P2281" s="4" t="str">
        <f t="shared" si="214"/>
        <v>Low Quality</v>
      </c>
      <c r="Q2281" s="4" t="str">
        <f t="shared" si="215"/>
        <v>Weak Growth</v>
      </c>
    </row>
    <row r="2282" spans="1:17" x14ac:dyDescent="0.35">
      <c r="A2282" s="2" t="s">
        <v>2293</v>
      </c>
      <c r="B2282" s="2">
        <v>5</v>
      </c>
      <c r="C2282" s="2">
        <v>170301035.40000001</v>
      </c>
      <c r="D2282" s="2">
        <v>1</v>
      </c>
      <c r="E2282" s="2">
        <v>101733322.40000001</v>
      </c>
      <c r="F2282" s="2">
        <v>235116966.30000001</v>
      </c>
      <c r="G2282" s="2">
        <v>1</v>
      </c>
      <c r="H2282" s="2">
        <v>3</v>
      </c>
      <c r="I2282" s="2">
        <v>1</v>
      </c>
      <c r="J2282" s="2">
        <v>1.6</v>
      </c>
      <c r="K2282" s="2" t="s">
        <v>1268</v>
      </c>
      <c r="L2282" s="2" t="str">
        <f t="shared" si="210"/>
        <v>Profitable</v>
      </c>
      <c r="M2282" s="2" t="str">
        <f t="shared" si="211"/>
        <v>Stable Earnings</v>
      </c>
      <c r="N2282" s="2" t="str">
        <f t="shared" si="212"/>
        <v>Low Quality</v>
      </c>
      <c r="O2282" s="4" t="str">
        <f t="shared" si="213"/>
        <v>Operational Growth</v>
      </c>
      <c r="P2282" s="4" t="str">
        <f t="shared" si="214"/>
        <v>Low Quality</v>
      </c>
      <c r="Q2282" s="4" t="str">
        <f t="shared" si="215"/>
        <v>Weak Growth</v>
      </c>
    </row>
    <row r="2283" spans="1:17" x14ac:dyDescent="0.35">
      <c r="A2283" s="2" t="s">
        <v>2294</v>
      </c>
      <c r="B2283" s="2">
        <v>5</v>
      </c>
      <c r="C2283" s="2">
        <v>187477465.90000001</v>
      </c>
      <c r="D2283" s="2">
        <v>1</v>
      </c>
      <c r="E2283" s="2">
        <v>101295911.40000001</v>
      </c>
      <c r="F2283" s="2">
        <v>234866379.69999999</v>
      </c>
      <c r="G2283" s="2">
        <v>1</v>
      </c>
      <c r="H2283" s="2">
        <v>3</v>
      </c>
      <c r="I2283" s="2">
        <v>1</v>
      </c>
      <c r="J2283" s="2">
        <v>1.6</v>
      </c>
      <c r="K2283" s="2" t="s">
        <v>1268</v>
      </c>
      <c r="L2283" s="2" t="str">
        <f t="shared" si="210"/>
        <v>Profitable</v>
      </c>
      <c r="M2283" s="2" t="str">
        <f t="shared" si="211"/>
        <v>Stable Earnings</v>
      </c>
      <c r="N2283" s="2" t="str">
        <f t="shared" si="212"/>
        <v>Low Quality</v>
      </c>
      <c r="O2283" s="4" t="str">
        <f t="shared" si="213"/>
        <v>Operational Growth</v>
      </c>
      <c r="P2283" s="4" t="str">
        <f t="shared" si="214"/>
        <v>Low Quality</v>
      </c>
      <c r="Q2283" s="4" t="str">
        <f t="shared" si="215"/>
        <v>Weak Growth</v>
      </c>
    </row>
    <row r="2284" spans="1:17" x14ac:dyDescent="0.35">
      <c r="A2284" s="2" t="s">
        <v>2295</v>
      </c>
      <c r="B2284" s="2">
        <v>5</v>
      </c>
      <c r="C2284" s="2">
        <v>274796188.19999999</v>
      </c>
      <c r="D2284" s="2">
        <v>1</v>
      </c>
      <c r="E2284" s="2">
        <v>108544986.7</v>
      </c>
      <c r="F2284" s="2">
        <v>242797815.5</v>
      </c>
      <c r="G2284" s="2">
        <v>1</v>
      </c>
      <c r="H2284" s="2">
        <v>3</v>
      </c>
      <c r="I2284" s="2">
        <v>1</v>
      </c>
      <c r="J2284" s="2">
        <v>1.6</v>
      </c>
      <c r="K2284" s="2" t="s">
        <v>1268</v>
      </c>
      <c r="L2284" s="2" t="str">
        <f t="shared" si="210"/>
        <v>Profitable</v>
      </c>
      <c r="M2284" s="2" t="str">
        <f t="shared" si="211"/>
        <v>Stable Earnings</v>
      </c>
      <c r="N2284" s="2" t="str">
        <f t="shared" si="212"/>
        <v>Low Quality</v>
      </c>
      <c r="O2284" s="4" t="str">
        <f t="shared" si="213"/>
        <v>Operational Growth</v>
      </c>
      <c r="P2284" s="4" t="str">
        <f t="shared" si="214"/>
        <v>Low Quality</v>
      </c>
      <c r="Q2284" s="4" t="str">
        <f t="shared" si="215"/>
        <v>Weak Growth</v>
      </c>
    </row>
    <row r="2285" spans="1:17" x14ac:dyDescent="0.35">
      <c r="A2285" s="2" t="s">
        <v>2296</v>
      </c>
      <c r="B2285" s="2">
        <v>5</v>
      </c>
      <c r="C2285" s="2">
        <v>320557770.10000002</v>
      </c>
      <c r="D2285" s="2">
        <v>1</v>
      </c>
      <c r="E2285" s="2">
        <v>99247968.239999995</v>
      </c>
      <c r="F2285" s="2">
        <v>238162997.09999999</v>
      </c>
      <c r="G2285" s="2">
        <v>1</v>
      </c>
      <c r="H2285" s="2">
        <v>3</v>
      </c>
      <c r="I2285" s="2">
        <v>1</v>
      </c>
      <c r="J2285" s="2">
        <v>1.6</v>
      </c>
      <c r="K2285" s="2" t="s">
        <v>1268</v>
      </c>
      <c r="L2285" s="2" t="str">
        <f t="shared" si="210"/>
        <v>Profitable</v>
      </c>
      <c r="M2285" s="2" t="str">
        <f t="shared" si="211"/>
        <v>Stable Earnings</v>
      </c>
      <c r="N2285" s="2" t="str">
        <f t="shared" si="212"/>
        <v>Low Quality</v>
      </c>
      <c r="O2285" s="4" t="str">
        <f t="shared" si="213"/>
        <v>Operational Growth</v>
      </c>
      <c r="P2285" s="4" t="str">
        <f t="shared" si="214"/>
        <v>Low Quality</v>
      </c>
      <c r="Q2285" s="4" t="str">
        <f t="shared" si="215"/>
        <v>Weak Growth</v>
      </c>
    </row>
    <row r="2286" spans="1:17" x14ac:dyDescent="0.35">
      <c r="A2286" s="2" t="s">
        <v>2297</v>
      </c>
      <c r="B2286" s="2">
        <v>5</v>
      </c>
      <c r="C2286" s="2">
        <v>22607690.859999999</v>
      </c>
      <c r="D2286" s="2">
        <v>1</v>
      </c>
      <c r="E2286" s="2">
        <v>18531899.18</v>
      </c>
      <c r="F2286" s="2">
        <v>28163215.199999999</v>
      </c>
      <c r="G2286" s="2">
        <v>1</v>
      </c>
      <c r="H2286" s="2">
        <v>2</v>
      </c>
      <c r="I2286" s="2">
        <v>2</v>
      </c>
      <c r="J2286" s="2">
        <v>1.5</v>
      </c>
      <c r="K2286" s="2" t="s">
        <v>1268</v>
      </c>
      <c r="L2286" s="2" t="str">
        <f t="shared" si="210"/>
        <v>Profitable</v>
      </c>
      <c r="M2286" s="2" t="str">
        <f t="shared" si="211"/>
        <v>Stable Earnings</v>
      </c>
      <c r="N2286" s="2" t="str">
        <f t="shared" si="212"/>
        <v>Low Quality</v>
      </c>
      <c r="O2286" s="4" t="str">
        <f t="shared" si="213"/>
        <v>Operational Growth</v>
      </c>
      <c r="P2286" s="4" t="str">
        <f t="shared" si="214"/>
        <v>Low Quality</v>
      </c>
      <c r="Q2286" s="4" t="str">
        <f t="shared" si="215"/>
        <v>Moderate Growth</v>
      </c>
    </row>
    <row r="2287" spans="1:17" x14ac:dyDescent="0.35">
      <c r="A2287" s="2" t="s">
        <v>2298</v>
      </c>
      <c r="B2287" s="2">
        <v>5</v>
      </c>
      <c r="C2287" s="2">
        <v>819181949.70000005</v>
      </c>
      <c r="D2287" s="2">
        <v>1</v>
      </c>
      <c r="E2287" s="2">
        <v>22104496.949999999</v>
      </c>
      <c r="F2287" s="2">
        <v>28066161.300000001</v>
      </c>
      <c r="G2287" s="2">
        <v>1</v>
      </c>
      <c r="H2287" s="2">
        <v>2</v>
      </c>
      <c r="I2287" s="2">
        <v>2</v>
      </c>
      <c r="J2287" s="2">
        <v>1.5</v>
      </c>
      <c r="K2287" s="2" t="s">
        <v>1268</v>
      </c>
      <c r="L2287" s="2" t="str">
        <f t="shared" si="210"/>
        <v>Profitable</v>
      </c>
      <c r="M2287" s="2" t="str">
        <f t="shared" si="211"/>
        <v>High Volatility</v>
      </c>
      <c r="N2287" s="2" t="str">
        <f t="shared" si="212"/>
        <v>Low Quality</v>
      </c>
      <c r="O2287" s="4" t="str">
        <f t="shared" si="213"/>
        <v>Operational Growth</v>
      </c>
      <c r="P2287" s="4" t="str">
        <f t="shared" si="214"/>
        <v>Low Quality</v>
      </c>
      <c r="Q2287" s="4" t="str">
        <f t="shared" si="215"/>
        <v>Moderate Growth</v>
      </c>
    </row>
    <row r="2288" spans="1:17" x14ac:dyDescent="0.35">
      <c r="A2288" s="2" t="s">
        <v>2299</v>
      </c>
      <c r="B2288" s="2">
        <v>5</v>
      </c>
      <c r="C2288" s="2">
        <v>62271779.899999999</v>
      </c>
      <c r="D2288" s="2">
        <v>1</v>
      </c>
      <c r="E2288" s="2">
        <v>34976951.219999999</v>
      </c>
      <c r="F2288" s="2">
        <v>28891391.5</v>
      </c>
      <c r="G2288" s="2">
        <v>1</v>
      </c>
      <c r="H2288" s="2">
        <v>2</v>
      </c>
      <c r="I2288" s="2">
        <v>2</v>
      </c>
      <c r="J2288" s="2">
        <v>1.5</v>
      </c>
      <c r="K2288" s="2" t="s">
        <v>1268</v>
      </c>
      <c r="L2288" s="2" t="str">
        <f t="shared" si="210"/>
        <v>Profitable</v>
      </c>
      <c r="M2288" s="2" t="str">
        <f t="shared" si="211"/>
        <v>Stable Earnings</v>
      </c>
      <c r="N2288" s="2" t="str">
        <f t="shared" si="212"/>
        <v>Low Quality</v>
      </c>
      <c r="O2288" s="4" t="str">
        <f t="shared" si="213"/>
        <v>Operational Growth</v>
      </c>
      <c r="P2288" s="4" t="str">
        <f t="shared" si="214"/>
        <v>Low Quality</v>
      </c>
      <c r="Q2288" s="4" t="str">
        <f t="shared" si="215"/>
        <v>Moderate Growth</v>
      </c>
    </row>
    <row r="2289" spans="1:17" x14ac:dyDescent="0.35">
      <c r="A2289" s="2" t="s">
        <v>2300</v>
      </c>
      <c r="B2289" s="2">
        <v>5</v>
      </c>
      <c r="C2289" s="2">
        <v>129342642.7</v>
      </c>
      <c r="D2289" s="2">
        <v>1</v>
      </c>
      <c r="E2289" s="2">
        <v>25347101.300000001</v>
      </c>
      <c r="F2289" s="2">
        <v>31071708.699999999</v>
      </c>
      <c r="G2289" s="2">
        <v>1</v>
      </c>
      <c r="H2289" s="2">
        <v>2</v>
      </c>
      <c r="I2289" s="2">
        <v>2</v>
      </c>
      <c r="J2289" s="2">
        <v>1.5</v>
      </c>
      <c r="K2289" s="2" t="s">
        <v>1268</v>
      </c>
      <c r="L2289" s="2" t="str">
        <f t="shared" si="210"/>
        <v>Profitable</v>
      </c>
      <c r="M2289" s="2" t="str">
        <f t="shared" si="211"/>
        <v>Stable Earnings</v>
      </c>
      <c r="N2289" s="2" t="str">
        <f t="shared" si="212"/>
        <v>Low Quality</v>
      </c>
      <c r="O2289" s="4" t="str">
        <f t="shared" si="213"/>
        <v>Operational Growth</v>
      </c>
      <c r="P2289" s="4" t="str">
        <f t="shared" si="214"/>
        <v>Low Quality</v>
      </c>
      <c r="Q2289" s="4" t="str">
        <f t="shared" si="215"/>
        <v>Moderate Growth</v>
      </c>
    </row>
    <row r="2290" spans="1:17" x14ac:dyDescent="0.35">
      <c r="A2290" s="2" t="s">
        <v>2301</v>
      </c>
      <c r="B2290" s="2">
        <v>5</v>
      </c>
      <c r="C2290" s="2">
        <v>117239659.59999999</v>
      </c>
      <c r="D2290" s="2">
        <v>1</v>
      </c>
      <c r="E2290" s="2">
        <v>29776670.32</v>
      </c>
      <c r="F2290" s="2">
        <v>37327772.399999999</v>
      </c>
      <c r="G2290" s="2">
        <v>1</v>
      </c>
      <c r="H2290" s="2">
        <v>2</v>
      </c>
      <c r="I2290" s="2">
        <v>2</v>
      </c>
      <c r="J2290" s="2">
        <v>1.5</v>
      </c>
      <c r="K2290" s="2" t="s">
        <v>1268</v>
      </c>
      <c r="L2290" s="2" t="str">
        <f t="shared" si="210"/>
        <v>Profitable</v>
      </c>
      <c r="M2290" s="2" t="str">
        <f t="shared" si="211"/>
        <v>Stable Earnings</v>
      </c>
      <c r="N2290" s="2" t="str">
        <f t="shared" si="212"/>
        <v>Low Quality</v>
      </c>
      <c r="O2290" s="4" t="str">
        <f t="shared" si="213"/>
        <v>Operational Growth</v>
      </c>
      <c r="P2290" s="4" t="str">
        <f t="shared" si="214"/>
        <v>Low Quality</v>
      </c>
      <c r="Q2290" s="4" t="str">
        <f t="shared" si="215"/>
        <v>Moderate Growth</v>
      </c>
    </row>
    <row r="2291" spans="1:17" x14ac:dyDescent="0.35">
      <c r="A2291" s="2" t="s">
        <v>2302</v>
      </c>
      <c r="B2291" s="2">
        <v>5</v>
      </c>
      <c r="C2291" s="2">
        <v>56015430.259999998</v>
      </c>
      <c r="D2291" s="2">
        <v>1</v>
      </c>
      <c r="E2291" s="2">
        <v>45224135.049999997</v>
      </c>
      <c r="F2291" s="2">
        <v>37217754.299999997</v>
      </c>
      <c r="G2291" s="2">
        <v>1</v>
      </c>
      <c r="H2291" s="2">
        <v>2</v>
      </c>
      <c r="I2291" s="2">
        <v>2</v>
      </c>
      <c r="J2291" s="2">
        <v>1.5</v>
      </c>
      <c r="K2291" s="2" t="s">
        <v>1268</v>
      </c>
      <c r="L2291" s="2" t="str">
        <f t="shared" si="210"/>
        <v>Profitable</v>
      </c>
      <c r="M2291" s="2" t="str">
        <f t="shared" si="211"/>
        <v>Stable Earnings</v>
      </c>
      <c r="N2291" s="2" t="str">
        <f t="shared" si="212"/>
        <v>Low Quality</v>
      </c>
      <c r="O2291" s="4" t="str">
        <f t="shared" si="213"/>
        <v>Operational Growth</v>
      </c>
      <c r="P2291" s="4" t="str">
        <f t="shared" si="214"/>
        <v>Low Quality</v>
      </c>
      <c r="Q2291" s="4" t="str">
        <f t="shared" si="215"/>
        <v>Moderate Growth</v>
      </c>
    </row>
    <row r="2292" spans="1:17" x14ac:dyDescent="0.35">
      <c r="A2292" s="2" t="s">
        <v>2303</v>
      </c>
      <c r="B2292" s="2">
        <v>5</v>
      </c>
      <c r="C2292" s="2">
        <v>42707929.740000002</v>
      </c>
      <c r="D2292" s="2">
        <v>1</v>
      </c>
      <c r="E2292" s="2">
        <v>15405400.970000001</v>
      </c>
      <c r="F2292" s="2">
        <v>36939552.299999997</v>
      </c>
      <c r="G2292" s="2">
        <v>1</v>
      </c>
      <c r="H2292" s="2">
        <v>2</v>
      </c>
      <c r="I2292" s="2">
        <v>2</v>
      </c>
      <c r="J2292" s="2">
        <v>1.5</v>
      </c>
      <c r="K2292" s="2" t="s">
        <v>1268</v>
      </c>
      <c r="L2292" s="2" t="str">
        <f t="shared" si="210"/>
        <v>Profitable</v>
      </c>
      <c r="M2292" s="2" t="str">
        <f t="shared" si="211"/>
        <v>Stable Earnings</v>
      </c>
      <c r="N2292" s="2" t="str">
        <f t="shared" si="212"/>
        <v>Low Quality</v>
      </c>
      <c r="O2292" s="4" t="str">
        <f t="shared" si="213"/>
        <v>Operational Growth</v>
      </c>
      <c r="P2292" s="4" t="str">
        <f t="shared" si="214"/>
        <v>Low Quality</v>
      </c>
      <c r="Q2292" s="4" t="str">
        <f t="shared" si="215"/>
        <v>Moderate Growth</v>
      </c>
    </row>
    <row r="2293" spans="1:17" x14ac:dyDescent="0.35">
      <c r="A2293" s="2" t="s">
        <v>2304</v>
      </c>
      <c r="B2293" s="2">
        <v>5</v>
      </c>
      <c r="C2293" s="2">
        <v>64524727.420000002</v>
      </c>
      <c r="D2293" s="2">
        <v>1</v>
      </c>
      <c r="E2293" s="2">
        <v>29051208.210000001</v>
      </c>
      <c r="F2293" s="2">
        <v>32491004.100000001</v>
      </c>
      <c r="G2293" s="2">
        <v>1</v>
      </c>
      <c r="H2293" s="2">
        <v>2</v>
      </c>
      <c r="I2293" s="2">
        <v>2</v>
      </c>
      <c r="J2293" s="2">
        <v>1.5</v>
      </c>
      <c r="K2293" s="2" t="s">
        <v>1268</v>
      </c>
      <c r="L2293" s="2" t="str">
        <f t="shared" si="210"/>
        <v>Profitable</v>
      </c>
      <c r="M2293" s="2" t="str">
        <f t="shared" si="211"/>
        <v>Stable Earnings</v>
      </c>
      <c r="N2293" s="2" t="str">
        <f t="shared" si="212"/>
        <v>Low Quality</v>
      </c>
      <c r="O2293" s="4" t="str">
        <f t="shared" si="213"/>
        <v>Operational Growth</v>
      </c>
      <c r="P2293" s="4" t="str">
        <f t="shared" si="214"/>
        <v>Low Quality</v>
      </c>
      <c r="Q2293" s="4" t="str">
        <f t="shared" si="215"/>
        <v>Moderate Growth</v>
      </c>
    </row>
    <row r="2294" spans="1:17" x14ac:dyDescent="0.35">
      <c r="A2294" s="2" t="s">
        <v>2305</v>
      </c>
      <c r="B2294" s="2">
        <v>5</v>
      </c>
      <c r="C2294" s="2">
        <v>72634571.040000007</v>
      </c>
      <c r="D2294" s="2">
        <v>1</v>
      </c>
      <c r="E2294" s="2">
        <v>42877866.030000001</v>
      </c>
      <c r="F2294" s="2">
        <v>85994823.700000003</v>
      </c>
      <c r="G2294" s="2">
        <v>1</v>
      </c>
      <c r="H2294" s="2">
        <v>2</v>
      </c>
      <c r="I2294" s="2">
        <v>2</v>
      </c>
      <c r="J2294" s="2">
        <v>1.5</v>
      </c>
      <c r="K2294" s="2" t="s">
        <v>1268</v>
      </c>
      <c r="L2294" s="2" t="str">
        <f t="shared" si="210"/>
        <v>Profitable</v>
      </c>
      <c r="M2294" s="2" t="str">
        <f t="shared" si="211"/>
        <v>Stable Earnings</v>
      </c>
      <c r="N2294" s="2" t="str">
        <f t="shared" si="212"/>
        <v>Low Quality</v>
      </c>
      <c r="O2294" s="4" t="str">
        <f t="shared" si="213"/>
        <v>Operational Growth</v>
      </c>
      <c r="P2294" s="4" t="str">
        <f t="shared" si="214"/>
        <v>Low Quality</v>
      </c>
      <c r="Q2294" s="4" t="str">
        <f t="shared" si="215"/>
        <v>Moderate Growth</v>
      </c>
    </row>
    <row r="2295" spans="1:17" x14ac:dyDescent="0.35">
      <c r="A2295" s="2" t="s">
        <v>2306</v>
      </c>
      <c r="B2295" s="2">
        <v>5</v>
      </c>
      <c r="C2295" s="2">
        <v>146175414.59999999</v>
      </c>
      <c r="D2295" s="2">
        <v>1</v>
      </c>
      <c r="E2295" s="2">
        <v>35503574.259999998</v>
      </c>
      <c r="F2295" s="2">
        <v>82700909.299999997</v>
      </c>
      <c r="G2295" s="2">
        <v>1</v>
      </c>
      <c r="H2295" s="2">
        <v>2</v>
      </c>
      <c r="I2295" s="2">
        <v>2</v>
      </c>
      <c r="J2295" s="2">
        <v>1.5</v>
      </c>
      <c r="K2295" s="2" t="s">
        <v>1268</v>
      </c>
      <c r="L2295" s="2" t="str">
        <f t="shared" si="210"/>
        <v>Profitable</v>
      </c>
      <c r="M2295" s="2" t="str">
        <f t="shared" si="211"/>
        <v>Stable Earnings</v>
      </c>
      <c r="N2295" s="2" t="str">
        <f t="shared" si="212"/>
        <v>Low Quality</v>
      </c>
      <c r="O2295" s="4" t="str">
        <f t="shared" si="213"/>
        <v>Operational Growth</v>
      </c>
      <c r="P2295" s="4" t="str">
        <f t="shared" si="214"/>
        <v>Low Quality</v>
      </c>
      <c r="Q2295" s="4" t="str">
        <f t="shared" si="215"/>
        <v>Moderate Growth</v>
      </c>
    </row>
    <row r="2296" spans="1:17" x14ac:dyDescent="0.35">
      <c r="A2296" s="2" t="s">
        <v>2307</v>
      </c>
      <c r="B2296" s="2">
        <v>5</v>
      </c>
      <c r="C2296" s="2">
        <v>336475251.30000001</v>
      </c>
      <c r="D2296" s="2">
        <v>1</v>
      </c>
      <c r="E2296" s="2">
        <v>39979232</v>
      </c>
      <c r="F2296" s="2">
        <v>82179274.400000006</v>
      </c>
      <c r="G2296" s="2">
        <v>1</v>
      </c>
      <c r="H2296" s="2">
        <v>2</v>
      </c>
      <c r="I2296" s="2">
        <v>2</v>
      </c>
      <c r="J2296" s="2">
        <v>1.5</v>
      </c>
      <c r="K2296" s="2" t="s">
        <v>1268</v>
      </c>
      <c r="L2296" s="2" t="str">
        <f t="shared" si="210"/>
        <v>Profitable</v>
      </c>
      <c r="M2296" s="2" t="str">
        <f t="shared" si="211"/>
        <v>Stable Earnings</v>
      </c>
      <c r="N2296" s="2" t="str">
        <f t="shared" si="212"/>
        <v>Low Quality</v>
      </c>
      <c r="O2296" s="4" t="str">
        <f t="shared" si="213"/>
        <v>Operational Growth</v>
      </c>
      <c r="P2296" s="4" t="str">
        <f t="shared" si="214"/>
        <v>Low Quality</v>
      </c>
      <c r="Q2296" s="4" t="str">
        <f t="shared" si="215"/>
        <v>Moderate Growth</v>
      </c>
    </row>
    <row r="2297" spans="1:17" x14ac:dyDescent="0.35">
      <c r="A2297" s="2" t="s">
        <v>2308</v>
      </c>
      <c r="B2297" s="2">
        <v>5</v>
      </c>
      <c r="C2297" s="2">
        <v>312998051.69999999</v>
      </c>
      <c r="D2297" s="2">
        <v>1</v>
      </c>
      <c r="E2297" s="2">
        <v>39518167.75</v>
      </c>
      <c r="F2297" s="2">
        <v>95194574.700000003</v>
      </c>
      <c r="G2297" s="2">
        <v>1</v>
      </c>
      <c r="H2297" s="2">
        <v>2</v>
      </c>
      <c r="I2297" s="2">
        <v>2</v>
      </c>
      <c r="J2297" s="2">
        <v>1.5</v>
      </c>
      <c r="K2297" s="2" t="s">
        <v>1268</v>
      </c>
      <c r="L2297" s="2" t="str">
        <f t="shared" si="210"/>
        <v>Profitable</v>
      </c>
      <c r="M2297" s="2" t="str">
        <f t="shared" si="211"/>
        <v>Stable Earnings</v>
      </c>
      <c r="N2297" s="2" t="str">
        <f t="shared" si="212"/>
        <v>Low Quality</v>
      </c>
      <c r="O2297" s="4" t="str">
        <f t="shared" si="213"/>
        <v>Operational Growth</v>
      </c>
      <c r="P2297" s="4" t="str">
        <f t="shared" si="214"/>
        <v>Low Quality</v>
      </c>
      <c r="Q2297" s="4" t="str">
        <f t="shared" si="215"/>
        <v>Moderate Growth</v>
      </c>
    </row>
    <row r="2298" spans="1:17" x14ac:dyDescent="0.35">
      <c r="A2298" s="2" t="s">
        <v>2309</v>
      </c>
      <c r="B2298" s="2">
        <v>5</v>
      </c>
      <c r="C2298" s="2">
        <v>145224717.09999999</v>
      </c>
      <c r="D2298" s="2">
        <v>1</v>
      </c>
      <c r="E2298" s="2">
        <v>44791375.079999998</v>
      </c>
      <c r="F2298" s="2">
        <v>91064513.599999994</v>
      </c>
      <c r="G2298" s="2">
        <v>1</v>
      </c>
      <c r="H2298" s="2">
        <v>2</v>
      </c>
      <c r="I2298" s="2">
        <v>2</v>
      </c>
      <c r="J2298" s="2">
        <v>1.5</v>
      </c>
      <c r="K2298" s="2" t="s">
        <v>1268</v>
      </c>
      <c r="L2298" s="2" t="str">
        <f t="shared" si="210"/>
        <v>Profitable</v>
      </c>
      <c r="M2298" s="2" t="str">
        <f t="shared" si="211"/>
        <v>Stable Earnings</v>
      </c>
      <c r="N2298" s="2" t="str">
        <f t="shared" si="212"/>
        <v>Low Quality</v>
      </c>
      <c r="O2298" s="4" t="str">
        <f t="shared" si="213"/>
        <v>Operational Growth</v>
      </c>
      <c r="P2298" s="4" t="str">
        <f t="shared" si="214"/>
        <v>Low Quality</v>
      </c>
      <c r="Q2298" s="4" t="str">
        <f t="shared" si="215"/>
        <v>Moderate Growth</v>
      </c>
    </row>
    <row r="2299" spans="1:17" x14ac:dyDescent="0.35">
      <c r="A2299" s="2" t="s">
        <v>2310</v>
      </c>
      <c r="B2299" s="2">
        <v>5</v>
      </c>
      <c r="C2299" s="2">
        <v>59403872.939999998</v>
      </c>
      <c r="D2299" s="2">
        <v>1</v>
      </c>
      <c r="E2299" s="2">
        <v>41682571.619999997</v>
      </c>
      <c r="F2299" s="2">
        <v>74779176</v>
      </c>
      <c r="G2299" s="2">
        <v>1</v>
      </c>
      <c r="H2299" s="2">
        <v>2</v>
      </c>
      <c r="I2299" s="2">
        <v>2</v>
      </c>
      <c r="J2299" s="2">
        <v>1.5</v>
      </c>
      <c r="K2299" s="2" t="s">
        <v>1268</v>
      </c>
      <c r="L2299" s="2" t="str">
        <f t="shared" si="210"/>
        <v>Profitable</v>
      </c>
      <c r="M2299" s="2" t="str">
        <f t="shared" si="211"/>
        <v>Stable Earnings</v>
      </c>
      <c r="N2299" s="2" t="str">
        <f t="shared" si="212"/>
        <v>Low Quality</v>
      </c>
      <c r="O2299" s="4" t="str">
        <f t="shared" si="213"/>
        <v>Operational Growth</v>
      </c>
      <c r="P2299" s="4" t="str">
        <f t="shared" si="214"/>
        <v>Low Quality</v>
      </c>
      <c r="Q2299" s="4" t="str">
        <f t="shared" si="215"/>
        <v>Moderate Growth</v>
      </c>
    </row>
    <row r="2300" spans="1:17" x14ac:dyDescent="0.35">
      <c r="A2300" s="2" t="s">
        <v>2311</v>
      </c>
      <c r="B2300" s="2">
        <v>5</v>
      </c>
      <c r="C2300" s="2">
        <v>230773212.40000001</v>
      </c>
      <c r="D2300" s="2">
        <v>1</v>
      </c>
      <c r="E2300" s="2">
        <v>29314908.039999999</v>
      </c>
      <c r="F2300" s="2">
        <v>72638078.5</v>
      </c>
      <c r="G2300" s="2">
        <v>1</v>
      </c>
      <c r="H2300" s="2">
        <v>2</v>
      </c>
      <c r="I2300" s="2">
        <v>2</v>
      </c>
      <c r="J2300" s="2">
        <v>1.5</v>
      </c>
      <c r="K2300" s="2" t="s">
        <v>1268</v>
      </c>
      <c r="L2300" s="2" t="str">
        <f t="shared" si="210"/>
        <v>Profitable</v>
      </c>
      <c r="M2300" s="2" t="str">
        <f t="shared" si="211"/>
        <v>Stable Earnings</v>
      </c>
      <c r="N2300" s="2" t="str">
        <f t="shared" si="212"/>
        <v>Low Quality</v>
      </c>
      <c r="O2300" s="4" t="str">
        <f t="shared" si="213"/>
        <v>Operational Growth</v>
      </c>
      <c r="P2300" s="4" t="str">
        <f t="shared" si="214"/>
        <v>Low Quality</v>
      </c>
      <c r="Q2300" s="4" t="str">
        <f t="shared" si="215"/>
        <v>Moderate Growth</v>
      </c>
    </row>
    <row r="2301" spans="1:17" x14ac:dyDescent="0.35">
      <c r="A2301" s="2" t="s">
        <v>2312</v>
      </c>
      <c r="B2301" s="2">
        <v>5</v>
      </c>
      <c r="C2301" s="2">
        <v>151695224.30000001</v>
      </c>
      <c r="D2301" s="2">
        <v>1</v>
      </c>
      <c r="E2301" s="2">
        <v>38419298.909999996</v>
      </c>
      <c r="F2301" s="2">
        <v>77870456.799999997</v>
      </c>
      <c r="G2301" s="2">
        <v>1</v>
      </c>
      <c r="H2301" s="2">
        <v>2</v>
      </c>
      <c r="I2301" s="2">
        <v>2</v>
      </c>
      <c r="J2301" s="2">
        <v>1.5</v>
      </c>
      <c r="K2301" s="2" t="s">
        <v>1268</v>
      </c>
      <c r="L2301" s="2" t="str">
        <f t="shared" si="210"/>
        <v>Profitable</v>
      </c>
      <c r="M2301" s="2" t="str">
        <f t="shared" si="211"/>
        <v>Stable Earnings</v>
      </c>
      <c r="N2301" s="2" t="str">
        <f t="shared" si="212"/>
        <v>Low Quality</v>
      </c>
      <c r="O2301" s="4" t="str">
        <f t="shared" si="213"/>
        <v>Operational Growth</v>
      </c>
      <c r="P2301" s="4" t="str">
        <f t="shared" si="214"/>
        <v>Low Quality</v>
      </c>
      <c r="Q2301" s="4" t="str">
        <f t="shared" si="215"/>
        <v>Moderate Growth</v>
      </c>
    </row>
    <row r="2302" spans="1:17" x14ac:dyDescent="0.35">
      <c r="A2302" s="2" t="s">
        <v>2313</v>
      </c>
      <c r="B2302" s="2">
        <v>5</v>
      </c>
      <c r="C2302" s="2">
        <v>42331104.640000001</v>
      </c>
      <c r="D2302" s="2">
        <v>1</v>
      </c>
      <c r="E2302" s="2">
        <v>38553185.609999999</v>
      </c>
      <c r="F2302" s="2">
        <v>78804251.799999997</v>
      </c>
      <c r="G2302" s="2">
        <v>1</v>
      </c>
      <c r="H2302" s="2">
        <v>2</v>
      </c>
      <c r="I2302" s="2">
        <v>2</v>
      </c>
      <c r="J2302" s="2">
        <v>1.5</v>
      </c>
      <c r="K2302" s="2" t="s">
        <v>1268</v>
      </c>
      <c r="L2302" s="2" t="str">
        <f t="shared" si="210"/>
        <v>Profitable</v>
      </c>
      <c r="M2302" s="2" t="str">
        <f t="shared" si="211"/>
        <v>Stable Earnings</v>
      </c>
      <c r="N2302" s="2" t="str">
        <f t="shared" si="212"/>
        <v>Low Quality</v>
      </c>
      <c r="O2302" s="4" t="str">
        <f t="shared" si="213"/>
        <v>Operational Growth</v>
      </c>
      <c r="P2302" s="4" t="str">
        <f t="shared" si="214"/>
        <v>Low Quality</v>
      </c>
      <c r="Q2302" s="4" t="str">
        <f t="shared" si="215"/>
        <v>Moderate Growth</v>
      </c>
    </row>
    <row r="2303" spans="1:17" x14ac:dyDescent="0.35">
      <c r="A2303" s="2" t="s">
        <v>2314</v>
      </c>
      <c r="B2303" s="2">
        <v>5</v>
      </c>
      <c r="C2303" s="2">
        <v>108929297.3</v>
      </c>
      <c r="D2303" s="2">
        <v>1</v>
      </c>
      <c r="E2303" s="2">
        <v>37703803.130000003</v>
      </c>
      <c r="F2303" s="2">
        <v>80168405.400000006</v>
      </c>
      <c r="G2303" s="2">
        <v>1</v>
      </c>
      <c r="H2303" s="2">
        <v>2</v>
      </c>
      <c r="I2303" s="2">
        <v>2</v>
      </c>
      <c r="J2303" s="2">
        <v>1.5</v>
      </c>
      <c r="K2303" s="2" t="s">
        <v>1268</v>
      </c>
      <c r="L2303" s="2" t="str">
        <f t="shared" si="210"/>
        <v>Profitable</v>
      </c>
      <c r="M2303" s="2" t="str">
        <f t="shared" si="211"/>
        <v>Stable Earnings</v>
      </c>
      <c r="N2303" s="2" t="str">
        <f t="shared" si="212"/>
        <v>Low Quality</v>
      </c>
      <c r="O2303" s="4" t="str">
        <f t="shared" si="213"/>
        <v>Operational Growth</v>
      </c>
      <c r="P2303" s="4" t="str">
        <f t="shared" si="214"/>
        <v>Low Quality</v>
      </c>
      <c r="Q2303" s="4" t="str">
        <f t="shared" si="215"/>
        <v>Moderate Growth</v>
      </c>
    </row>
    <row r="2304" spans="1:17" x14ac:dyDescent="0.35">
      <c r="A2304" s="2" t="s">
        <v>2315</v>
      </c>
      <c r="B2304" s="2">
        <v>5</v>
      </c>
      <c r="C2304" s="2">
        <v>64247712.82</v>
      </c>
      <c r="D2304" s="2">
        <v>1</v>
      </c>
      <c r="E2304" s="2">
        <v>41200955.210000001</v>
      </c>
      <c r="F2304" s="2">
        <v>101407325.7</v>
      </c>
      <c r="G2304" s="2">
        <v>1</v>
      </c>
      <c r="H2304" s="2">
        <v>2</v>
      </c>
      <c r="I2304" s="2">
        <v>2</v>
      </c>
      <c r="J2304" s="2">
        <v>1.5</v>
      </c>
      <c r="K2304" s="2" t="s">
        <v>1268</v>
      </c>
      <c r="L2304" s="2" t="str">
        <f t="shared" si="210"/>
        <v>Profitable</v>
      </c>
      <c r="M2304" s="2" t="str">
        <f t="shared" si="211"/>
        <v>Stable Earnings</v>
      </c>
      <c r="N2304" s="2" t="str">
        <f t="shared" si="212"/>
        <v>Low Quality</v>
      </c>
      <c r="O2304" s="4" t="str">
        <f t="shared" si="213"/>
        <v>Operational Growth</v>
      </c>
      <c r="P2304" s="4" t="str">
        <f t="shared" si="214"/>
        <v>Low Quality</v>
      </c>
      <c r="Q2304" s="4" t="str">
        <f t="shared" si="215"/>
        <v>Moderate Growth</v>
      </c>
    </row>
    <row r="2305" spans="1:17" x14ac:dyDescent="0.35">
      <c r="A2305" s="2" t="s">
        <v>2316</v>
      </c>
      <c r="B2305" s="2">
        <v>5</v>
      </c>
      <c r="C2305" s="2">
        <v>399270120.10000002</v>
      </c>
      <c r="D2305" s="2">
        <v>1</v>
      </c>
      <c r="E2305" s="2">
        <v>41472366.82</v>
      </c>
      <c r="F2305" s="2">
        <v>99943859.700000003</v>
      </c>
      <c r="G2305" s="2">
        <v>1</v>
      </c>
      <c r="H2305" s="2">
        <v>2</v>
      </c>
      <c r="I2305" s="2">
        <v>2</v>
      </c>
      <c r="J2305" s="2">
        <v>1.5</v>
      </c>
      <c r="K2305" s="2" t="s">
        <v>1268</v>
      </c>
      <c r="L2305" s="2" t="str">
        <f t="shared" si="210"/>
        <v>Profitable</v>
      </c>
      <c r="M2305" s="2" t="str">
        <f t="shared" si="211"/>
        <v>Stable Earnings</v>
      </c>
      <c r="N2305" s="2" t="str">
        <f t="shared" si="212"/>
        <v>Low Quality</v>
      </c>
      <c r="O2305" s="4" t="str">
        <f t="shared" si="213"/>
        <v>Operational Growth</v>
      </c>
      <c r="P2305" s="4" t="str">
        <f t="shared" si="214"/>
        <v>Low Quality</v>
      </c>
      <c r="Q2305" s="4" t="str">
        <f t="shared" si="215"/>
        <v>Moderate Growth</v>
      </c>
    </row>
    <row r="2306" spans="1:17" x14ac:dyDescent="0.35">
      <c r="A2306" s="2" t="s">
        <v>2317</v>
      </c>
      <c r="B2306" s="2">
        <v>5</v>
      </c>
      <c r="C2306" s="2">
        <v>276471026</v>
      </c>
      <c r="D2306" s="2">
        <v>1</v>
      </c>
      <c r="E2306" s="2">
        <v>39245762.509999998</v>
      </c>
      <c r="F2306" s="2">
        <v>54618823.299999997</v>
      </c>
      <c r="G2306" s="2">
        <v>1</v>
      </c>
      <c r="H2306" s="2">
        <v>2</v>
      </c>
      <c r="I2306" s="2">
        <v>2</v>
      </c>
      <c r="J2306" s="2">
        <v>1.5</v>
      </c>
      <c r="K2306" s="2" t="s">
        <v>1268</v>
      </c>
      <c r="L2306" s="2" t="str">
        <f t="shared" ref="L2306:L2369" si="216">IF(C2306&gt;0,"Profitable","Loss Making")</f>
        <v>Profitable</v>
      </c>
      <c r="M2306" s="2" t="str">
        <f t="shared" ref="M2306:M2369" si="217">IF(C2306&gt;500000000,"High Volatility","Stable Earnings")</f>
        <v>Stable Earnings</v>
      </c>
      <c r="N2306" s="2" t="str">
        <f t="shared" ref="N2306:N2369" si="218">IF(G2306&gt;=7,"High Quality",IF(G2306&gt;=4,"Moderate","Low Quality"))</f>
        <v>Low Quality</v>
      </c>
      <c r="O2306" s="4" t="str">
        <f t="shared" ref="O2306:O2369" si="219">IF(AND(F2306&gt;0,D2306&gt;0.6),"Operational Growth","Accounting Risk")</f>
        <v>Operational Growth</v>
      </c>
      <c r="P2306" s="4" t="str">
        <f t="shared" ref="P2306:P2369" si="220">IF(G2306&gt;=7,"High Quality", IF(G2306&gt;=4,"Moderate","Low Quality"))</f>
        <v>Low Quality</v>
      </c>
      <c r="Q2306" s="4" t="str">
        <f t="shared" ref="Q2306:Q2369" si="221">IF(I2306&gt;=4,"Strong Long-Term Growth",IF(I2306&gt;=2,"Moderate Growth","Weak Growth"))</f>
        <v>Moderate Growth</v>
      </c>
    </row>
    <row r="2307" spans="1:17" x14ac:dyDescent="0.35">
      <c r="A2307" s="2" t="s">
        <v>2318</v>
      </c>
      <c r="B2307" s="2">
        <v>5</v>
      </c>
      <c r="C2307" s="2">
        <v>176320206.5</v>
      </c>
      <c r="D2307" s="2">
        <v>1</v>
      </c>
      <c r="E2307" s="2">
        <v>26883699.050000001</v>
      </c>
      <c r="F2307" s="2">
        <v>53548713.399999999</v>
      </c>
      <c r="G2307" s="2">
        <v>1</v>
      </c>
      <c r="H2307" s="2">
        <v>2</v>
      </c>
      <c r="I2307" s="2">
        <v>2</v>
      </c>
      <c r="J2307" s="2">
        <v>1.5</v>
      </c>
      <c r="K2307" s="2" t="s">
        <v>1268</v>
      </c>
      <c r="L2307" s="2" t="str">
        <f t="shared" si="216"/>
        <v>Profitable</v>
      </c>
      <c r="M2307" s="2" t="str">
        <f t="shared" si="217"/>
        <v>Stable Earnings</v>
      </c>
      <c r="N2307" s="2" t="str">
        <f t="shared" si="218"/>
        <v>Low Quality</v>
      </c>
      <c r="O2307" s="4" t="str">
        <f t="shared" si="219"/>
        <v>Operational Growth</v>
      </c>
      <c r="P2307" s="4" t="str">
        <f t="shared" si="220"/>
        <v>Low Quality</v>
      </c>
      <c r="Q2307" s="4" t="str">
        <f t="shared" si="221"/>
        <v>Moderate Growth</v>
      </c>
    </row>
    <row r="2308" spans="1:17" x14ac:dyDescent="0.35">
      <c r="A2308" s="2" t="s">
        <v>2319</v>
      </c>
      <c r="B2308" s="2">
        <v>5</v>
      </c>
      <c r="C2308" s="2">
        <v>59164966.640000001</v>
      </c>
      <c r="D2308" s="2">
        <v>1</v>
      </c>
      <c r="E2308" s="2">
        <v>21785937.440000001</v>
      </c>
      <c r="F2308" s="2">
        <v>53479648.600000001</v>
      </c>
      <c r="G2308" s="2">
        <v>1</v>
      </c>
      <c r="H2308" s="2">
        <v>2</v>
      </c>
      <c r="I2308" s="2">
        <v>2</v>
      </c>
      <c r="J2308" s="2">
        <v>1.5</v>
      </c>
      <c r="K2308" s="2" t="s">
        <v>1268</v>
      </c>
      <c r="L2308" s="2" t="str">
        <f t="shared" si="216"/>
        <v>Profitable</v>
      </c>
      <c r="M2308" s="2" t="str">
        <f t="shared" si="217"/>
        <v>Stable Earnings</v>
      </c>
      <c r="N2308" s="2" t="str">
        <f t="shared" si="218"/>
        <v>Low Quality</v>
      </c>
      <c r="O2308" s="4" t="str">
        <f t="shared" si="219"/>
        <v>Operational Growth</v>
      </c>
      <c r="P2308" s="4" t="str">
        <f t="shared" si="220"/>
        <v>Low Quality</v>
      </c>
      <c r="Q2308" s="4" t="str">
        <f t="shared" si="221"/>
        <v>Moderate Growth</v>
      </c>
    </row>
    <row r="2309" spans="1:17" x14ac:dyDescent="0.35">
      <c r="A2309" s="2" t="s">
        <v>2320</v>
      </c>
      <c r="B2309" s="2">
        <v>5</v>
      </c>
      <c r="C2309" s="2">
        <v>471434272.89999998</v>
      </c>
      <c r="D2309" s="2">
        <v>1</v>
      </c>
      <c r="E2309" s="2">
        <v>38010143.57</v>
      </c>
      <c r="F2309" s="2">
        <v>52218827.299999997</v>
      </c>
      <c r="G2309" s="2">
        <v>1</v>
      </c>
      <c r="H2309" s="2">
        <v>2</v>
      </c>
      <c r="I2309" s="2">
        <v>2</v>
      </c>
      <c r="J2309" s="2">
        <v>1.5</v>
      </c>
      <c r="K2309" s="2" t="s">
        <v>1268</v>
      </c>
      <c r="L2309" s="2" t="str">
        <f t="shared" si="216"/>
        <v>Profitable</v>
      </c>
      <c r="M2309" s="2" t="str">
        <f t="shared" si="217"/>
        <v>Stable Earnings</v>
      </c>
      <c r="N2309" s="2" t="str">
        <f t="shared" si="218"/>
        <v>Low Quality</v>
      </c>
      <c r="O2309" s="4" t="str">
        <f t="shared" si="219"/>
        <v>Operational Growth</v>
      </c>
      <c r="P2309" s="4" t="str">
        <f t="shared" si="220"/>
        <v>Low Quality</v>
      </c>
      <c r="Q2309" s="4" t="str">
        <f t="shared" si="221"/>
        <v>Moderate Growth</v>
      </c>
    </row>
    <row r="2310" spans="1:17" x14ac:dyDescent="0.35">
      <c r="A2310" s="2" t="s">
        <v>2321</v>
      </c>
      <c r="B2310" s="2">
        <v>5</v>
      </c>
      <c r="C2310" s="2">
        <v>38713616.340000004</v>
      </c>
      <c r="D2310" s="2">
        <v>1</v>
      </c>
      <c r="E2310" s="2">
        <v>24443878.859999999</v>
      </c>
      <c r="F2310" s="2">
        <v>59421088.200000003</v>
      </c>
      <c r="G2310" s="2">
        <v>1</v>
      </c>
      <c r="H2310" s="2">
        <v>2</v>
      </c>
      <c r="I2310" s="2">
        <v>2</v>
      </c>
      <c r="J2310" s="2">
        <v>1.5</v>
      </c>
      <c r="K2310" s="2" t="s">
        <v>1268</v>
      </c>
      <c r="L2310" s="2" t="str">
        <f t="shared" si="216"/>
        <v>Profitable</v>
      </c>
      <c r="M2310" s="2" t="str">
        <f t="shared" si="217"/>
        <v>Stable Earnings</v>
      </c>
      <c r="N2310" s="2" t="str">
        <f t="shared" si="218"/>
        <v>Low Quality</v>
      </c>
      <c r="O2310" s="4" t="str">
        <f t="shared" si="219"/>
        <v>Operational Growth</v>
      </c>
      <c r="P2310" s="4" t="str">
        <f t="shared" si="220"/>
        <v>Low Quality</v>
      </c>
      <c r="Q2310" s="4" t="str">
        <f t="shared" si="221"/>
        <v>Moderate Growth</v>
      </c>
    </row>
    <row r="2311" spans="1:17" x14ac:dyDescent="0.35">
      <c r="A2311" s="2" t="s">
        <v>2322</v>
      </c>
      <c r="B2311" s="2">
        <v>5</v>
      </c>
      <c r="C2311" s="2">
        <v>264306526.80000001</v>
      </c>
      <c r="D2311" s="2">
        <v>1</v>
      </c>
      <c r="E2311" s="2">
        <v>35093303.07</v>
      </c>
      <c r="F2311" s="2">
        <v>56340728.600000001</v>
      </c>
      <c r="G2311" s="2">
        <v>1</v>
      </c>
      <c r="H2311" s="2">
        <v>2</v>
      </c>
      <c r="I2311" s="2">
        <v>2</v>
      </c>
      <c r="J2311" s="2">
        <v>1.5</v>
      </c>
      <c r="K2311" s="2" t="s">
        <v>1268</v>
      </c>
      <c r="L2311" s="2" t="str">
        <f t="shared" si="216"/>
        <v>Profitable</v>
      </c>
      <c r="M2311" s="2" t="str">
        <f t="shared" si="217"/>
        <v>Stable Earnings</v>
      </c>
      <c r="N2311" s="2" t="str">
        <f t="shared" si="218"/>
        <v>Low Quality</v>
      </c>
      <c r="O2311" s="4" t="str">
        <f t="shared" si="219"/>
        <v>Operational Growth</v>
      </c>
      <c r="P2311" s="4" t="str">
        <f t="shared" si="220"/>
        <v>Low Quality</v>
      </c>
      <c r="Q2311" s="4" t="str">
        <f t="shared" si="221"/>
        <v>Moderate Growth</v>
      </c>
    </row>
    <row r="2312" spans="1:17" x14ac:dyDescent="0.35">
      <c r="A2312" s="2" t="s">
        <v>2323</v>
      </c>
      <c r="B2312" s="2">
        <v>5</v>
      </c>
      <c r="C2312" s="2">
        <v>190217099.69999999</v>
      </c>
      <c r="D2312" s="2">
        <v>1</v>
      </c>
      <c r="E2312" s="2">
        <v>36133037.200000003</v>
      </c>
      <c r="F2312" s="2">
        <v>71337348.900000006</v>
      </c>
      <c r="G2312" s="2">
        <v>1</v>
      </c>
      <c r="H2312" s="2">
        <v>2</v>
      </c>
      <c r="I2312" s="2">
        <v>2</v>
      </c>
      <c r="J2312" s="2">
        <v>1.5</v>
      </c>
      <c r="K2312" s="2" t="s">
        <v>1268</v>
      </c>
      <c r="L2312" s="2" t="str">
        <f t="shared" si="216"/>
        <v>Profitable</v>
      </c>
      <c r="M2312" s="2" t="str">
        <f t="shared" si="217"/>
        <v>Stable Earnings</v>
      </c>
      <c r="N2312" s="2" t="str">
        <f t="shared" si="218"/>
        <v>Low Quality</v>
      </c>
      <c r="O2312" s="4" t="str">
        <f t="shared" si="219"/>
        <v>Operational Growth</v>
      </c>
      <c r="P2312" s="4" t="str">
        <f t="shared" si="220"/>
        <v>Low Quality</v>
      </c>
      <c r="Q2312" s="4" t="str">
        <f t="shared" si="221"/>
        <v>Moderate Growth</v>
      </c>
    </row>
    <row r="2313" spans="1:17" x14ac:dyDescent="0.35">
      <c r="A2313" s="2" t="s">
        <v>2324</v>
      </c>
      <c r="B2313" s="2">
        <v>5</v>
      </c>
      <c r="C2313" s="2">
        <v>86910955.359999999</v>
      </c>
      <c r="D2313" s="2">
        <v>1</v>
      </c>
      <c r="E2313" s="2">
        <v>31050029.699999999</v>
      </c>
      <c r="F2313" s="2">
        <v>70942610.299999997</v>
      </c>
      <c r="G2313" s="2">
        <v>1</v>
      </c>
      <c r="H2313" s="2">
        <v>2</v>
      </c>
      <c r="I2313" s="2">
        <v>2</v>
      </c>
      <c r="J2313" s="2">
        <v>1.5</v>
      </c>
      <c r="K2313" s="2" t="s">
        <v>1268</v>
      </c>
      <c r="L2313" s="2" t="str">
        <f t="shared" si="216"/>
        <v>Profitable</v>
      </c>
      <c r="M2313" s="2" t="str">
        <f t="shared" si="217"/>
        <v>Stable Earnings</v>
      </c>
      <c r="N2313" s="2" t="str">
        <f t="shared" si="218"/>
        <v>Low Quality</v>
      </c>
      <c r="O2313" s="4" t="str">
        <f t="shared" si="219"/>
        <v>Operational Growth</v>
      </c>
      <c r="P2313" s="4" t="str">
        <f t="shared" si="220"/>
        <v>Low Quality</v>
      </c>
      <c r="Q2313" s="4" t="str">
        <f t="shared" si="221"/>
        <v>Moderate Growth</v>
      </c>
    </row>
    <row r="2314" spans="1:17" x14ac:dyDescent="0.35">
      <c r="A2314" s="2" t="s">
        <v>2325</v>
      </c>
      <c r="B2314" s="2">
        <v>5</v>
      </c>
      <c r="C2314" s="2">
        <v>45268565.859999999</v>
      </c>
      <c r="D2314" s="2">
        <v>1</v>
      </c>
      <c r="E2314" s="2">
        <v>28420039.300000001</v>
      </c>
      <c r="F2314" s="2">
        <v>71955331.299999997</v>
      </c>
      <c r="G2314" s="2">
        <v>1</v>
      </c>
      <c r="H2314" s="2">
        <v>2</v>
      </c>
      <c r="I2314" s="2">
        <v>2</v>
      </c>
      <c r="J2314" s="2">
        <v>1.5</v>
      </c>
      <c r="K2314" s="2" t="s">
        <v>1268</v>
      </c>
      <c r="L2314" s="2" t="str">
        <f t="shared" si="216"/>
        <v>Profitable</v>
      </c>
      <c r="M2314" s="2" t="str">
        <f t="shared" si="217"/>
        <v>Stable Earnings</v>
      </c>
      <c r="N2314" s="2" t="str">
        <f t="shared" si="218"/>
        <v>Low Quality</v>
      </c>
      <c r="O2314" s="4" t="str">
        <f t="shared" si="219"/>
        <v>Operational Growth</v>
      </c>
      <c r="P2314" s="4" t="str">
        <f t="shared" si="220"/>
        <v>Low Quality</v>
      </c>
      <c r="Q2314" s="4" t="str">
        <f t="shared" si="221"/>
        <v>Moderate Growth</v>
      </c>
    </row>
    <row r="2315" spans="1:17" x14ac:dyDescent="0.35">
      <c r="A2315" s="2" t="s">
        <v>2326</v>
      </c>
      <c r="B2315" s="2">
        <v>5</v>
      </c>
      <c r="C2315" s="2">
        <v>97977191.340000004</v>
      </c>
      <c r="D2315" s="2">
        <v>1</v>
      </c>
      <c r="E2315" s="2">
        <v>42407162.880000003</v>
      </c>
      <c r="F2315" s="2">
        <v>69954954.599999994</v>
      </c>
      <c r="G2315" s="2">
        <v>1</v>
      </c>
      <c r="H2315" s="2">
        <v>2</v>
      </c>
      <c r="I2315" s="2">
        <v>2</v>
      </c>
      <c r="J2315" s="2">
        <v>1.5</v>
      </c>
      <c r="K2315" s="2" t="s">
        <v>1268</v>
      </c>
      <c r="L2315" s="2" t="str">
        <f t="shared" si="216"/>
        <v>Profitable</v>
      </c>
      <c r="M2315" s="2" t="str">
        <f t="shared" si="217"/>
        <v>Stable Earnings</v>
      </c>
      <c r="N2315" s="2" t="str">
        <f t="shared" si="218"/>
        <v>Low Quality</v>
      </c>
      <c r="O2315" s="4" t="str">
        <f t="shared" si="219"/>
        <v>Operational Growth</v>
      </c>
      <c r="P2315" s="4" t="str">
        <f t="shared" si="220"/>
        <v>Low Quality</v>
      </c>
      <c r="Q2315" s="4" t="str">
        <f t="shared" si="221"/>
        <v>Moderate Growth</v>
      </c>
    </row>
    <row r="2316" spans="1:17" x14ac:dyDescent="0.35">
      <c r="A2316" s="2" t="s">
        <v>2327</v>
      </c>
      <c r="B2316" s="2">
        <v>5</v>
      </c>
      <c r="C2316" s="2">
        <v>65435232.18</v>
      </c>
      <c r="D2316" s="2">
        <v>1</v>
      </c>
      <c r="E2316" s="2">
        <v>31852801.57</v>
      </c>
      <c r="F2316" s="2">
        <v>61005280.100000001</v>
      </c>
      <c r="G2316" s="2">
        <v>1</v>
      </c>
      <c r="H2316" s="2">
        <v>2</v>
      </c>
      <c r="I2316" s="2">
        <v>2</v>
      </c>
      <c r="J2316" s="2">
        <v>1.5</v>
      </c>
      <c r="K2316" s="2" t="s">
        <v>1268</v>
      </c>
      <c r="L2316" s="2" t="str">
        <f t="shared" si="216"/>
        <v>Profitable</v>
      </c>
      <c r="M2316" s="2" t="str">
        <f t="shared" si="217"/>
        <v>Stable Earnings</v>
      </c>
      <c r="N2316" s="2" t="str">
        <f t="shared" si="218"/>
        <v>Low Quality</v>
      </c>
      <c r="O2316" s="4" t="str">
        <f t="shared" si="219"/>
        <v>Operational Growth</v>
      </c>
      <c r="P2316" s="4" t="str">
        <f t="shared" si="220"/>
        <v>Low Quality</v>
      </c>
      <c r="Q2316" s="4" t="str">
        <f t="shared" si="221"/>
        <v>Moderate Growth</v>
      </c>
    </row>
    <row r="2317" spans="1:17" x14ac:dyDescent="0.35">
      <c r="A2317" s="2" t="s">
        <v>2328</v>
      </c>
      <c r="B2317" s="2">
        <v>5</v>
      </c>
      <c r="C2317" s="2">
        <v>84618395.359999999</v>
      </c>
      <c r="D2317" s="2">
        <v>1</v>
      </c>
      <c r="E2317" s="2">
        <v>33417622.550000001</v>
      </c>
      <c r="F2317" s="2">
        <v>61397762.200000003</v>
      </c>
      <c r="G2317" s="2">
        <v>1</v>
      </c>
      <c r="H2317" s="2">
        <v>2</v>
      </c>
      <c r="I2317" s="2">
        <v>2</v>
      </c>
      <c r="J2317" s="2">
        <v>1.5</v>
      </c>
      <c r="K2317" s="2" t="s">
        <v>1268</v>
      </c>
      <c r="L2317" s="2" t="str">
        <f t="shared" si="216"/>
        <v>Profitable</v>
      </c>
      <c r="M2317" s="2" t="str">
        <f t="shared" si="217"/>
        <v>Stable Earnings</v>
      </c>
      <c r="N2317" s="2" t="str">
        <f t="shared" si="218"/>
        <v>Low Quality</v>
      </c>
      <c r="O2317" s="4" t="str">
        <f t="shared" si="219"/>
        <v>Operational Growth</v>
      </c>
      <c r="P2317" s="4" t="str">
        <f t="shared" si="220"/>
        <v>Low Quality</v>
      </c>
      <c r="Q2317" s="4" t="str">
        <f t="shared" si="221"/>
        <v>Moderate Growth</v>
      </c>
    </row>
    <row r="2318" spans="1:17" x14ac:dyDescent="0.35">
      <c r="A2318" s="2" t="s">
        <v>2329</v>
      </c>
      <c r="B2318" s="2">
        <v>5</v>
      </c>
      <c r="C2318" s="2">
        <v>78399287.599999994</v>
      </c>
      <c r="D2318" s="2">
        <v>1</v>
      </c>
      <c r="E2318" s="2">
        <v>44868156.439999998</v>
      </c>
      <c r="F2318" s="2">
        <v>65071186.100000001</v>
      </c>
      <c r="G2318" s="2">
        <v>1</v>
      </c>
      <c r="H2318" s="2">
        <v>2</v>
      </c>
      <c r="I2318" s="2">
        <v>2</v>
      </c>
      <c r="J2318" s="2">
        <v>1.5</v>
      </c>
      <c r="K2318" s="2" t="s">
        <v>1268</v>
      </c>
      <c r="L2318" s="2" t="str">
        <f t="shared" si="216"/>
        <v>Profitable</v>
      </c>
      <c r="M2318" s="2" t="str">
        <f t="shared" si="217"/>
        <v>Stable Earnings</v>
      </c>
      <c r="N2318" s="2" t="str">
        <f t="shared" si="218"/>
        <v>Low Quality</v>
      </c>
      <c r="O2318" s="4" t="str">
        <f t="shared" si="219"/>
        <v>Operational Growth</v>
      </c>
      <c r="P2318" s="4" t="str">
        <f t="shared" si="220"/>
        <v>Low Quality</v>
      </c>
      <c r="Q2318" s="4" t="str">
        <f t="shared" si="221"/>
        <v>Moderate Growth</v>
      </c>
    </row>
    <row r="2319" spans="1:17" x14ac:dyDescent="0.35">
      <c r="A2319" s="2" t="s">
        <v>2330</v>
      </c>
      <c r="B2319" s="2">
        <v>5</v>
      </c>
      <c r="C2319" s="2">
        <v>115006286.8</v>
      </c>
      <c r="D2319" s="2">
        <v>1</v>
      </c>
      <c r="E2319" s="2">
        <v>19620090.84</v>
      </c>
      <c r="F2319" s="2">
        <v>48321916.5</v>
      </c>
      <c r="G2319" s="2">
        <v>1</v>
      </c>
      <c r="H2319" s="2">
        <v>2</v>
      </c>
      <c r="I2319" s="2">
        <v>2</v>
      </c>
      <c r="J2319" s="2">
        <v>1.5</v>
      </c>
      <c r="K2319" s="2" t="s">
        <v>1268</v>
      </c>
      <c r="L2319" s="2" t="str">
        <f t="shared" si="216"/>
        <v>Profitable</v>
      </c>
      <c r="M2319" s="2" t="str">
        <f t="shared" si="217"/>
        <v>Stable Earnings</v>
      </c>
      <c r="N2319" s="2" t="str">
        <f t="shared" si="218"/>
        <v>Low Quality</v>
      </c>
      <c r="O2319" s="4" t="str">
        <f t="shared" si="219"/>
        <v>Operational Growth</v>
      </c>
      <c r="P2319" s="4" t="str">
        <f t="shared" si="220"/>
        <v>Low Quality</v>
      </c>
      <c r="Q2319" s="4" t="str">
        <f t="shared" si="221"/>
        <v>Moderate Growth</v>
      </c>
    </row>
    <row r="2320" spans="1:17" x14ac:dyDescent="0.35">
      <c r="A2320" s="2" t="s">
        <v>2331</v>
      </c>
      <c r="B2320" s="2">
        <v>5</v>
      </c>
      <c r="C2320" s="2">
        <v>90278520.480000004</v>
      </c>
      <c r="D2320" s="2">
        <v>1</v>
      </c>
      <c r="E2320" s="2">
        <v>22597114.739999998</v>
      </c>
      <c r="F2320" s="2">
        <v>47845378.100000001</v>
      </c>
      <c r="G2320" s="2">
        <v>1</v>
      </c>
      <c r="H2320" s="2">
        <v>2</v>
      </c>
      <c r="I2320" s="2">
        <v>2</v>
      </c>
      <c r="J2320" s="2">
        <v>1.5</v>
      </c>
      <c r="K2320" s="2" t="s">
        <v>1268</v>
      </c>
      <c r="L2320" s="2" t="str">
        <f t="shared" si="216"/>
        <v>Profitable</v>
      </c>
      <c r="M2320" s="2" t="str">
        <f t="shared" si="217"/>
        <v>Stable Earnings</v>
      </c>
      <c r="N2320" s="2" t="str">
        <f t="shared" si="218"/>
        <v>Low Quality</v>
      </c>
      <c r="O2320" s="4" t="str">
        <f t="shared" si="219"/>
        <v>Operational Growth</v>
      </c>
      <c r="P2320" s="4" t="str">
        <f t="shared" si="220"/>
        <v>Low Quality</v>
      </c>
      <c r="Q2320" s="4" t="str">
        <f t="shared" si="221"/>
        <v>Moderate Growth</v>
      </c>
    </row>
    <row r="2321" spans="1:17" x14ac:dyDescent="0.35">
      <c r="A2321" s="2" t="s">
        <v>2332</v>
      </c>
      <c r="B2321" s="2">
        <v>5</v>
      </c>
      <c r="C2321" s="2">
        <v>102857020.90000001</v>
      </c>
      <c r="D2321" s="2">
        <v>1</v>
      </c>
      <c r="E2321" s="2">
        <v>31649044.289999999</v>
      </c>
      <c r="F2321" s="2">
        <v>46792154.899999999</v>
      </c>
      <c r="G2321" s="2">
        <v>1</v>
      </c>
      <c r="H2321" s="2">
        <v>2</v>
      </c>
      <c r="I2321" s="2">
        <v>2</v>
      </c>
      <c r="J2321" s="2">
        <v>1.5</v>
      </c>
      <c r="K2321" s="2" t="s">
        <v>1268</v>
      </c>
      <c r="L2321" s="2" t="str">
        <f t="shared" si="216"/>
        <v>Profitable</v>
      </c>
      <c r="M2321" s="2" t="str">
        <f t="shared" si="217"/>
        <v>Stable Earnings</v>
      </c>
      <c r="N2321" s="2" t="str">
        <f t="shared" si="218"/>
        <v>Low Quality</v>
      </c>
      <c r="O2321" s="4" t="str">
        <f t="shared" si="219"/>
        <v>Operational Growth</v>
      </c>
      <c r="P2321" s="4" t="str">
        <f t="shared" si="220"/>
        <v>Low Quality</v>
      </c>
      <c r="Q2321" s="4" t="str">
        <f t="shared" si="221"/>
        <v>Moderate Growth</v>
      </c>
    </row>
    <row r="2322" spans="1:17" x14ac:dyDescent="0.35">
      <c r="A2322" s="2" t="s">
        <v>2333</v>
      </c>
      <c r="B2322" s="2">
        <v>5</v>
      </c>
      <c r="C2322" s="2">
        <v>64150554.200000003</v>
      </c>
      <c r="D2322" s="2">
        <v>1</v>
      </c>
      <c r="E2322" s="2">
        <v>17876264.960000001</v>
      </c>
      <c r="F2322" s="2">
        <v>44801739.399999999</v>
      </c>
      <c r="G2322" s="2">
        <v>1</v>
      </c>
      <c r="H2322" s="2">
        <v>2</v>
      </c>
      <c r="I2322" s="2">
        <v>2</v>
      </c>
      <c r="J2322" s="2">
        <v>1.5</v>
      </c>
      <c r="K2322" s="2" t="s">
        <v>1268</v>
      </c>
      <c r="L2322" s="2" t="str">
        <f t="shared" si="216"/>
        <v>Profitable</v>
      </c>
      <c r="M2322" s="2" t="str">
        <f t="shared" si="217"/>
        <v>Stable Earnings</v>
      </c>
      <c r="N2322" s="2" t="str">
        <f t="shared" si="218"/>
        <v>Low Quality</v>
      </c>
      <c r="O2322" s="4" t="str">
        <f t="shared" si="219"/>
        <v>Operational Growth</v>
      </c>
      <c r="P2322" s="4" t="str">
        <f t="shared" si="220"/>
        <v>Low Quality</v>
      </c>
      <c r="Q2322" s="4" t="str">
        <f t="shared" si="221"/>
        <v>Moderate Growth</v>
      </c>
    </row>
    <row r="2323" spans="1:17" x14ac:dyDescent="0.35">
      <c r="A2323" s="2" t="s">
        <v>2334</v>
      </c>
      <c r="B2323" s="2">
        <v>5</v>
      </c>
      <c r="C2323" s="2">
        <v>65684830.759999998</v>
      </c>
      <c r="D2323" s="2">
        <v>1</v>
      </c>
      <c r="E2323" s="2">
        <v>19719790.989999998</v>
      </c>
      <c r="F2323" s="2">
        <v>43872527.700000003</v>
      </c>
      <c r="G2323" s="2">
        <v>1</v>
      </c>
      <c r="H2323" s="2">
        <v>2</v>
      </c>
      <c r="I2323" s="2">
        <v>2</v>
      </c>
      <c r="J2323" s="2">
        <v>1.5</v>
      </c>
      <c r="K2323" s="2" t="s">
        <v>1268</v>
      </c>
      <c r="L2323" s="2" t="str">
        <f t="shared" si="216"/>
        <v>Profitable</v>
      </c>
      <c r="M2323" s="2" t="str">
        <f t="shared" si="217"/>
        <v>Stable Earnings</v>
      </c>
      <c r="N2323" s="2" t="str">
        <f t="shared" si="218"/>
        <v>Low Quality</v>
      </c>
      <c r="O2323" s="4" t="str">
        <f t="shared" si="219"/>
        <v>Operational Growth</v>
      </c>
      <c r="P2323" s="4" t="str">
        <f t="shared" si="220"/>
        <v>Low Quality</v>
      </c>
      <c r="Q2323" s="4" t="str">
        <f t="shared" si="221"/>
        <v>Moderate Growth</v>
      </c>
    </row>
    <row r="2324" spans="1:17" x14ac:dyDescent="0.35">
      <c r="A2324" s="2" t="s">
        <v>2335</v>
      </c>
      <c r="B2324" s="2">
        <v>5</v>
      </c>
      <c r="C2324" s="2">
        <v>242339716.69999999</v>
      </c>
      <c r="D2324" s="2">
        <v>1</v>
      </c>
      <c r="E2324" s="2">
        <v>22330313.890000001</v>
      </c>
      <c r="F2324" s="2">
        <v>46153003.600000001</v>
      </c>
      <c r="G2324" s="2">
        <v>1</v>
      </c>
      <c r="H2324" s="2">
        <v>2</v>
      </c>
      <c r="I2324" s="2">
        <v>2</v>
      </c>
      <c r="J2324" s="2">
        <v>1.5</v>
      </c>
      <c r="K2324" s="2" t="s">
        <v>1268</v>
      </c>
      <c r="L2324" s="2" t="str">
        <f t="shared" si="216"/>
        <v>Profitable</v>
      </c>
      <c r="M2324" s="2" t="str">
        <f t="shared" si="217"/>
        <v>Stable Earnings</v>
      </c>
      <c r="N2324" s="2" t="str">
        <f t="shared" si="218"/>
        <v>Low Quality</v>
      </c>
      <c r="O2324" s="4" t="str">
        <f t="shared" si="219"/>
        <v>Operational Growth</v>
      </c>
      <c r="P2324" s="4" t="str">
        <f t="shared" si="220"/>
        <v>Low Quality</v>
      </c>
      <c r="Q2324" s="4" t="str">
        <f t="shared" si="221"/>
        <v>Moderate Growth</v>
      </c>
    </row>
    <row r="2325" spans="1:17" x14ac:dyDescent="0.35">
      <c r="A2325" s="2" t="s">
        <v>2336</v>
      </c>
      <c r="B2325" s="2">
        <v>5</v>
      </c>
      <c r="C2325" s="2">
        <v>141647422.40000001</v>
      </c>
      <c r="D2325" s="2">
        <v>1</v>
      </c>
      <c r="E2325" s="2">
        <v>23713541.890000001</v>
      </c>
      <c r="F2325" s="2">
        <v>43725099</v>
      </c>
      <c r="G2325" s="2">
        <v>1</v>
      </c>
      <c r="H2325" s="2">
        <v>2</v>
      </c>
      <c r="I2325" s="2">
        <v>2</v>
      </c>
      <c r="J2325" s="2">
        <v>1.5</v>
      </c>
      <c r="K2325" s="2" t="s">
        <v>1268</v>
      </c>
      <c r="L2325" s="2" t="str">
        <f t="shared" si="216"/>
        <v>Profitable</v>
      </c>
      <c r="M2325" s="2" t="str">
        <f t="shared" si="217"/>
        <v>Stable Earnings</v>
      </c>
      <c r="N2325" s="2" t="str">
        <f t="shared" si="218"/>
        <v>Low Quality</v>
      </c>
      <c r="O2325" s="4" t="str">
        <f t="shared" si="219"/>
        <v>Operational Growth</v>
      </c>
      <c r="P2325" s="4" t="str">
        <f t="shared" si="220"/>
        <v>Low Quality</v>
      </c>
      <c r="Q2325" s="4" t="str">
        <f t="shared" si="221"/>
        <v>Moderate Growth</v>
      </c>
    </row>
    <row r="2326" spans="1:17" x14ac:dyDescent="0.35">
      <c r="A2326" s="2" t="s">
        <v>2337</v>
      </c>
      <c r="B2326" s="2">
        <v>5</v>
      </c>
      <c r="C2326" s="2">
        <v>113770468.09999999</v>
      </c>
      <c r="D2326" s="2">
        <v>1</v>
      </c>
      <c r="E2326" s="2">
        <v>24251472.949999999</v>
      </c>
      <c r="F2326" s="2">
        <v>43719132.200000003</v>
      </c>
      <c r="G2326" s="2">
        <v>1</v>
      </c>
      <c r="H2326" s="2">
        <v>2</v>
      </c>
      <c r="I2326" s="2">
        <v>2</v>
      </c>
      <c r="J2326" s="2">
        <v>1.5</v>
      </c>
      <c r="K2326" s="2" t="s">
        <v>1268</v>
      </c>
      <c r="L2326" s="2" t="str">
        <f t="shared" si="216"/>
        <v>Profitable</v>
      </c>
      <c r="M2326" s="2" t="str">
        <f t="shared" si="217"/>
        <v>Stable Earnings</v>
      </c>
      <c r="N2326" s="2" t="str">
        <f t="shared" si="218"/>
        <v>Low Quality</v>
      </c>
      <c r="O2326" s="4" t="str">
        <f t="shared" si="219"/>
        <v>Operational Growth</v>
      </c>
      <c r="P2326" s="4" t="str">
        <f t="shared" si="220"/>
        <v>Low Quality</v>
      </c>
      <c r="Q2326" s="4" t="str">
        <f t="shared" si="221"/>
        <v>Moderate Growth</v>
      </c>
    </row>
    <row r="2327" spans="1:17" x14ac:dyDescent="0.35">
      <c r="A2327" s="2" t="s">
        <v>2338</v>
      </c>
      <c r="B2327" s="2">
        <v>5</v>
      </c>
      <c r="C2327" s="2">
        <v>40643923.159999996</v>
      </c>
      <c r="D2327" s="2">
        <v>1</v>
      </c>
      <c r="E2327" s="2">
        <v>29027809.32</v>
      </c>
      <c r="F2327" s="2">
        <v>41974332.600000001</v>
      </c>
      <c r="G2327" s="2">
        <v>1</v>
      </c>
      <c r="H2327" s="2">
        <v>2</v>
      </c>
      <c r="I2327" s="2">
        <v>2</v>
      </c>
      <c r="J2327" s="2">
        <v>1.5</v>
      </c>
      <c r="K2327" s="2" t="s">
        <v>1268</v>
      </c>
      <c r="L2327" s="2" t="str">
        <f t="shared" si="216"/>
        <v>Profitable</v>
      </c>
      <c r="M2327" s="2" t="str">
        <f t="shared" si="217"/>
        <v>Stable Earnings</v>
      </c>
      <c r="N2327" s="2" t="str">
        <f t="shared" si="218"/>
        <v>Low Quality</v>
      </c>
      <c r="O2327" s="4" t="str">
        <f t="shared" si="219"/>
        <v>Operational Growth</v>
      </c>
      <c r="P2327" s="4" t="str">
        <f t="shared" si="220"/>
        <v>Low Quality</v>
      </c>
      <c r="Q2327" s="4" t="str">
        <f t="shared" si="221"/>
        <v>Moderate Growth</v>
      </c>
    </row>
    <row r="2328" spans="1:17" x14ac:dyDescent="0.35">
      <c r="A2328" s="2" t="s">
        <v>2339</v>
      </c>
      <c r="B2328" s="2">
        <v>5</v>
      </c>
      <c r="C2328" s="2">
        <v>59051932.200000003</v>
      </c>
      <c r="D2328" s="2">
        <v>1</v>
      </c>
      <c r="E2328" s="2">
        <v>23407094.43</v>
      </c>
      <c r="F2328" s="2">
        <v>39600254.299999997</v>
      </c>
      <c r="G2328" s="2">
        <v>1</v>
      </c>
      <c r="H2328" s="2">
        <v>2</v>
      </c>
      <c r="I2328" s="2">
        <v>2</v>
      </c>
      <c r="J2328" s="2">
        <v>1.5</v>
      </c>
      <c r="K2328" s="2" t="s">
        <v>1268</v>
      </c>
      <c r="L2328" s="2" t="str">
        <f t="shared" si="216"/>
        <v>Profitable</v>
      </c>
      <c r="M2328" s="2" t="str">
        <f t="shared" si="217"/>
        <v>Stable Earnings</v>
      </c>
      <c r="N2328" s="2" t="str">
        <f t="shared" si="218"/>
        <v>Low Quality</v>
      </c>
      <c r="O2328" s="4" t="str">
        <f t="shared" si="219"/>
        <v>Operational Growth</v>
      </c>
      <c r="P2328" s="4" t="str">
        <f t="shared" si="220"/>
        <v>Low Quality</v>
      </c>
      <c r="Q2328" s="4" t="str">
        <f t="shared" si="221"/>
        <v>Moderate Growth</v>
      </c>
    </row>
    <row r="2329" spans="1:17" x14ac:dyDescent="0.35">
      <c r="A2329" s="2" t="s">
        <v>2340</v>
      </c>
      <c r="B2329" s="2">
        <v>5</v>
      </c>
      <c r="C2329" s="2">
        <v>40905463.420000002</v>
      </c>
      <c r="D2329" s="2">
        <v>1</v>
      </c>
      <c r="E2329" s="2">
        <v>24750110.98</v>
      </c>
      <c r="F2329" s="2">
        <v>40360988.399999999</v>
      </c>
      <c r="G2329" s="2">
        <v>1</v>
      </c>
      <c r="H2329" s="2">
        <v>2</v>
      </c>
      <c r="I2329" s="2">
        <v>2</v>
      </c>
      <c r="J2329" s="2">
        <v>1.5</v>
      </c>
      <c r="K2329" s="2" t="s">
        <v>1268</v>
      </c>
      <c r="L2329" s="2" t="str">
        <f t="shared" si="216"/>
        <v>Profitable</v>
      </c>
      <c r="M2329" s="2" t="str">
        <f t="shared" si="217"/>
        <v>Stable Earnings</v>
      </c>
      <c r="N2329" s="2" t="str">
        <f t="shared" si="218"/>
        <v>Low Quality</v>
      </c>
      <c r="O2329" s="4" t="str">
        <f t="shared" si="219"/>
        <v>Operational Growth</v>
      </c>
      <c r="P2329" s="4" t="str">
        <f t="shared" si="220"/>
        <v>Low Quality</v>
      </c>
      <c r="Q2329" s="4" t="str">
        <f t="shared" si="221"/>
        <v>Moderate Growth</v>
      </c>
    </row>
    <row r="2330" spans="1:17" x14ac:dyDescent="0.35">
      <c r="A2330" s="2" t="s">
        <v>2341</v>
      </c>
      <c r="B2330" s="2">
        <v>5</v>
      </c>
      <c r="C2330" s="2">
        <v>79859979.099999994</v>
      </c>
      <c r="D2330" s="2">
        <v>1</v>
      </c>
      <c r="E2330" s="2">
        <v>37286702.979999997</v>
      </c>
      <c r="F2330" s="2">
        <v>39939945.700000003</v>
      </c>
      <c r="G2330" s="2">
        <v>1</v>
      </c>
      <c r="H2330" s="2">
        <v>2</v>
      </c>
      <c r="I2330" s="2">
        <v>2</v>
      </c>
      <c r="J2330" s="2">
        <v>1.5</v>
      </c>
      <c r="K2330" s="2" t="s">
        <v>1268</v>
      </c>
      <c r="L2330" s="2" t="str">
        <f t="shared" si="216"/>
        <v>Profitable</v>
      </c>
      <c r="M2330" s="2" t="str">
        <f t="shared" si="217"/>
        <v>Stable Earnings</v>
      </c>
      <c r="N2330" s="2" t="str">
        <f t="shared" si="218"/>
        <v>Low Quality</v>
      </c>
      <c r="O2330" s="4" t="str">
        <f t="shared" si="219"/>
        <v>Operational Growth</v>
      </c>
      <c r="P2330" s="4" t="str">
        <f t="shared" si="220"/>
        <v>Low Quality</v>
      </c>
      <c r="Q2330" s="4" t="str">
        <f t="shared" si="221"/>
        <v>Moderate Growth</v>
      </c>
    </row>
    <row r="2331" spans="1:17" x14ac:dyDescent="0.35">
      <c r="A2331" s="2" t="s">
        <v>2342</v>
      </c>
      <c r="B2331" s="2">
        <v>5</v>
      </c>
      <c r="C2331" s="2">
        <v>36810640.560000002</v>
      </c>
      <c r="D2331" s="2">
        <v>1</v>
      </c>
      <c r="E2331" s="2">
        <v>35400202.43</v>
      </c>
      <c r="F2331" s="2">
        <v>39760183.799999997</v>
      </c>
      <c r="G2331" s="2">
        <v>1</v>
      </c>
      <c r="H2331" s="2">
        <v>2</v>
      </c>
      <c r="I2331" s="2">
        <v>2</v>
      </c>
      <c r="J2331" s="2">
        <v>1.5</v>
      </c>
      <c r="K2331" s="2" t="s">
        <v>1268</v>
      </c>
      <c r="L2331" s="2" t="str">
        <f t="shared" si="216"/>
        <v>Profitable</v>
      </c>
      <c r="M2331" s="2" t="str">
        <f t="shared" si="217"/>
        <v>Stable Earnings</v>
      </c>
      <c r="N2331" s="2" t="str">
        <f t="shared" si="218"/>
        <v>Low Quality</v>
      </c>
      <c r="O2331" s="4" t="str">
        <f t="shared" si="219"/>
        <v>Operational Growth</v>
      </c>
      <c r="P2331" s="4" t="str">
        <f t="shared" si="220"/>
        <v>Low Quality</v>
      </c>
      <c r="Q2331" s="4" t="str">
        <f t="shared" si="221"/>
        <v>Moderate Growth</v>
      </c>
    </row>
    <row r="2332" spans="1:17" x14ac:dyDescent="0.35">
      <c r="A2332" s="2" t="s">
        <v>2343</v>
      </c>
      <c r="B2332" s="2">
        <v>5</v>
      </c>
      <c r="C2332" s="2">
        <v>95466235.319999993</v>
      </c>
      <c r="D2332" s="2">
        <v>1</v>
      </c>
      <c r="E2332" s="2">
        <v>12465070</v>
      </c>
      <c r="F2332" s="2">
        <v>26543640.399999999</v>
      </c>
      <c r="G2332" s="2">
        <v>1</v>
      </c>
      <c r="H2332" s="2">
        <v>1</v>
      </c>
      <c r="I2332" s="2">
        <v>3</v>
      </c>
      <c r="J2332" s="2">
        <v>1.4</v>
      </c>
      <c r="K2332" s="2" t="s">
        <v>1268</v>
      </c>
      <c r="L2332" s="2" t="str">
        <f t="shared" si="216"/>
        <v>Profitable</v>
      </c>
      <c r="M2332" s="2" t="str">
        <f t="shared" si="217"/>
        <v>Stable Earnings</v>
      </c>
      <c r="N2332" s="2" t="str">
        <f t="shared" si="218"/>
        <v>Low Quality</v>
      </c>
      <c r="O2332" s="4" t="str">
        <f t="shared" si="219"/>
        <v>Operational Growth</v>
      </c>
      <c r="P2332" s="4" t="str">
        <f t="shared" si="220"/>
        <v>Low Quality</v>
      </c>
      <c r="Q2332" s="4" t="str">
        <f t="shared" si="221"/>
        <v>Moderate Growth</v>
      </c>
    </row>
    <row r="2333" spans="1:17" x14ac:dyDescent="0.35">
      <c r="A2333" s="2" t="s">
        <v>2344</v>
      </c>
      <c r="B2333" s="2">
        <v>5</v>
      </c>
      <c r="C2333" s="2">
        <v>27318526.920000002</v>
      </c>
      <c r="D2333" s="2">
        <v>1</v>
      </c>
      <c r="E2333" s="2">
        <v>11643975.82</v>
      </c>
      <c r="F2333" s="2">
        <v>19542587.100000001</v>
      </c>
      <c r="G2333" s="2">
        <v>1</v>
      </c>
      <c r="H2333" s="2">
        <v>1</v>
      </c>
      <c r="I2333" s="2">
        <v>3</v>
      </c>
      <c r="J2333" s="2">
        <v>1.4</v>
      </c>
      <c r="K2333" s="2" t="s">
        <v>1268</v>
      </c>
      <c r="L2333" s="2" t="str">
        <f t="shared" si="216"/>
        <v>Profitable</v>
      </c>
      <c r="M2333" s="2" t="str">
        <f t="shared" si="217"/>
        <v>Stable Earnings</v>
      </c>
      <c r="N2333" s="2" t="str">
        <f t="shared" si="218"/>
        <v>Low Quality</v>
      </c>
      <c r="O2333" s="4" t="str">
        <f t="shared" si="219"/>
        <v>Operational Growth</v>
      </c>
      <c r="P2333" s="4" t="str">
        <f t="shared" si="220"/>
        <v>Low Quality</v>
      </c>
      <c r="Q2333" s="4" t="str">
        <f t="shared" si="221"/>
        <v>Moderate Growth</v>
      </c>
    </row>
    <row r="2334" spans="1:17" x14ac:dyDescent="0.35">
      <c r="A2334" s="2" t="s">
        <v>2345</v>
      </c>
      <c r="B2334" s="2">
        <v>5</v>
      </c>
      <c r="C2334" s="2">
        <v>56104092.5</v>
      </c>
      <c r="D2334" s="2">
        <v>1</v>
      </c>
      <c r="E2334" s="2">
        <v>9845026.6620000005</v>
      </c>
      <c r="F2334" s="2">
        <v>22812195.199999999</v>
      </c>
      <c r="G2334" s="2">
        <v>1</v>
      </c>
      <c r="H2334" s="2">
        <v>1</v>
      </c>
      <c r="I2334" s="2">
        <v>3</v>
      </c>
      <c r="J2334" s="2">
        <v>1.4</v>
      </c>
      <c r="K2334" s="2" t="s">
        <v>1268</v>
      </c>
      <c r="L2334" s="2" t="str">
        <f t="shared" si="216"/>
        <v>Profitable</v>
      </c>
      <c r="M2334" s="2" t="str">
        <f t="shared" si="217"/>
        <v>Stable Earnings</v>
      </c>
      <c r="N2334" s="2" t="str">
        <f t="shared" si="218"/>
        <v>Low Quality</v>
      </c>
      <c r="O2334" s="4" t="str">
        <f t="shared" si="219"/>
        <v>Operational Growth</v>
      </c>
      <c r="P2334" s="4" t="str">
        <f t="shared" si="220"/>
        <v>Low Quality</v>
      </c>
      <c r="Q2334" s="4" t="str">
        <f t="shared" si="221"/>
        <v>Moderate Growth</v>
      </c>
    </row>
    <row r="2335" spans="1:17" x14ac:dyDescent="0.35">
      <c r="A2335" s="2" t="s">
        <v>2346</v>
      </c>
      <c r="B2335" s="2">
        <v>5</v>
      </c>
      <c r="C2335" s="2">
        <v>87119660.239999995</v>
      </c>
      <c r="D2335" s="2">
        <v>1</v>
      </c>
      <c r="E2335" s="2">
        <v>12357435.74</v>
      </c>
      <c r="F2335" s="2">
        <v>26284328.800000001</v>
      </c>
      <c r="G2335" s="2">
        <v>1</v>
      </c>
      <c r="H2335" s="2">
        <v>1</v>
      </c>
      <c r="I2335" s="2">
        <v>3</v>
      </c>
      <c r="J2335" s="2">
        <v>1.4</v>
      </c>
      <c r="K2335" s="2" t="s">
        <v>1268</v>
      </c>
      <c r="L2335" s="2" t="str">
        <f t="shared" si="216"/>
        <v>Profitable</v>
      </c>
      <c r="M2335" s="2" t="str">
        <f t="shared" si="217"/>
        <v>Stable Earnings</v>
      </c>
      <c r="N2335" s="2" t="str">
        <f t="shared" si="218"/>
        <v>Low Quality</v>
      </c>
      <c r="O2335" s="4" t="str">
        <f t="shared" si="219"/>
        <v>Operational Growth</v>
      </c>
      <c r="P2335" s="4" t="str">
        <f t="shared" si="220"/>
        <v>Low Quality</v>
      </c>
      <c r="Q2335" s="4" t="str">
        <f t="shared" si="221"/>
        <v>Moderate Growth</v>
      </c>
    </row>
    <row r="2336" spans="1:17" x14ac:dyDescent="0.35">
      <c r="A2336" s="2" t="s">
        <v>2347</v>
      </c>
      <c r="B2336" s="2">
        <v>5</v>
      </c>
      <c r="C2336" s="2">
        <v>62468604.780000001</v>
      </c>
      <c r="D2336" s="2">
        <v>1</v>
      </c>
      <c r="E2336" s="2">
        <v>12600189.949999999</v>
      </c>
      <c r="F2336" s="2">
        <v>26174689.899999999</v>
      </c>
      <c r="G2336" s="2">
        <v>1</v>
      </c>
      <c r="H2336" s="2">
        <v>1</v>
      </c>
      <c r="I2336" s="2">
        <v>3</v>
      </c>
      <c r="J2336" s="2">
        <v>1.4</v>
      </c>
      <c r="K2336" s="2" t="s">
        <v>1268</v>
      </c>
      <c r="L2336" s="2" t="str">
        <f t="shared" si="216"/>
        <v>Profitable</v>
      </c>
      <c r="M2336" s="2" t="str">
        <f t="shared" si="217"/>
        <v>Stable Earnings</v>
      </c>
      <c r="N2336" s="2" t="str">
        <f t="shared" si="218"/>
        <v>Low Quality</v>
      </c>
      <c r="O2336" s="4" t="str">
        <f t="shared" si="219"/>
        <v>Operational Growth</v>
      </c>
      <c r="P2336" s="4" t="str">
        <f t="shared" si="220"/>
        <v>Low Quality</v>
      </c>
      <c r="Q2336" s="4" t="str">
        <f t="shared" si="221"/>
        <v>Moderate Growth</v>
      </c>
    </row>
    <row r="2337" spans="1:17" x14ac:dyDescent="0.35">
      <c r="A2337" s="2" t="s">
        <v>2348</v>
      </c>
      <c r="B2337" s="2">
        <v>5</v>
      </c>
      <c r="C2337" s="2">
        <v>79527563.760000005</v>
      </c>
      <c r="D2337" s="2">
        <v>1</v>
      </c>
      <c r="E2337" s="2">
        <v>11574322.380000001</v>
      </c>
      <c r="F2337" s="2">
        <v>23351995.800000001</v>
      </c>
      <c r="G2337" s="2">
        <v>1</v>
      </c>
      <c r="H2337" s="2">
        <v>1</v>
      </c>
      <c r="I2337" s="2">
        <v>3</v>
      </c>
      <c r="J2337" s="2">
        <v>1.4</v>
      </c>
      <c r="K2337" s="2" t="s">
        <v>1268</v>
      </c>
      <c r="L2337" s="2" t="str">
        <f t="shared" si="216"/>
        <v>Profitable</v>
      </c>
      <c r="M2337" s="2" t="str">
        <f t="shared" si="217"/>
        <v>Stable Earnings</v>
      </c>
      <c r="N2337" s="2" t="str">
        <f t="shared" si="218"/>
        <v>Low Quality</v>
      </c>
      <c r="O2337" s="4" t="str">
        <f t="shared" si="219"/>
        <v>Operational Growth</v>
      </c>
      <c r="P2337" s="4" t="str">
        <f t="shared" si="220"/>
        <v>Low Quality</v>
      </c>
      <c r="Q2337" s="4" t="str">
        <f t="shared" si="221"/>
        <v>Moderate Growth</v>
      </c>
    </row>
    <row r="2338" spans="1:17" x14ac:dyDescent="0.35">
      <c r="A2338" s="2" t="s">
        <v>2349</v>
      </c>
      <c r="B2338" s="2">
        <v>5</v>
      </c>
      <c r="C2338" s="2">
        <v>47003627</v>
      </c>
      <c r="D2338" s="2">
        <v>1</v>
      </c>
      <c r="E2338" s="2">
        <v>15323364.199999999</v>
      </c>
      <c r="F2338" s="2">
        <v>24055081.699999999</v>
      </c>
      <c r="G2338" s="2">
        <v>1</v>
      </c>
      <c r="H2338" s="2">
        <v>1</v>
      </c>
      <c r="I2338" s="2">
        <v>3</v>
      </c>
      <c r="J2338" s="2">
        <v>1.4</v>
      </c>
      <c r="K2338" s="2" t="s">
        <v>1268</v>
      </c>
      <c r="L2338" s="2" t="str">
        <f t="shared" si="216"/>
        <v>Profitable</v>
      </c>
      <c r="M2338" s="2" t="str">
        <f t="shared" si="217"/>
        <v>Stable Earnings</v>
      </c>
      <c r="N2338" s="2" t="str">
        <f t="shared" si="218"/>
        <v>Low Quality</v>
      </c>
      <c r="O2338" s="4" t="str">
        <f t="shared" si="219"/>
        <v>Operational Growth</v>
      </c>
      <c r="P2338" s="4" t="str">
        <f t="shared" si="220"/>
        <v>Low Quality</v>
      </c>
      <c r="Q2338" s="4" t="str">
        <f t="shared" si="221"/>
        <v>Moderate Growth</v>
      </c>
    </row>
    <row r="2339" spans="1:17" x14ac:dyDescent="0.35">
      <c r="A2339" s="2" t="s">
        <v>2350</v>
      </c>
      <c r="B2339" s="2">
        <v>5</v>
      </c>
      <c r="C2339" s="2">
        <v>14607661.539999999</v>
      </c>
      <c r="D2339" s="2">
        <v>1</v>
      </c>
      <c r="E2339" s="2">
        <v>7195600.4170000004</v>
      </c>
      <c r="F2339" s="2">
        <v>14812204.6</v>
      </c>
      <c r="G2339" s="2">
        <v>1</v>
      </c>
      <c r="H2339" s="2">
        <v>1</v>
      </c>
      <c r="I2339" s="2">
        <v>3</v>
      </c>
      <c r="J2339" s="2">
        <v>1.4</v>
      </c>
      <c r="K2339" s="2" t="s">
        <v>1268</v>
      </c>
      <c r="L2339" s="2" t="str">
        <f t="shared" si="216"/>
        <v>Profitable</v>
      </c>
      <c r="M2339" s="2" t="str">
        <f t="shared" si="217"/>
        <v>Stable Earnings</v>
      </c>
      <c r="N2339" s="2" t="str">
        <f t="shared" si="218"/>
        <v>Low Quality</v>
      </c>
      <c r="O2339" s="4" t="str">
        <f t="shared" si="219"/>
        <v>Operational Growth</v>
      </c>
      <c r="P2339" s="4" t="str">
        <f t="shared" si="220"/>
        <v>Low Quality</v>
      </c>
      <c r="Q2339" s="4" t="str">
        <f t="shared" si="221"/>
        <v>Moderate Growth</v>
      </c>
    </row>
    <row r="2340" spans="1:17" x14ac:dyDescent="0.35">
      <c r="A2340" s="2" t="s">
        <v>2351</v>
      </c>
      <c r="B2340" s="2">
        <v>5</v>
      </c>
      <c r="C2340" s="2">
        <v>65361320.140000001</v>
      </c>
      <c r="D2340" s="2">
        <v>1</v>
      </c>
      <c r="E2340" s="2">
        <v>14077054.68</v>
      </c>
      <c r="F2340" s="2">
        <v>14454320.6</v>
      </c>
      <c r="G2340" s="2">
        <v>1</v>
      </c>
      <c r="H2340" s="2">
        <v>1</v>
      </c>
      <c r="I2340" s="2">
        <v>3</v>
      </c>
      <c r="J2340" s="2">
        <v>1.4</v>
      </c>
      <c r="K2340" s="2" t="s">
        <v>1268</v>
      </c>
      <c r="L2340" s="2" t="str">
        <f t="shared" si="216"/>
        <v>Profitable</v>
      </c>
      <c r="M2340" s="2" t="str">
        <f t="shared" si="217"/>
        <v>Stable Earnings</v>
      </c>
      <c r="N2340" s="2" t="str">
        <f t="shared" si="218"/>
        <v>Low Quality</v>
      </c>
      <c r="O2340" s="4" t="str">
        <f t="shared" si="219"/>
        <v>Operational Growth</v>
      </c>
      <c r="P2340" s="4" t="str">
        <f t="shared" si="220"/>
        <v>Low Quality</v>
      </c>
      <c r="Q2340" s="4" t="str">
        <f t="shared" si="221"/>
        <v>Moderate Growth</v>
      </c>
    </row>
    <row r="2341" spans="1:17" x14ac:dyDescent="0.35">
      <c r="A2341" s="2" t="s">
        <v>2352</v>
      </c>
      <c r="B2341" s="2">
        <v>5</v>
      </c>
      <c r="C2341" s="2">
        <v>23628043.359999999</v>
      </c>
      <c r="D2341" s="2">
        <v>1</v>
      </c>
      <c r="E2341" s="2">
        <v>5244473.2790000001</v>
      </c>
      <c r="F2341" s="2">
        <v>13625763.5</v>
      </c>
      <c r="G2341" s="2">
        <v>1</v>
      </c>
      <c r="H2341" s="2">
        <v>1</v>
      </c>
      <c r="I2341" s="2">
        <v>3</v>
      </c>
      <c r="J2341" s="2">
        <v>1.4</v>
      </c>
      <c r="K2341" s="2" t="s">
        <v>1268</v>
      </c>
      <c r="L2341" s="2" t="str">
        <f t="shared" si="216"/>
        <v>Profitable</v>
      </c>
      <c r="M2341" s="2" t="str">
        <f t="shared" si="217"/>
        <v>Stable Earnings</v>
      </c>
      <c r="N2341" s="2" t="str">
        <f t="shared" si="218"/>
        <v>Low Quality</v>
      </c>
      <c r="O2341" s="4" t="str">
        <f t="shared" si="219"/>
        <v>Operational Growth</v>
      </c>
      <c r="P2341" s="4" t="str">
        <f t="shared" si="220"/>
        <v>Low Quality</v>
      </c>
      <c r="Q2341" s="4" t="str">
        <f t="shared" si="221"/>
        <v>Moderate Growth</v>
      </c>
    </row>
    <row r="2342" spans="1:17" x14ac:dyDescent="0.35">
      <c r="A2342" s="2" t="s">
        <v>2353</v>
      </c>
      <c r="B2342" s="2">
        <v>5</v>
      </c>
      <c r="C2342" s="2">
        <v>9531740.6999999993</v>
      </c>
      <c r="D2342" s="2">
        <v>1</v>
      </c>
      <c r="E2342" s="2">
        <v>6183747.3820000002</v>
      </c>
      <c r="F2342" s="2">
        <v>12793426.199999999</v>
      </c>
      <c r="G2342" s="2">
        <v>1</v>
      </c>
      <c r="H2342" s="2">
        <v>1</v>
      </c>
      <c r="I2342" s="2">
        <v>3</v>
      </c>
      <c r="J2342" s="2">
        <v>1.4</v>
      </c>
      <c r="K2342" s="2" t="s">
        <v>1268</v>
      </c>
      <c r="L2342" s="2" t="str">
        <f t="shared" si="216"/>
        <v>Profitable</v>
      </c>
      <c r="M2342" s="2" t="str">
        <f t="shared" si="217"/>
        <v>Stable Earnings</v>
      </c>
      <c r="N2342" s="2" t="str">
        <f t="shared" si="218"/>
        <v>Low Quality</v>
      </c>
      <c r="O2342" s="4" t="str">
        <f t="shared" si="219"/>
        <v>Operational Growth</v>
      </c>
      <c r="P2342" s="4" t="str">
        <f t="shared" si="220"/>
        <v>Low Quality</v>
      </c>
      <c r="Q2342" s="4" t="str">
        <f t="shared" si="221"/>
        <v>Moderate Growth</v>
      </c>
    </row>
    <row r="2343" spans="1:17" x14ac:dyDescent="0.35">
      <c r="A2343" s="2" t="s">
        <v>2354</v>
      </c>
      <c r="B2343" s="2">
        <v>5</v>
      </c>
      <c r="C2343" s="2">
        <v>13577439.08</v>
      </c>
      <c r="D2343" s="2">
        <v>1</v>
      </c>
      <c r="E2343" s="2">
        <v>7146965.9780000001</v>
      </c>
      <c r="F2343" s="2">
        <v>12728597.5</v>
      </c>
      <c r="G2343" s="2">
        <v>1</v>
      </c>
      <c r="H2343" s="2">
        <v>1</v>
      </c>
      <c r="I2343" s="2">
        <v>3</v>
      </c>
      <c r="J2343" s="2">
        <v>1.4</v>
      </c>
      <c r="K2343" s="2" t="s">
        <v>1268</v>
      </c>
      <c r="L2343" s="2" t="str">
        <f t="shared" si="216"/>
        <v>Profitable</v>
      </c>
      <c r="M2343" s="2" t="str">
        <f t="shared" si="217"/>
        <v>Stable Earnings</v>
      </c>
      <c r="N2343" s="2" t="str">
        <f t="shared" si="218"/>
        <v>Low Quality</v>
      </c>
      <c r="O2343" s="4" t="str">
        <f t="shared" si="219"/>
        <v>Operational Growth</v>
      </c>
      <c r="P2343" s="4" t="str">
        <f t="shared" si="220"/>
        <v>Low Quality</v>
      </c>
      <c r="Q2343" s="4" t="str">
        <f t="shared" si="221"/>
        <v>Moderate Growth</v>
      </c>
    </row>
    <row r="2344" spans="1:17" x14ac:dyDescent="0.35">
      <c r="A2344" s="2" t="s">
        <v>2355</v>
      </c>
      <c r="B2344" s="2">
        <v>5</v>
      </c>
      <c r="C2344" s="2">
        <v>106149586.09999999</v>
      </c>
      <c r="D2344" s="2">
        <v>1</v>
      </c>
      <c r="E2344" s="2">
        <v>9576590.8739999998</v>
      </c>
      <c r="F2344" s="2">
        <v>19251826</v>
      </c>
      <c r="G2344" s="2">
        <v>1</v>
      </c>
      <c r="H2344" s="2">
        <v>1</v>
      </c>
      <c r="I2344" s="2">
        <v>3</v>
      </c>
      <c r="J2344" s="2">
        <v>1.4</v>
      </c>
      <c r="K2344" s="2" t="s">
        <v>1268</v>
      </c>
      <c r="L2344" s="2" t="str">
        <f t="shared" si="216"/>
        <v>Profitable</v>
      </c>
      <c r="M2344" s="2" t="str">
        <f t="shared" si="217"/>
        <v>Stable Earnings</v>
      </c>
      <c r="N2344" s="2" t="str">
        <f t="shared" si="218"/>
        <v>Low Quality</v>
      </c>
      <c r="O2344" s="4" t="str">
        <f t="shared" si="219"/>
        <v>Operational Growth</v>
      </c>
      <c r="P2344" s="4" t="str">
        <f t="shared" si="220"/>
        <v>Low Quality</v>
      </c>
      <c r="Q2344" s="4" t="str">
        <f t="shared" si="221"/>
        <v>Moderate Growth</v>
      </c>
    </row>
    <row r="2345" spans="1:17" x14ac:dyDescent="0.35">
      <c r="A2345" s="2" t="s">
        <v>2356</v>
      </c>
      <c r="B2345" s="2">
        <v>5</v>
      </c>
      <c r="C2345" s="2">
        <v>33517342.859999999</v>
      </c>
      <c r="D2345" s="2">
        <v>1</v>
      </c>
      <c r="E2345" s="2">
        <v>10451070.369999999</v>
      </c>
      <c r="F2345" s="2">
        <v>19236580.800000001</v>
      </c>
      <c r="G2345" s="2">
        <v>1</v>
      </c>
      <c r="H2345" s="2">
        <v>1</v>
      </c>
      <c r="I2345" s="2">
        <v>3</v>
      </c>
      <c r="J2345" s="2">
        <v>1.4</v>
      </c>
      <c r="K2345" s="2" t="s">
        <v>1268</v>
      </c>
      <c r="L2345" s="2" t="str">
        <f t="shared" si="216"/>
        <v>Profitable</v>
      </c>
      <c r="M2345" s="2" t="str">
        <f t="shared" si="217"/>
        <v>Stable Earnings</v>
      </c>
      <c r="N2345" s="2" t="str">
        <f t="shared" si="218"/>
        <v>Low Quality</v>
      </c>
      <c r="O2345" s="4" t="str">
        <f t="shared" si="219"/>
        <v>Operational Growth</v>
      </c>
      <c r="P2345" s="4" t="str">
        <f t="shared" si="220"/>
        <v>Low Quality</v>
      </c>
      <c r="Q2345" s="4" t="str">
        <f t="shared" si="221"/>
        <v>Moderate Growth</v>
      </c>
    </row>
    <row r="2346" spans="1:17" x14ac:dyDescent="0.35">
      <c r="A2346" s="2" t="s">
        <v>2357</v>
      </c>
      <c r="B2346" s="2">
        <v>5</v>
      </c>
      <c r="C2346" s="2">
        <v>7900262.5599999996</v>
      </c>
      <c r="D2346" s="2">
        <v>1</v>
      </c>
      <c r="E2346" s="2">
        <v>5614184.0700000003</v>
      </c>
      <c r="F2346" s="2">
        <v>15322101.199999999</v>
      </c>
      <c r="G2346" s="2">
        <v>1</v>
      </c>
      <c r="H2346" s="2">
        <v>1</v>
      </c>
      <c r="I2346" s="2">
        <v>3</v>
      </c>
      <c r="J2346" s="2">
        <v>1.4</v>
      </c>
      <c r="K2346" s="2" t="s">
        <v>1268</v>
      </c>
      <c r="L2346" s="2" t="str">
        <f t="shared" si="216"/>
        <v>Profitable</v>
      </c>
      <c r="M2346" s="2" t="str">
        <f t="shared" si="217"/>
        <v>Stable Earnings</v>
      </c>
      <c r="N2346" s="2" t="str">
        <f t="shared" si="218"/>
        <v>Low Quality</v>
      </c>
      <c r="O2346" s="4" t="str">
        <f t="shared" si="219"/>
        <v>Operational Growth</v>
      </c>
      <c r="P2346" s="4" t="str">
        <f t="shared" si="220"/>
        <v>Low Quality</v>
      </c>
      <c r="Q2346" s="4" t="str">
        <f t="shared" si="221"/>
        <v>Moderate Growth</v>
      </c>
    </row>
    <row r="2347" spans="1:17" x14ac:dyDescent="0.35">
      <c r="A2347" s="2" t="s">
        <v>2358</v>
      </c>
      <c r="B2347" s="2">
        <v>5</v>
      </c>
      <c r="C2347" s="2">
        <v>9626658.2599999998</v>
      </c>
      <c r="D2347" s="2">
        <v>1</v>
      </c>
      <c r="E2347" s="2">
        <v>6590163.8729999997</v>
      </c>
      <c r="F2347" s="2">
        <v>15321492.5</v>
      </c>
      <c r="G2347" s="2">
        <v>1</v>
      </c>
      <c r="H2347" s="2">
        <v>1</v>
      </c>
      <c r="I2347" s="2">
        <v>3</v>
      </c>
      <c r="J2347" s="2">
        <v>1.4</v>
      </c>
      <c r="K2347" s="2" t="s">
        <v>1268</v>
      </c>
      <c r="L2347" s="2" t="str">
        <f t="shared" si="216"/>
        <v>Profitable</v>
      </c>
      <c r="M2347" s="2" t="str">
        <f t="shared" si="217"/>
        <v>Stable Earnings</v>
      </c>
      <c r="N2347" s="2" t="str">
        <f t="shared" si="218"/>
        <v>Low Quality</v>
      </c>
      <c r="O2347" s="4" t="str">
        <f t="shared" si="219"/>
        <v>Operational Growth</v>
      </c>
      <c r="P2347" s="4" t="str">
        <f t="shared" si="220"/>
        <v>Low Quality</v>
      </c>
      <c r="Q2347" s="4" t="str">
        <f t="shared" si="221"/>
        <v>Moderate Growth</v>
      </c>
    </row>
    <row r="2348" spans="1:17" x14ac:dyDescent="0.35">
      <c r="A2348" s="2" t="s">
        <v>2359</v>
      </c>
      <c r="B2348" s="2">
        <v>5</v>
      </c>
      <c r="C2348" s="2">
        <v>14486881.74</v>
      </c>
      <c r="D2348" s="2">
        <v>1</v>
      </c>
      <c r="E2348" s="2">
        <v>8882328.8090000004</v>
      </c>
      <c r="F2348" s="2">
        <v>16231628.1</v>
      </c>
      <c r="G2348" s="2">
        <v>1</v>
      </c>
      <c r="H2348" s="2">
        <v>1</v>
      </c>
      <c r="I2348" s="2">
        <v>3</v>
      </c>
      <c r="J2348" s="2">
        <v>1.4</v>
      </c>
      <c r="K2348" s="2" t="s">
        <v>1268</v>
      </c>
      <c r="L2348" s="2" t="str">
        <f t="shared" si="216"/>
        <v>Profitable</v>
      </c>
      <c r="M2348" s="2" t="str">
        <f t="shared" si="217"/>
        <v>Stable Earnings</v>
      </c>
      <c r="N2348" s="2" t="str">
        <f t="shared" si="218"/>
        <v>Low Quality</v>
      </c>
      <c r="O2348" s="4" t="str">
        <f t="shared" si="219"/>
        <v>Operational Growth</v>
      </c>
      <c r="P2348" s="4" t="str">
        <f t="shared" si="220"/>
        <v>Low Quality</v>
      </c>
      <c r="Q2348" s="4" t="str">
        <f t="shared" si="221"/>
        <v>Moderate Growth</v>
      </c>
    </row>
    <row r="2349" spans="1:17" x14ac:dyDescent="0.35">
      <c r="A2349" s="2" t="s">
        <v>2360</v>
      </c>
      <c r="B2349" s="2">
        <v>5</v>
      </c>
      <c r="C2349" s="2">
        <v>21915433.440000001</v>
      </c>
      <c r="D2349" s="2">
        <v>1</v>
      </c>
      <c r="E2349" s="2">
        <v>12318205.65</v>
      </c>
      <c r="F2349" s="2">
        <v>10836834.199999999</v>
      </c>
      <c r="G2349" s="2">
        <v>1</v>
      </c>
      <c r="H2349" s="2">
        <v>1</v>
      </c>
      <c r="I2349" s="2">
        <v>3</v>
      </c>
      <c r="J2349" s="2">
        <v>1.4</v>
      </c>
      <c r="K2349" s="2" t="s">
        <v>1268</v>
      </c>
      <c r="L2349" s="2" t="str">
        <f t="shared" si="216"/>
        <v>Profitable</v>
      </c>
      <c r="M2349" s="2" t="str">
        <f t="shared" si="217"/>
        <v>Stable Earnings</v>
      </c>
      <c r="N2349" s="2" t="str">
        <f t="shared" si="218"/>
        <v>Low Quality</v>
      </c>
      <c r="O2349" s="4" t="str">
        <f t="shared" si="219"/>
        <v>Operational Growth</v>
      </c>
      <c r="P2349" s="4" t="str">
        <f t="shared" si="220"/>
        <v>Low Quality</v>
      </c>
      <c r="Q2349" s="4" t="str">
        <f t="shared" si="221"/>
        <v>Moderate Growth</v>
      </c>
    </row>
    <row r="2350" spans="1:17" x14ac:dyDescent="0.35">
      <c r="A2350" s="2" t="s">
        <v>2361</v>
      </c>
      <c r="B2350" s="2">
        <v>5</v>
      </c>
      <c r="C2350" s="2">
        <v>3827664.3</v>
      </c>
      <c r="D2350" s="2">
        <v>1</v>
      </c>
      <c r="E2350" s="2">
        <v>4373159.0180000002</v>
      </c>
      <c r="F2350" s="2">
        <v>10862327.199999999</v>
      </c>
      <c r="G2350" s="2">
        <v>1</v>
      </c>
      <c r="H2350" s="2">
        <v>1</v>
      </c>
      <c r="I2350" s="2">
        <v>3</v>
      </c>
      <c r="J2350" s="2">
        <v>1.4</v>
      </c>
      <c r="K2350" s="2" t="s">
        <v>1268</v>
      </c>
      <c r="L2350" s="2" t="str">
        <f t="shared" si="216"/>
        <v>Profitable</v>
      </c>
      <c r="M2350" s="2" t="str">
        <f t="shared" si="217"/>
        <v>Stable Earnings</v>
      </c>
      <c r="N2350" s="2" t="str">
        <f t="shared" si="218"/>
        <v>Low Quality</v>
      </c>
      <c r="O2350" s="4" t="str">
        <f t="shared" si="219"/>
        <v>Operational Growth</v>
      </c>
      <c r="P2350" s="4" t="str">
        <f t="shared" si="220"/>
        <v>Low Quality</v>
      </c>
      <c r="Q2350" s="4" t="str">
        <f t="shared" si="221"/>
        <v>Moderate Growth</v>
      </c>
    </row>
    <row r="2351" spans="1:17" x14ac:dyDescent="0.35">
      <c r="A2351" s="2" t="s">
        <v>2362</v>
      </c>
      <c r="B2351" s="2">
        <v>5</v>
      </c>
      <c r="C2351" s="2">
        <v>6594068.7999999998</v>
      </c>
      <c r="D2351" s="2">
        <v>1</v>
      </c>
      <c r="E2351" s="2">
        <v>5289684.4939999999</v>
      </c>
      <c r="F2351" s="2">
        <v>10668420.5</v>
      </c>
      <c r="G2351" s="2">
        <v>1</v>
      </c>
      <c r="H2351" s="2">
        <v>1</v>
      </c>
      <c r="I2351" s="2">
        <v>3</v>
      </c>
      <c r="J2351" s="2">
        <v>1.4</v>
      </c>
      <c r="K2351" s="2" t="s">
        <v>1268</v>
      </c>
      <c r="L2351" s="2" t="str">
        <f t="shared" si="216"/>
        <v>Profitable</v>
      </c>
      <c r="M2351" s="2" t="str">
        <f t="shared" si="217"/>
        <v>Stable Earnings</v>
      </c>
      <c r="N2351" s="2" t="str">
        <f t="shared" si="218"/>
        <v>Low Quality</v>
      </c>
      <c r="O2351" s="4" t="str">
        <f t="shared" si="219"/>
        <v>Operational Growth</v>
      </c>
      <c r="P2351" s="4" t="str">
        <f t="shared" si="220"/>
        <v>Low Quality</v>
      </c>
      <c r="Q2351" s="4" t="str">
        <f t="shared" si="221"/>
        <v>Moderate Growth</v>
      </c>
    </row>
    <row r="2352" spans="1:17" x14ac:dyDescent="0.35">
      <c r="A2352" s="2" t="s">
        <v>2363</v>
      </c>
      <c r="B2352" s="2">
        <v>5</v>
      </c>
      <c r="C2352" s="2">
        <v>68325478.5</v>
      </c>
      <c r="D2352" s="2">
        <v>1</v>
      </c>
      <c r="E2352" s="2">
        <v>9087457.9330000002</v>
      </c>
      <c r="F2352" s="2">
        <v>10486023.800000001</v>
      </c>
      <c r="G2352" s="2">
        <v>1</v>
      </c>
      <c r="H2352" s="2">
        <v>1</v>
      </c>
      <c r="I2352" s="2">
        <v>3</v>
      </c>
      <c r="J2352" s="2">
        <v>1.4</v>
      </c>
      <c r="K2352" s="2" t="s">
        <v>1268</v>
      </c>
      <c r="L2352" s="2" t="str">
        <f t="shared" si="216"/>
        <v>Profitable</v>
      </c>
      <c r="M2352" s="2" t="str">
        <f t="shared" si="217"/>
        <v>Stable Earnings</v>
      </c>
      <c r="N2352" s="2" t="str">
        <f t="shared" si="218"/>
        <v>Low Quality</v>
      </c>
      <c r="O2352" s="4" t="str">
        <f t="shared" si="219"/>
        <v>Operational Growth</v>
      </c>
      <c r="P2352" s="4" t="str">
        <f t="shared" si="220"/>
        <v>Low Quality</v>
      </c>
      <c r="Q2352" s="4" t="str">
        <f t="shared" si="221"/>
        <v>Moderate Growth</v>
      </c>
    </row>
    <row r="2353" spans="1:17" x14ac:dyDescent="0.35">
      <c r="A2353" s="2" t="s">
        <v>2364</v>
      </c>
      <c r="B2353" s="2">
        <v>5</v>
      </c>
      <c r="C2353" s="2">
        <v>29219107.66</v>
      </c>
      <c r="D2353" s="2">
        <v>1</v>
      </c>
      <c r="E2353" s="2">
        <v>15087060.869999999</v>
      </c>
      <c r="F2353" s="2">
        <v>11731366.699999999</v>
      </c>
      <c r="G2353" s="2">
        <v>1</v>
      </c>
      <c r="H2353" s="2">
        <v>1</v>
      </c>
      <c r="I2353" s="2">
        <v>3</v>
      </c>
      <c r="J2353" s="2">
        <v>1.4</v>
      </c>
      <c r="K2353" s="2" t="s">
        <v>1268</v>
      </c>
      <c r="L2353" s="2" t="str">
        <f t="shared" si="216"/>
        <v>Profitable</v>
      </c>
      <c r="M2353" s="2" t="str">
        <f t="shared" si="217"/>
        <v>Stable Earnings</v>
      </c>
      <c r="N2353" s="2" t="str">
        <f t="shared" si="218"/>
        <v>Low Quality</v>
      </c>
      <c r="O2353" s="4" t="str">
        <f t="shared" si="219"/>
        <v>Operational Growth</v>
      </c>
      <c r="P2353" s="4" t="str">
        <f t="shared" si="220"/>
        <v>Low Quality</v>
      </c>
      <c r="Q2353" s="4" t="str">
        <f t="shared" si="221"/>
        <v>Moderate Growth</v>
      </c>
    </row>
    <row r="2354" spans="1:17" x14ac:dyDescent="0.35">
      <c r="A2354" s="2" t="s">
        <v>2365</v>
      </c>
      <c r="B2354" s="2">
        <v>5</v>
      </c>
      <c r="C2354" s="2">
        <v>8971921.5399999991</v>
      </c>
      <c r="D2354" s="2">
        <v>1</v>
      </c>
      <c r="E2354" s="2">
        <v>5352009.1830000002</v>
      </c>
      <c r="F2354" s="2">
        <v>9069633.5</v>
      </c>
      <c r="G2354" s="2">
        <v>1</v>
      </c>
      <c r="H2354" s="2">
        <v>1</v>
      </c>
      <c r="I2354" s="2">
        <v>3</v>
      </c>
      <c r="J2354" s="2">
        <v>1.4</v>
      </c>
      <c r="K2354" s="2" t="s">
        <v>1268</v>
      </c>
      <c r="L2354" s="2" t="str">
        <f t="shared" si="216"/>
        <v>Profitable</v>
      </c>
      <c r="M2354" s="2" t="str">
        <f t="shared" si="217"/>
        <v>Stable Earnings</v>
      </c>
      <c r="N2354" s="2" t="str">
        <f t="shared" si="218"/>
        <v>Low Quality</v>
      </c>
      <c r="O2354" s="4" t="str">
        <f t="shared" si="219"/>
        <v>Operational Growth</v>
      </c>
      <c r="P2354" s="4" t="str">
        <f t="shared" si="220"/>
        <v>Low Quality</v>
      </c>
      <c r="Q2354" s="4" t="str">
        <f t="shared" si="221"/>
        <v>Moderate Growth</v>
      </c>
    </row>
    <row r="2355" spans="1:17" x14ac:dyDescent="0.35">
      <c r="A2355" s="2" t="s">
        <v>2366</v>
      </c>
      <c r="B2355" s="2">
        <v>5</v>
      </c>
      <c r="C2355" s="2">
        <v>19473176.52</v>
      </c>
      <c r="D2355" s="2">
        <v>1</v>
      </c>
      <c r="E2355" s="2">
        <v>6502727.2609999999</v>
      </c>
      <c r="F2355" s="2">
        <v>9255274.0999999996</v>
      </c>
      <c r="G2355" s="2">
        <v>1</v>
      </c>
      <c r="H2355" s="2">
        <v>1</v>
      </c>
      <c r="I2355" s="2">
        <v>3</v>
      </c>
      <c r="J2355" s="2">
        <v>1.4</v>
      </c>
      <c r="K2355" s="2" t="s">
        <v>1268</v>
      </c>
      <c r="L2355" s="2" t="str">
        <f t="shared" si="216"/>
        <v>Profitable</v>
      </c>
      <c r="M2355" s="2" t="str">
        <f t="shared" si="217"/>
        <v>Stable Earnings</v>
      </c>
      <c r="N2355" s="2" t="str">
        <f t="shared" si="218"/>
        <v>Low Quality</v>
      </c>
      <c r="O2355" s="4" t="str">
        <f t="shared" si="219"/>
        <v>Operational Growth</v>
      </c>
      <c r="P2355" s="4" t="str">
        <f t="shared" si="220"/>
        <v>Low Quality</v>
      </c>
      <c r="Q2355" s="4" t="str">
        <f t="shared" si="221"/>
        <v>Moderate Growth</v>
      </c>
    </row>
    <row r="2356" spans="1:17" x14ac:dyDescent="0.35">
      <c r="A2356" s="2" t="s">
        <v>2367</v>
      </c>
      <c r="B2356" s="2">
        <v>5</v>
      </c>
      <c r="C2356" s="2">
        <v>10684690.9</v>
      </c>
      <c r="D2356" s="2">
        <v>1</v>
      </c>
      <c r="E2356" s="2">
        <v>6097904.5039999997</v>
      </c>
      <c r="F2356" s="2">
        <v>8848056.0999999996</v>
      </c>
      <c r="G2356" s="2">
        <v>1</v>
      </c>
      <c r="H2356" s="2">
        <v>1</v>
      </c>
      <c r="I2356" s="2">
        <v>3</v>
      </c>
      <c r="J2356" s="2">
        <v>1.4</v>
      </c>
      <c r="K2356" s="2" t="s">
        <v>1268</v>
      </c>
      <c r="L2356" s="2" t="str">
        <f t="shared" si="216"/>
        <v>Profitable</v>
      </c>
      <c r="M2356" s="2" t="str">
        <f t="shared" si="217"/>
        <v>Stable Earnings</v>
      </c>
      <c r="N2356" s="2" t="str">
        <f t="shared" si="218"/>
        <v>Low Quality</v>
      </c>
      <c r="O2356" s="4" t="str">
        <f t="shared" si="219"/>
        <v>Operational Growth</v>
      </c>
      <c r="P2356" s="4" t="str">
        <f t="shared" si="220"/>
        <v>Low Quality</v>
      </c>
      <c r="Q2356" s="4" t="str">
        <f t="shared" si="221"/>
        <v>Moderate Growth</v>
      </c>
    </row>
    <row r="2357" spans="1:17" x14ac:dyDescent="0.35">
      <c r="A2357" s="2" t="s">
        <v>2368</v>
      </c>
      <c r="B2357" s="2">
        <v>5</v>
      </c>
      <c r="C2357" s="2">
        <v>6647644.7999999998</v>
      </c>
      <c r="D2357" s="2">
        <v>1</v>
      </c>
      <c r="E2357" s="2">
        <v>4663274.3609999996</v>
      </c>
      <c r="F2357" s="2">
        <v>8202846.0999999996</v>
      </c>
      <c r="G2357" s="2">
        <v>1</v>
      </c>
      <c r="H2357" s="2">
        <v>1</v>
      </c>
      <c r="I2357" s="2">
        <v>3</v>
      </c>
      <c r="J2357" s="2">
        <v>1.4</v>
      </c>
      <c r="K2357" s="2" t="s">
        <v>1268</v>
      </c>
      <c r="L2357" s="2" t="str">
        <f t="shared" si="216"/>
        <v>Profitable</v>
      </c>
      <c r="M2357" s="2" t="str">
        <f t="shared" si="217"/>
        <v>Stable Earnings</v>
      </c>
      <c r="N2357" s="2" t="str">
        <f t="shared" si="218"/>
        <v>Low Quality</v>
      </c>
      <c r="O2357" s="4" t="str">
        <f t="shared" si="219"/>
        <v>Operational Growth</v>
      </c>
      <c r="P2357" s="4" t="str">
        <f t="shared" si="220"/>
        <v>Low Quality</v>
      </c>
      <c r="Q2357" s="4" t="str">
        <f t="shared" si="221"/>
        <v>Moderate Growth</v>
      </c>
    </row>
    <row r="2358" spans="1:17" x14ac:dyDescent="0.35">
      <c r="A2358" s="2" t="s">
        <v>2369</v>
      </c>
      <c r="B2358" s="2">
        <v>5</v>
      </c>
      <c r="C2358" s="2">
        <v>19300511.18</v>
      </c>
      <c r="D2358" s="2">
        <v>1</v>
      </c>
      <c r="E2358" s="2">
        <v>5042538.6969999997</v>
      </c>
      <c r="F2358" s="2">
        <v>7532301</v>
      </c>
      <c r="G2358" s="2">
        <v>1</v>
      </c>
      <c r="H2358" s="2">
        <v>1</v>
      </c>
      <c r="I2358" s="2">
        <v>3</v>
      </c>
      <c r="J2358" s="2">
        <v>1.4</v>
      </c>
      <c r="K2358" s="2" t="s">
        <v>1268</v>
      </c>
      <c r="L2358" s="2" t="str">
        <f t="shared" si="216"/>
        <v>Profitable</v>
      </c>
      <c r="M2358" s="2" t="str">
        <f t="shared" si="217"/>
        <v>Stable Earnings</v>
      </c>
      <c r="N2358" s="2" t="str">
        <f t="shared" si="218"/>
        <v>Low Quality</v>
      </c>
      <c r="O2358" s="4" t="str">
        <f t="shared" si="219"/>
        <v>Operational Growth</v>
      </c>
      <c r="P2358" s="4" t="str">
        <f t="shared" si="220"/>
        <v>Low Quality</v>
      </c>
      <c r="Q2358" s="4" t="str">
        <f t="shared" si="221"/>
        <v>Moderate Growth</v>
      </c>
    </row>
    <row r="2359" spans="1:17" x14ac:dyDescent="0.35">
      <c r="A2359" s="2" t="s">
        <v>2370</v>
      </c>
      <c r="B2359" s="2">
        <v>5</v>
      </c>
      <c r="C2359" s="2">
        <v>11518570.74</v>
      </c>
      <c r="D2359" s="2">
        <v>1</v>
      </c>
      <c r="E2359" s="2">
        <v>6766847.9759999998</v>
      </c>
      <c r="F2359" s="2">
        <v>-3524446.7</v>
      </c>
      <c r="G2359" s="2">
        <v>1</v>
      </c>
      <c r="H2359" s="2">
        <v>1</v>
      </c>
      <c r="I2359" s="2">
        <v>3</v>
      </c>
      <c r="J2359" s="2">
        <v>1.4</v>
      </c>
      <c r="K2359" s="2" t="s">
        <v>1268</v>
      </c>
      <c r="L2359" s="2" t="str">
        <f t="shared" si="216"/>
        <v>Profitable</v>
      </c>
      <c r="M2359" s="2" t="str">
        <f t="shared" si="217"/>
        <v>Stable Earnings</v>
      </c>
      <c r="N2359" s="2" t="str">
        <f t="shared" si="218"/>
        <v>Low Quality</v>
      </c>
      <c r="O2359" s="4" t="str">
        <f t="shared" si="219"/>
        <v>Accounting Risk</v>
      </c>
      <c r="P2359" s="4" t="str">
        <f t="shared" si="220"/>
        <v>Low Quality</v>
      </c>
      <c r="Q2359" s="4" t="str">
        <f t="shared" si="221"/>
        <v>Moderate Growth</v>
      </c>
    </row>
    <row r="2360" spans="1:17" x14ac:dyDescent="0.35">
      <c r="A2360" s="2" t="s">
        <v>2371</v>
      </c>
      <c r="B2360" s="2">
        <v>5</v>
      </c>
      <c r="C2360" s="2">
        <v>84417520.299999997</v>
      </c>
      <c r="D2360" s="2">
        <v>1</v>
      </c>
      <c r="E2360" s="2">
        <v>12269813.199999999</v>
      </c>
      <c r="F2360" s="2">
        <v>-3661852.3</v>
      </c>
      <c r="G2360" s="2">
        <v>1</v>
      </c>
      <c r="H2360" s="2">
        <v>1</v>
      </c>
      <c r="I2360" s="2">
        <v>3</v>
      </c>
      <c r="J2360" s="2">
        <v>1.4</v>
      </c>
      <c r="K2360" s="2" t="s">
        <v>1268</v>
      </c>
      <c r="L2360" s="2" t="str">
        <f t="shared" si="216"/>
        <v>Profitable</v>
      </c>
      <c r="M2360" s="2" t="str">
        <f t="shared" si="217"/>
        <v>Stable Earnings</v>
      </c>
      <c r="N2360" s="2" t="str">
        <f t="shared" si="218"/>
        <v>Low Quality</v>
      </c>
      <c r="O2360" s="4" t="str">
        <f t="shared" si="219"/>
        <v>Accounting Risk</v>
      </c>
      <c r="P2360" s="4" t="str">
        <f t="shared" si="220"/>
        <v>Low Quality</v>
      </c>
      <c r="Q2360" s="4" t="str">
        <f t="shared" si="221"/>
        <v>Moderate Growth</v>
      </c>
    </row>
    <row r="2361" spans="1:17" x14ac:dyDescent="0.35">
      <c r="A2361" s="2" t="s">
        <v>2372</v>
      </c>
      <c r="B2361" s="2">
        <v>5</v>
      </c>
      <c r="C2361" s="2">
        <v>9479579.6199999992</v>
      </c>
      <c r="D2361" s="2">
        <v>1</v>
      </c>
      <c r="E2361" s="2">
        <v>8084858.7529999996</v>
      </c>
      <c r="F2361" s="2">
        <v>-3913485.9</v>
      </c>
      <c r="G2361" s="2">
        <v>1</v>
      </c>
      <c r="H2361" s="2">
        <v>1</v>
      </c>
      <c r="I2361" s="2">
        <v>3</v>
      </c>
      <c r="J2361" s="2">
        <v>1.4</v>
      </c>
      <c r="K2361" s="2" t="s">
        <v>1268</v>
      </c>
      <c r="L2361" s="2" t="str">
        <f t="shared" si="216"/>
        <v>Profitable</v>
      </c>
      <c r="M2361" s="2" t="str">
        <f t="shared" si="217"/>
        <v>Stable Earnings</v>
      </c>
      <c r="N2361" s="2" t="str">
        <f t="shared" si="218"/>
        <v>Low Quality</v>
      </c>
      <c r="O2361" s="4" t="str">
        <f t="shared" si="219"/>
        <v>Accounting Risk</v>
      </c>
      <c r="P2361" s="4" t="str">
        <f t="shared" si="220"/>
        <v>Low Quality</v>
      </c>
      <c r="Q2361" s="4" t="str">
        <f t="shared" si="221"/>
        <v>Moderate Growth</v>
      </c>
    </row>
    <row r="2362" spans="1:17" x14ac:dyDescent="0.35">
      <c r="A2362" s="2" t="s">
        <v>2373</v>
      </c>
      <c r="B2362" s="2">
        <v>5</v>
      </c>
      <c r="C2362" s="2">
        <v>27462491.460000001</v>
      </c>
      <c r="D2362" s="2">
        <v>1</v>
      </c>
      <c r="E2362" s="2">
        <v>10365184.77</v>
      </c>
      <c r="F2362" s="2">
        <v>-1334835.2</v>
      </c>
      <c r="G2362" s="2">
        <v>1</v>
      </c>
      <c r="H2362" s="2">
        <v>1</v>
      </c>
      <c r="I2362" s="2">
        <v>3</v>
      </c>
      <c r="J2362" s="2">
        <v>1.4</v>
      </c>
      <c r="K2362" s="2" t="s">
        <v>1268</v>
      </c>
      <c r="L2362" s="2" t="str">
        <f t="shared" si="216"/>
        <v>Profitable</v>
      </c>
      <c r="M2362" s="2" t="str">
        <f t="shared" si="217"/>
        <v>Stable Earnings</v>
      </c>
      <c r="N2362" s="2" t="str">
        <f t="shared" si="218"/>
        <v>Low Quality</v>
      </c>
      <c r="O2362" s="4" t="str">
        <f t="shared" si="219"/>
        <v>Accounting Risk</v>
      </c>
      <c r="P2362" s="4" t="str">
        <f t="shared" si="220"/>
        <v>Low Quality</v>
      </c>
      <c r="Q2362" s="4" t="str">
        <f t="shared" si="221"/>
        <v>Moderate Growth</v>
      </c>
    </row>
    <row r="2363" spans="1:17" x14ac:dyDescent="0.35">
      <c r="A2363" s="2" t="s">
        <v>2374</v>
      </c>
      <c r="B2363" s="2">
        <v>5</v>
      </c>
      <c r="C2363" s="2">
        <v>47820569.039999999</v>
      </c>
      <c r="D2363" s="2">
        <v>1</v>
      </c>
      <c r="E2363" s="2">
        <v>4369583.5520000001</v>
      </c>
      <c r="F2363" s="2">
        <v>-870751.3</v>
      </c>
      <c r="G2363" s="2">
        <v>1</v>
      </c>
      <c r="H2363" s="2">
        <v>1</v>
      </c>
      <c r="I2363" s="2">
        <v>3</v>
      </c>
      <c r="J2363" s="2">
        <v>1.4</v>
      </c>
      <c r="K2363" s="2" t="s">
        <v>1268</v>
      </c>
      <c r="L2363" s="2" t="str">
        <f t="shared" si="216"/>
        <v>Profitable</v>
      </c>
      <c r="M2363" s="2" t="str">
        <f t="shared" si="217"/>
        <v>Stable Earnings</v>
      </c>
      <c r="N2363" s="2" t="str">
        <f t="shared" si="218"/>
        <v>Low Quality</v>
      </c>
      <c r="O2363" s="4" t="str">
        <f t="shared" si="219"/>
        <v>Accounting Risk</v>
      </c>
      <c r="P2363" s="4" t="str">
        <f t="shared" si="220"/>
        <v>Low Quality</v>
      </c>
      <c r="Q2363" s="4" t="str">
        <f t="shared" si="221"/>
        <v>Moderate Growth</v>
      </c>
    </row>
    <row r="2364" spans="1:17" x14ac:dyDescent="0.35">
      <c r="A2364" s="2" t="s">
        <v>2375</v>
      </c>
      <c r="B2364" s="2">
        <v>5</v>
      </c>
      <c r="C2364" s="2">
        <v>1749067.14</v>
      </c>
      <c r="D2364" s="2">
        <v>1</v>
      </c>
      <c r="E2364" s="2">
        <v>1037635.121</v>
      </c>
      <c r="F2364" s="2">
        <v>59145.599999999999</v>
      </c>
      <c r="G2364" s="2">
        <v>1</v>
      </c>
      <c r="H2364" s="2">
        <v>1</v>
      </c>
      <c r="I2364" s="2">
        <v>3</v>
      </c>
      <c r="J2364" s="2">
        <v>1.4</v>
      </c>
      <c r="K2364" s="2" t="s">
        <v>1268</v>
      </c>
      <c r="L2364" s="2" t="str">
        <f t="shared" si="216"/>
        <v>Profitable</v>
      </c>
      <c r="M2364" s="2" t="str">
        <f t="shared" si="217"/>
        <v>Stable Earnings</v>
      </c>
      <c r="N2364" s="2" t="str">
        <f t="shared" si="218"/>
        <v>Low Quality</v>
      </c>
      <c r="O2364" s="4" t="str">
        <f t="shared" si="219"/>
        <v>Operational Growth</v>
      </c>
      <c r="P2364" s="4" t="str">
        <f t="shared" si="220"/>
        <v>Low Quality</v>
      </c>
      <c r="Q2364" s="4" t="str">
        <f t="shared" si="221"/>
        <v>Moderate Growth</v>
      </c>
    </row>
    <row r="2365" spans="1:17" x14ac:dyDescent="0.35">
      <c r="A2365" s="2" t="s">
        <v>2376</v>
      </c>
      <c r="B2365" s="2">
        <v>5</v>
      </c>
      <c r="C2365" s="2">
        <v>12282711.800000001</v>
      </c>
      <c r="D2365" s="2">
        <v>1</v>
      </c>
      <c r="E2365" s="2">
        <v>3672857.9249999998</v>
      </c>
      <c r="F2365" s="2">
        <v>39399.699999999997</v>
      </c>
      <c r="G2365" s="2">
        <v>1</v>
      </c>
      <c r="H2365" s="2">
        <v>1</v>
      </c>
      <c r="I2365" s="2">
        <v>3</v>
      </c>
      <c r="J2365" s="2">
        <v>1.4</v>
      </c>
      <c r="K2365" s="2" t="s">
        <v>1268</v>
      </c>
      <c r="L2365" s="2" t="str">
        <f t="shared" si="216"/>
        <v>Profitable</v>
      </c>
      <c r="M2365" s="2" t="str">
        <f t="shared" si="217"/>
        <v>Stable Earnings</v>
      </c>
      <c r="N2365" s="2" t="str">
        <f t="shared" si="218"/>
        <v>Low Quality</v>
      </c>
      <c r="O2365" s="4" t="str">
        <f t="shared" si="219"/>
        <v>Operational Growth</v>
      </c>
      <c r="P2365" s="4" t="str">
        <f t="shared" si="220"/>
        <v>Low Quality</v>
      </c>
      <c r="Q2365" s="4" t="str">
        <f t="shared" si="221"/>
        <v>Moderate Growth</v>
      </c>
    </row>
    <row r="2366" spans="1:17" x14ac:dyDescent="0.35">
      <c r="A2366" s="2" t="s">
        <v>2377</v>
      </c>
      <c r="B2366" s="2">
        <v>5</v>
      </c>
      <c r="C2366" s="2">
        <v>43573863.979999997</v>
      </c>
      <c r="D2366" s="2">
        <v>1</v>
      </c>
      <c r="E2366" s="2">
        <v>7674908.7620000001</v>
      </c>
      <c r="F2366" s="2">
        <v>-472928.8</v>
      </c>
      <c r="G2366" s="2">
        <v>1</v>
      </c>
      <c r="H2366" s="2">
        <v>1</v>
      </c>
      <c r="I2366" s="2">
        <v>3</v>
      </c>
      <c r="J2366" s="2">
        <v>1.4</v>
      </c>
      <c r="K2366" s="2" t="s">
        <v>1268</v>
      </c>
      <c r="L2366" s="2" t="str">
        <f t="shared" si="216"/>
        <v>Profitable</v>
      </c>
      <c r="M2366" s="2" t="str">
        <f t="shared" si="217"/>
        <v>Stable Earnings</v>
      </c>
      <c r="N2366" s="2" t="str">
        <f t="shared" si="218"/>
        <v>Low Quality</v>
      </c>
      <c r="O2366" s="4" t="str">
        <f t="shared" si="219"/>
        <v>Accounting Risk</v>
      </c>
      <c r="P2366" s="4" t="str">
        <f t="shared" si="220"/>
        <v>Low Quality</v>
      </c>
      <c r="Q2366" s="4" t="str">
        <f t="shared" si="221"/>
        <v>Moderate Growth</v>
      </c>
    </row>
    <row r="2367" spans="1:17" x14ac:dyDescent="0.35">
      <c r="A2367" s="2" t="s">
        <v>2378</v>
      </c>
      <c r="B2367" s="2">
        <v>5</v>
      </c>
      <c r="C2367" s="2">
        <v>4378666.12</v>
      </c>
      <c r="D2367" s="2">
        <v>1</v>
      </c>
      <c r="E2367" s="2">
        <v>7700584.5099999998</v>
      </c>
      <c r="F2367" s="2">
        <v>-520663.5</v>
      </c>
      <c r="G2367" s="2">
        <v>1</v>
      </c>
      <c r="H2367" s="2">
        <v>1</v>
      </c>
      <c r="I2367" s="2">
        <v>3</v>
      </c>
      <c r="J2367" s="2">
        <v>1.4</v>
      </c>
      <c r="K2367" s="2" t="s">
        <v>1268</v>
      </c>
      <c r="L2367" s="2" t="str">
        <f t="shared" si="216"/>
        <v>Profitable</v>
      </c>
      <c r="M2367" s="2" t="str">
        <f t="shared" si="217"/>
        <v>Stable Earnings</v>
      </c>
      <c r="N2367" s="2" t="str">
        <f t="shared" si="218"/>
        <v>Low Quality</v>
      </c>
      <c r="O2367" s="4" t="str">
        <f t="shared" si="219"/>
        <v>Accounting Risk</v>
      </c>
      <c r="P2367" s="4" t="str">
        <f t="shared" si="220"/>
        <v>Low Quality</v>
      </c>
      <c r="Q2367" s="4" t="str">
        <f t="shared" si="221"/>
        <v>Moderate Growth</v>
      </c>
    </row>
    <row r="2368" spans="1:17" x14ac:dyDescent="0.35">
      <c r="A2368" s="2" t="s">
        <v>2379</v>
      </c>
      <c r="B2368" s="2">
        <v>5</v>
      </c>
      <c r="C2368" s="2">
        <v>5776885.7999999998</v>
      </c>
      <c r="D2368" s="2">
        <v>1</v>
      </c>
      <c r="E2368" s="2">
        <v>5130869.415</v>
      </c>
      <c r="F2368" s="2">
        <v>-586687.4</v>
      </c>
      <c r="G2368" s="2">
        <v>1</v>
      </c>
      <c r="H2368" s="2">
        <v>1</v>
      </c>
      <c r="I2368" s="2">
        <v>3</v>
      </c>
      <c r="J2368" s="2">
        <v>1.4</v>
      </c>
      <c r="K2368" s="2" t="s">
        <v>1268</v>
      </c>
      <c r="L2368" s="2" t="str">
        <f t="shared" si="216"/>
        <v>Profitable</v>
      </c>
      <c r="M2368" s="2" t="str">
        <f t="shared" si="217"/>
        <v>Stable Earnings</v>
      </c>
      <c r="N2368" s="2" t="str">
        <f t="shared" si="218"/>
        <v>Low Quality</v>
      </c>
      <c r="O2368" s="4" t="str">
        <f t="shared" si="219"/>
        <v>Accounting Risk</v>
      </c>
      <c r="P2368" s="4" t="str">
        <f t="shared" si="220"/>
        <v>Low Quality</v>
      </c>
      <c r="Q2368" s="4" t="str">
        <f t="shared" si="221"/>
        <v>Moderate Growth</v>
      </c>
    </row>
    <row r="2369" spans="1:17" x14ac:dyDescent="0.35">
      <c r="A2369" s="2" t="s">
        <v>2380</v>
      </c>
      <c r="B2369" s="2">
        <v>5</v>
      </c>
      <c r="C2369" s="2">
        <v>37007276.979999997</v>
      </c>
      <c r="D2369" s="2">
        <v>1</v>
      </c>
      <c r="E2369" s="2">
        <v>5651887.2580000004</v>
      </c>
      <c r="F2369" s="2">
        <v>-629688.9</v>
      </c>
      <c r="G2369" s="2">
        <v>1</v>
      </c>
      <c r="H2369" s="2">
        <v>1</v>
      </c>
      <c r="I2369" s="2">
        <v>3</v>
      </c>
      <c r="J2369" s="2">
        <v>1.4</v>
      </c>
      <c r="K2369" s="2" t="s">
        <v>1268</v>
      </c>
      <c r="L2369" s="2" t="str">
        <f t="shared" si="216"/>
        <v>Profitable</v>
      </c>
      <c r="M2369" s="2" t="str">
        <f t="shared" si="217"/>
        <v>Stable Earnings</v>
      </c>
      <c r="N2369" s="2" t="str">
        <f t="shared" si="218"/>
        <v>Low Quality</v>
      </c>
      <c r="O2369" s="4" t="str">
        <f t="shared" si="219"/>
        <v>Accounting Risk</v>
      </c>
      <c r="P2369" s="4" t="str">
        <f t="shared" si="220"/>
        <v>Low Quality</v>
      </c>
      <c r="Q2369" s="4" t="str">
        <f t="shared" si="221"/>
        <v>Moderate Growth</v>
      </c>
    </row>
    <row r="2370" spans="1:17" x14ac:dyDescent="0.35">
      <c r="A2370" s="2" t="s">
        <v>2381</v>
      </c>
      <c r="B2370" s="2">
        <v>5</v>
      </c>
      <c r="C2370" s="2">
        <v>16964114.440000001</v>
      </c>
      <c r="D2370" s="2">
        <v>1</v>
      </c>
      <c r="E2370" s="2">
        <v>4306841.9390000002</v>
      </c>
      <c r="F2370" s="2">
        <v>5171649.5</v>
      </c>
      <c r="G2370" s="2">
        <v>1</v>
      </c>
      <c r="H2370" s="2">
        <v>1</v>
      </c>
      <c r="I2370" s="2">
        <v>3</v>
      </c>
      <c r="J2370" s="2">
        <v>1.4</v>
      </c>
      <c r="K2370" s="2" t="s">
        <v>1268</v>
      </c>
      <c r="L2370" s="2" t="str">
        <f t="shared" ref="L2370:L2388" si="222">IF(C2370&gt;0,"Profitable","Loss Making")</f>
        <v>Profitable</v>
      </c>
      <c r="M2370" s="2" t="str">
        <f t="shared" ref="M2370:M2388" si="223">IF(C2370&gt;500000000,"High Volatility","Stable Earnings")</f>
        <v>Stable Earnings</v>
      </c>
      <c r="N2370" s="2" t="str">
        <f t="shared" ref="N2370:N2388" si="224">IF(G2370&gt;=7,"High Quality",IF(G2370&gt;=4,"Moderate","Low Quality"))</f>
        <v>Low Quality</v>
      </c>
      <c r="O2370" s="4" t="str">
        <f t="shared" ref="O2370:O2388" si="225">IF(AND(F2370&gt;0,D2370&gt;0.6),"Operational Growth","Accounting Risk")</f>
        <v>Operational Growth</v>
      </c>
      <c r="P2370" s="4" t="str">
        <f t="shared" ref="P2370:P2388" si="226">IF(G2370&gt;=7,"High Quality", IF(G2370&gt;=4,"Moderate","Low Quality"))</f>
        <v>Low Quality</v>
      </c>
      <c r="Q2370" s="4" t="str">
        <f t="shared" ref="Q2370:Q2388" si="227">IF(I2370&gt;=4,"Strong Long-Term Growth",IF(I2370&gt;=2,"Moderate Growth","Weak Growth"))</f>
        <v>Moderate Growth</v>
      </c>
    </row>
    <row r="2371" spans="1:17" x14ac:dyDescent="0.35">
      <c r="A2371" s="2" t="s">
        <v>2382</v>
      </c>
      <c r="B2371" s="2">
        <v>5</v>
      </c>
      <c r="C2371" s="2">
        <v>4047608.14</v>
      </c>
      <c r="D2371" s="2">
        <v>1</v>
      </c>
      <c r="E2371" s="2">
        <v>1701970.9879999999</v>
      </c>
      <c r="F2371" s="2">
        <v>4592818.4000000004</v>
      </c>
      <c r="G2371" s="2">
        <v>1</v>
      </c>
      <c r="H2371" s="2">
        <v>1</v>
      </c>
      <c r="I2371" s="2">
        <v>3</v>
      </c>
      <c r="J2371" s="2">
        <v>1.4</v>
      </c>
      <c r="K2371" s="2" t="s">
        <v>1268</v>
      </c>
      <c r="L2371" s="2" t="str">
        <f t="shared" si="222"/>
        <v>Profitable</v>
      </c>
      <c r="M2371" s="2" t="str">
        <f t="shared" si="223"/>
        <v>Stable Earnings</v>
      </c>
      <c r="N2371" s="2" t="str">
        <f t="shared" si="224"/>
        <v>Low Quality</v>
      </c>
      <c r="O2371" s="4" t="str">
        <f t="shared" si="225"/>
        <v>Operational Growth</v>
      </c>
      <c r="P2371" s="4" t="str">
        <f t="shared" si="226"/>
        <v>Low Quality</v>
      </c>
      <c r="Q2371" s="4" t="str">
        <f t="shared" si="227"/>
        <v>Moderate Growth</v>
      </c>
    </row>
    <row r="2372" spans="1:17" x14ac:dyDescent="0.35">
      <c r="A2372" s="2" t="s">
        <v>2383</v>
      </c>
      <c r="B2372" s="2">
        <v>5</v>
      </c>
      <c r="C2372" s="2">
        <v>4237003.4800000004</v>
      </c>
      <c r="D2372" s="2">
        <v>1</v>
      </c>
      <c r="E2372" s="2">
        <v>1657501.594</v>
      </c>
      <c r="F2372" s="2">
        <v>3995374.1</v>
      </c>
      <c r="G2372" s="2">
        <v>1</v>
      </c>
      <c r="H2372" s="2">
        <v>1</v>
      </c>
      <c r="I2372" s="2">
        <v>3</v>
      </c>
      <c r="J2372" s="2">
        <v>1.4</v>
      </c>
      <c r="K2372" s="2" t="s">
        <v>1268</v>
      </c>
      <c r="L2372" s="2" t="str">
        <f t="shared" si="222"/>
        <v>Profitable</v>
      </c>
      <c r="M2372" s="2" t="str">
        <f t="shared" si="223"/>
        <v>Stable Earnings</v>
      </c>
      <c r="N2372" s="2" t="str">
        <f t="shared" si="224"/>
        <v>Low Quality</v>
      </c>
      <c r="O2372" s="4" t="str">
        <f t="shared" si="225"/>
        <v>Operational Growth</v>
      </c>
      <c r="P2372" s="4" t="str">
        <f t="shared" si="226"/>
        <v>Low Quality</v>
      </c>
      <c r="Q2372" s="4" t="str">
        <f t="shared" si="227"/>
        <v>Moderate Growth</v>
      </c>
    </row>
    <row r="2373" spans="1:17" x14ac:dyDescent="0.35">
      <c r="A2373" s="2" t="s">
        <v>2384</v>
      </c>
      <c r="B2373" s="2">
        <v>5</v>
      </c>
      <c r="C2373" s="2">
        <v>8380840.6799999997</v>
      </c>
      <c r="D2373" s="2">
        <v>1</v>
      </c>
      <c r="E2373" s="2">
        <v>4894139.0719999997</v>
      </c>
      <c r="F2373" s="2">
        <v>4219308.4000000004</v>
      </c>
      <c r="G2373" s="2">
        <v>1</v>
      </c>
      <c r="H2373" s="2">
        <v>1</v>
      </c>
      <c r="I2373" s="2">
        <v>3</v>
      </c>
      <c r="J2373" s="2">
        <v>1.4</v>
      </c>
      <c r="K2373" s="2" t="s">
        <v>1268</v>
      </c>
      <c r="L2373" s="2" t="str">
        <f t="shared" si="222"/>
        <v>Profitable</v>
      </c>
      <c r="M2373" s="2" t="str">
        <f t="shared" si="223"/>
        <v>Stable Earnings</v>
      </c>
      <c r="N2373" s="2" t="str">
        <f t="shared" si="224"/>
        <v>Low Quality</v>
      </c>
      <c r="O2373" s="4" t="str">
        <f t="shared" si="225"/>
        <v>Operational Growth</v>
      </c>
      <c r="P2373" s="4" t="str">
        <f t="shared" si="226"/>
        <v>Low Quality</v>
      </c>
      <c r="Q2373" s="4" t="str">
        <f t="shared" si="227"/>
        <v>Moderate Growth</v>
      </c>
    </row>
    <row r="2374" spans="1:17" x14ac:dyDescent="0.35">
      <c r="A2374" s="2" t="s">
        <v>2385</v>
      </c>
      <c r="B2374" s="2">
        <v>5</v>
      </c>
      <c r="C2374" s="2">
        <v>35888794.600000001</v>
      </c>
      <c r="D2374" s="2">
        <v>1</v>
      </c>
      <c r="E2374" s="2">
        <v>9373993.2489999998</v>
      </c>
      <c r="F2374" s="2">
        <v>6565928.4000000004</v>
      </c>
      <c r="G2374" s="2">
        <v>1</v>
      </c>
      <c r="H2374" s="2">
        <v>1</v>
      </c>
      <c r="I2374" s="2">
        <v>3</v>
      </c>
      <c r="J2374" s="2">
        <v>1.4</v>
      </c>
      <c r="K2374" s="2" t="s">
        <v>1268</v>
      </c>
      <c r="L2374" s="2" t="str">
        <f t="shared" si="222"/>
        <v>Profitable</v>
      </c>
      <c r="M2374" s="2" t="str">
        <f t="shared" si="223"/>
        <v>Stable Earnings</v>
      </c>
      <c r="N2374" s="2" t="str">
        <f t="shared" si="224"/>
        <v>Low Quality</v>
      </c>
      <c r="O2374" s="4" t="str">
        <f t="shared" si="225"/>
        <v>Operational Growth</v>
      </c>
      <c r="P2374" s="4" t="str">
        <f t="shared" si="226"/>
        <v>Low Quality</v>
      </c>
      <c r="Q2374" s="4" t="str">
        <f t="shared" si="227"/>
        <v>Moderate Growth</v>
      </c>
    </row>
    <row r="2375" spans="1:17" x14ac:dyDescent="0.35">
      <c r="A2375" s="2" t="s">
        <v>2386</v>
      </c>
      <c r="B2375" s="2">
        <v>5</v>
      </c>
      <c r="C2375" s="2">
        <v>5205856.4800000004</v>
      </c>
      <c r="D2375" s="2">
        <v>1</v>
      </c>
      <c r="E2375" s="2">
        <v>3475714.5830000001</v>
      </c>
      <c r="F2375" s="2">
        <v>5665175.2000000002</v>
      </c>
      <c r="G2375" s="2">
        <v>1</v>
      </c>
      <c r="H2375" s="2">
        <v>1</v>
      </c>
      <c r="I2375" s="2">
        <v>3</v>
      </c>
      <c r="J2375" s="2">
        <v>1.4</v>
      </c>
      <c r="K2375" s="2" t="s">
        <v>1268</v>
      </c>
      <c r="L2375" s="2" t="str">
        <f t="shared" si="222"/>
        <v>Profitable</v>
      </c>
      <c r="M2375" s="2" t="str">
        <f t="shared" si="223"/>
        <v>Stable Earnings</v>
      </c>
      <c r="N2375" s="2" t="str">
        <f t="shared" si="224"/>
        <v>Low Quality</v>
      </c>
      <c r="O2375" s="4" t="str">
        <f t="shared" si="225"/>
        <v>Operational Growth</v>
      </c>
      <c r="P2375" s="4" t="str">
        <f t="shared" si="226"/>
        <v>Low Quality</v>
      </c>
      <c r="Q2375" s="4" t="str">
        <f t="shared" si="227"/>
        <v>Moderate Growth</v>
      </c>
    </row>
    <row r="2376" spans="1:17" x14ac:dyDescent="0.35">
      <c r="A2376" s="2" t="s">
        <v>2387</v>
      </c>
      <c r="B2376" s="2">
        <v>5</v>
      </c>
      <c r="C2376" s="2">
        <v>7558595.6399999997</v>
      </c>
      <c r="D2376" s="2">
        <v>1</v>
      </c>
      <c r="E2376" s="2">
        <v>3093209.9079999998</v>
      </c>
      <c r="F2376" s="2">
        <v>5361764</v>
      </c>
      <c r="G2376" s="2">
        <v>1</v>
      </c>
      <c r="H2376" s="2">
        <v>1</v>
      </c>
      <c r="I2376" s="2">
        <v>3</v>
      </c>
      <c r="J2376" s="2">
        <v>1.4</v>
      </c>
      <c r="K2376" s="2" t="s">
        <v>1268</v>
      </c>
      <c r="L2376" s="2" t="str">
        <f t="shared" si="222"/>
        <v>Profitable</v>
      </c>
      <c r="M2376" s="2" t="str">
        <f t="shared" si="223"/>
        <v>Stable Earnings</v>
      </c>
      <c r="N2376" s="2" t="str">
        <f t="shared" si="224"/>
        <v>Low Quality</v>
      </c>
      <c r="O2376" s="4" t="str">
        <f t="shared" si="225"/>
        <v>Operational Growth</v>
      </c>
      <c r="P2376" s="4" t="str">
        <f t="shared" si="226"/>
        <v>Low Quality</v>
      </c>
      <c r="Q2376" s="4" t="str">
        <f t="shared" si="227"/>
        <v>Moderate Growth</v>
      </c>
    </row>
    <row r="2377" spans="1:17" x14ac:dyDescent="0.35">
      <c r="A2377" s="2" t="s">
        <v>2388</v>
      </c>
      <c r="B2377" s="2">
        <v>5</v>
      </c>
      <c r="C2377" s="2">
        <v>6376016.2800000003</v>
      </c>
      <c r="D2377" s="2">
        <v>1</v>
      </c>
      <c r="E2377" s="2">
        <v>5233953.284</v>
      </c>
      <c r="F2377" s="2">
        <v>7025363.5999999996</v>
      </c>
      <c r="G2377" s="2">
        <v>1</v>
      </c>
      <c r="H2377" s="2">
        <v>1</v>
      </c>
      <c r="I2377" s="2">
        <v>3</v>
      </c>
      <c r="J2377" s="2">
        <v>1.4</v>
      </c>
      <c r="K2377" s="2" t="s">
        <v>1268</v>
      </c>
      <c r="L2377" s="2" t="str">
        <f t="shared" si="222"/>
        <v>Profitable</v>
      </c>
      <c r="M2377" s="2" t="str">
        <f t="shared" si="223"/>
        <v>Stable Earnings</v>
      </c>
      <c r="N2377" s="2" t="str">
        <f t="shared" si="224"/>
        <v>Low Quality</v>
      </c>
      <c r="O2377" s="4" t="str">
        <f t="shared" si="225"/>
        <v>Operational Growth</v>
      </c>
      <c r="P2377" s="4" t="str">
        <f t="shared" si="226"/>
        <v>Low Quality</v>
      </c>
      <c r="Q2377" s="4" t="str">
        <f t="shared" si="227"/>
        <v>Moderate Growth</v>
      </c>
    </row>
    <row r="2378" spans="1:17" x14ac:dyDescent="0.35">
      <c r="A2378" s="2" t="s">
        <v>2389</v>
      </c>
      <c r="B2378" s="2">
        <v>5</v>
      </c>
      <c r="C2378" s="2">
        <v>10108091.18</v>
      </c>
      <c r="D2378" s="2">
        <v>1</v>
      </c>
      <c r="E2378" s="2">
        <v>5682044.1560000004</v>
      </c>
      <c r="F2378" s="2">
        <v>6709191.0999999996</v>
      </c>
      <c r="G2378" s="2">
        <v>1</v>
      </c>
      <c r="H2378" s="2">
        <v>1</v>
      </c>
      <c r="I2378" s="2">
        <v>3</v>
      </c>
      <c r="J2378" s="2">
        <v>1.4</v>
      </c>
      <c r="K2378" s="2" t="s">
        <v>1268</v>
      </c>
      <c r="L2378" s="2" t="str">
        <f t="shared" si="222"/>
        <v>Profitable</v>
      </c>
      <c r="M2378" s="2" t="str">
        <f t="shared" si="223"/>
        <v>Stable Earnings</v>
      </c>
      <c r="N2378" s="2" t="str">
        <f t="shared" si="224"/>
        <v>Low Quality</v>
      </c>
      <c r="O2378" s="4" t="str">
        <f t="shared" si="225"/>
        <v>Operational Growth</v>
      </c>
      <c r="P2378" s="4" t="str">
        <f t="shared" si="226"/>
        <v>Low Quality</v>
      </c>
      <c r="Q2378" s="4" t="str">
        <f t="shared" si="227"/>
        <v>Moderate Growth</v>
      </c>
    </row>
    <row r="2379" spans="1:17" x14ac:dyDescent="0.35">
      <c r="A2379" s="2" t="s">
        <v>2390</v>
      </c>
      <c r="B2379" s="2">
        <v>5</v>
      </c>
      <c r="C2379" s="2">
        <v>2762769.4</v>
      </c>
      <c r="D2379" s="2">
        <v>1</v>
      </c>
      <c r="E2379" s="2">
        <v>817200.17169999995</v>
      </c>
      <c r="F2379" s="2">
        <v>1266378.8999999999</v>
      </c>
      <c r="G2379" s="2">
        <v>1</v>
      </c>
      <c r="H2379" s="2">
        <v>1</v>
      </c>
      <c r="I2379" s="2">
        <v>3</v>
      </c>
      <c r="J2379" s="2">
        <v>1.4</v>
      </c>
      <c r="K2379" s="2" t="s">
        <v>1268</v>
      </c>
      <c r="L2379" s="2" t="str">
        <f t="shared" si="222"/>
        <v>Profitable</v>
      </c>
      <c r="M2379" s="2" t="str">
        <f t="shared" si="223"/>
        <v>Stable Earnings</v>
      </c>
      <c r="N2379" s="2" t="str">
        <f t="shared" si="224"/>
        <v>Low Quality</v>
      </c>
      <c r="O2379" s="4" t="str">
        <f t="shared" si="225"/>
        <v>Operational Growth</v>
      </c>
      <c r="P2379" s="4" t="str">
        <f t="shared" si="226"/>
        <v>Low Quality</v>
      </c>
      <c r="Q2379" s="4" t="str">
        <f t="shared" si="227"/>
        <v>Moderate Growth</v>
      </c>
    </row>
    <row r="2380" spans="1:17" x14ac:dyDescent="0.35">
      <c r="A2380" s="2" t="s">
        <v>2391</v>
      </c>
      <c r="B2380" s="2">
        <v>5</v>
      </c>
      <c r="C2380" s="2">
        <v>24944063.100000001</v>
      </c>
      <c r="D2380" s="2">
        <v>1</v>
      </c>
      <c r="E2380" s="2">
        <v>3142292.3280000002</v>
      </c>
      <c r="F2380" s="2">
        <v>1415242.4</v>
      </c>
      <c r="G2380" s="2">
        <v>1</v>
      </c>
      <c r="H2380" s="2">
        <v>1</v>
      </c>
      <c r="I2380" s="2">
        <v>3</v>
      </c>
      <c r="J2380" s="2">
        <v>1.4</v>
      </c>
      <c r="K2380" s="2" t="s">
        <v>1268</v>
      </c>
      <c r="L2380" s="2" t="str">
        <f t="shared" si="222"/>
        <v>Profitable</v>
      </c>
      <c r="M2380" s="2" t="str">
        <f t="shared" si="223"/>
        <v>Stable Earnings</v>
      </c>
      <c r="N2380" s="2" t="str">
        <f t="shared" si="224"/>
        <v>Low Quality</v>
      </c>
      <c r="O2380" s="4" t="str">
        <f t="shared" si="225"/>
        <v>Operational Growth</v>
      </c>
      <c r="P2380" s="4" t="str">
        <f t="shared" si="226"/>
        <v>Low Quality</v>
      </c>
      <c r="Q2380" s="4" t="str">
        <f t="shared" si="227"/>
        <v>Moderate Growth</v>
      </c>
    </row>
    <row r="2381" spans="1:17" x14ac:dyDescent="0.35">
      <c r="A2381" s="2" t="s">
        <v>2392</v>
      </c>
      <c r="B2381" s="2">
        <v>5</v>
      </c>
      <c r="C2381" s="2">
        <v>74672760.400000006</v>
      </c>
      <c r="D2381" s="2">
        <v>1</v>
      </c>
      <c r="E2381" s="2">
        <v>15226389.449999999</v>
      </c>
      <c r="F2381" s="2">
        <v>1480170.7</v>
      </c>
      <c r="G2381" s="2">
        <v>1</v>
      </c>
      <c r="H2381" s="2">
        <v>1</v>
      </c>
      <c r="I2381" s="2">
        <v>3</v>
      </c>
      <c r="J2381" s="2">
        <v>1.4</v>
      </c>
      <c r="K2381" s="2" t="s">
        <v>1268</v>
      </c>
      <c r="L2381" s="2" t="str">
        <f t="shared" si="222"/>
        <v>Profitable</v>
      </c>
      <c r="M2381" s="2" t="str">
        <f t="shared" si="223"/>
        <v>Stable Earnings</v>
      </c>
      <c r="N2381" s="2" t="str">
        <f t="shared" si="224"/>
        <v>Low Quality</v>
      </c>
      <c r="O2381" s="4" t="str">
        <f t="shared" si="225"/>
        <v>Operational Growth</v>
      </c>
      <c r="P2381" s="4" t="str">
        <f t="shared" si="226"/>
        <v>Low Quality</v>
      </c>
      <c r="Q2381" s="4" t="str">
        <f t="shared" si="227"/>
        <v>Moderate Growth</v>
      </c>
    </row>
    <row r="2382" spans="1:17" x14ac:dyDescent="0.35">
      <c r="A2382" s="2" t="s">
        <v>2393</v>
      </c>
      <c r="B2382" s="2">
        <v>5</v>
      </c>
      <c r="C2382" s="2">
        <v>16410461.76</v>
      </c>
      <c r="D2382" s="2">
        <v>1</v>
      </c>
      <c r="E2382" s="2">
        <v>832813.38540000003</v>
      </c>
      <c r="F2382" s="2">
        <v>483578.2</v>
      </c>
      <c r="G2382" s="2">
        <v>1</v>
      </c>
      <c r="H2382" s="2">
        <v>1</v>
      </c>
      <c r="I2382" s="2">
        <v>3</v>
      </c>
      <c r="J2382" s="2">
        <v>1.4</v>
      </c>
      <c r="K2382" s="2" t="s">
        <v>1268</v>
      </c>
      <c r="L2382" s="2" t="str">
        <f t="shared" si="222"/>
        <v>Profitable</v>
      </c>
      <c r="M2382" s="2" t="str">
        <f t="shared" si="223"/>
        <v>Stable Earnings</v>
      </c>
      <c r="N2382" s="2" t="str">
        <f t="shared" si="224"/>
        <v>Low Quality</v>
      </c>
      <c r="O2382" s="4" t="str">
        <f t="shared" si="225"/>
        <v>Operational Growth</v>
      </c>
      <c r="P2382" s="4" t="str">
        <f t="shared" si="226"/>
        <v>Low Quality</v>
      </c>
      <c r="Q2382" s="4" t="str">
        <f t="shared" si="227"/>
        <v>Moderate Growth</v>
      </c>
    </row>
    <row r="2383" spans="1:17" x14ac:dyDescent="0.35">
      <c r="A2383" s="2" t="s">
        <v>2394</v>
      </c>
      <c r="B2383" s="2">
        <v>5</v>
      </c>
      <c r="C2383" s="2">
        <v>9052281.6999999993</v>
      </c>
      <c r="D2383" s="2">
        <v>1</v>
      </c>
      <c r="E2383" s="2">
        <v>2789856.4679999999</v>
      </c>
      <c r="F2383" s="2">
        <v>3186139.7</v>
      </c>
      <c r="G2383" s="2">
        <v>1</v>
      </c>
      <c r="H2383" s="2">
        <v>1</v>
      </c>
      <c r="I2383" s="2">
        <v>3</v>
      </c>
      <c r="J2383" s="2">
        <v>1.4</v>
      </c>
      <c r="K2383" s="2" t="s">
        <v>1268</v>
      </c>
      <c r="L2383" s="2" t="str">
        <f t="shared" si="222"/>
        <v>Profitable</v>
      </c>
      <c r="M2383" s="2" t="str">
        <f t="shared" si="223"/>
        <v>Stable Earnings</v>
      </c>
      <c r="N2383" s="2" t="str">
        <f t="shared" si="224"/>
        <v>Low Quality</v>
      </c>
      <c r="O2383" s="4" t="str">
        <f t="shared" si="225"/>
        <v>Operational Growth</v>
      </c>
      <c r="P2383" s="4" t="str">
        <f t="shared" si="226"/>
        <v>Low Quality</v>
      </c>
      <c r="Q2383" s="4" t="str">
        <f t="shared" si="227"/>
        <v>Moderate Growth</v>
      </c>
    </row>
    <row r="2384" spans="1:17" x14ac:dyDescent="0.35">
      <c r="A2384" s="2" t="s">
        <v>2395</v>
      </c>
      <c r="B2384" s="2">
        <v>5</v>
      </c>
      <c r="C2384" s="2">
        <v>3330729.44</v>
      </c>
      <c r="D2384" s="2">
        <v>1</v>
      </c>
      <c r="E2384" s="2">
        <v>2089210.753</v>
      </c>
      <c r="F2384" s="2">
        <v>3076214.2</v>
      </c>
      <c r="G2384" s="2">
        <v>1</v>
      </c>
      <c r="H2384" s="2">
        <v>1</v>
      </c>
      <c r="I2384" s="2">
        <v>3</v>
      </c>
      <c r="J2384" s="2">
        <v>1.4</v>
      </c>
      <c r="K2384" s="2" t="s">
        <v>1268</v>
      </c>
      <c r="L2384" s="2" t="str">
        <f t="shared" si="222"/>
        <v>Profitable</v>
      </c>
      <c r="M2384" s="2" t="str">
        <f t="shared" si="223"/>
        <v>Stable Earnings</v>
      </c>
      <c r="N2384" s="2" t="str">
        <f t="shared" si="224"/>
        <v>Low Quality</v>
      </c>
      <c r="O2384" s="4" t="str">
        <f t="shared" si="225"/>
        <v>Operational Growth</v>
      </c>
      <c r="P2384" s="4" t="str">
        <f t="shared" si="226"/>
        <v>Low Quality</v>
      </c>
      <c r="Q2384" s="4" t="str">
        <f t="shared" si="227"/>
        <v>Moderate Growth</v>
      </c>
    </row>
    <row r="2385" spans="1:17" x14ac:dyDescent="0.35">
      <c r="A2385" s="2" t="s">
        <v>2396</v>
      </c>
      <c r="B2385" s="2">
        <v>5</v>
      </c>
      <c r="C2385" s="2">
        <v>17322511.620000001</v>
      </c>
      <c r="D2385" s="2">
        <v>1</v>
      </c>
      <c r="E2385" s="2">
        <v>8469591.648</v>
      </c>
      <c r="F2385" s="2">
        <v>2436238.2000000002</v>
      </c>
      <c r="G2385" s="2">
        <v>1</v>
      </c>
      <c r="H2385" s="2">
        <v>1</v>
      </c>
      <c r="I2385" s="2">
        <v>3</v>
      </c>
      <c r="J2385" s="2">
        <v>1.4</v>
      </c>
      <c r="K2385" s="2" t="s">
        <v>1268</v>
      </c>
      <c r="L2385" s="2" t="str">
        <f t="shared" si="222"/>
        <v>Profitable</v>
      </c>
      <c r="M2385" s="2" t="str">
        <f t="shared" si="223"/>
        <v>Stable Earnings</v>
      </c>
      <c r="N2385" s="2" t="str">
        <f t="shared" si="224"/>
        <v>Low Quality</v>
      </c>
      <c r="O2385" s="4" t="str">
        <f t="shared" si="225"/>
        <v>Operational Growth</v>
      </c>
      <c r="P2385" s="4" t="str">
        <f t="shared" si="226"/>
        <v>Low Quality</v>
      </c>
      <c r="Q2385" s="4" t="str">
        <f t="shared" si="227"/>
        <v>Moderate Growth</v>
      </c>
    </row>
    <row r="2386" spans="1:17" x14ac:dyDescent="0.35">
      <c r="A2386" s="2" t="s">
        <v>2397</v>
      </c>
      <c r="B2386" s="2">
        <v>5</v>
      </c>
      <c r="C2386" s="2">
        <v>9543942.7599999998</v>
      </c>
      <c r="D2386" s="2">
        <v>1</v>
      </c>
      <c r="E2386" s="2">
        <v>7640246.7850000001</v>
      </c>
      <c r="F2386" s="2">
        <v>2778379.4</v>
      </c>
      <c r="G2386" s="2">
        <v>1</v>
      </c>
      <c r="H2386" s="2">
        <v>1</v>
      </c>
      <c r="I2386" s="2">
        <v>3</v>
      </c>
      <c r="J2386" s="2">
        <v>1.4</v>
      </c>
      <c r="K2386" s="2" t="s">
        <v>1268</v>
      </c>
      <c r="L2386" s="2" t="str">
        <f t="shared" si="222"/>
        <v>Profitable</v>
      </c>
      <c r="M2386" s="2" t="str">
        <f t="shared" si="223"/>
        <v>Stable Earnings</v>
      </c>
      <c r="N2386" s="2" t="str">
        <f t="shared" si="224"/>
        <v>Low Quality</v>
      </c>
      <c r="O2386" s="4" t="str">
        <f t="shared" si="225"/>
        <v>Operational Growth</v>
      </c>
      <c r="P2386" s="4" t="str">
        <f t="shared" si="226"/>
        <v>Low Quality</v>
      </c>
      <c r="Q2386" s="4" t="str">
        <f t="shared" si="227"/>
        <v>Moderate Growth</v>
      </c>
    </row>
    <row r="2387" spans="1:17" x14ac:dyDescent="0.35">
      <c r="A2387" s="2" t="s">
        <v>2398</v>
      </c>
      <c r="B2387" s="2">
        <v>5</v>
      </c>
      <c r="C2387" s="2">
        <v>5285902.62</v>
      </c>
      <c r="D2387" s="2">
        <v>1</v>
      </c>
      <c r="E2387" s="2">
        <v>2408905.9720000001</v>
      </c>
      <c r="F2387" s="2">
        <v>2593545.7000000002</v>
      </c>
      <c r="G2387" s="2">
        <v>1</v>
      </c>
      <c r="H2387" s="2">
        <v>1</v>
      </c>
      <c r="I2387" s="2">
        <v>3</v>
      </c>
      <c r="J2387" s="2">
        <v>1.4</v>
      </c>
      <c r="K2387" s="2" t="s">
        <v>1268</v>
      </c>
      <c r="L2387" s="2" t="str">
        <f t="shared" si="222"/>
        <v>Profitable</v>
      </c>
      <c r="M2387" s="2" t="str">
        <f t="shared" si="223"/>
        <v>Stable Earnings</v>
      </c>
      <c r="N2387" s="2" t="str">
        <f t="shared" si="224"/>
        <v>Low Quality</v>
      </c>
      <c r="O2387" s="4" t="str">
        <f t="shared" si="225"/>
        <v>Operational Growth</v>
      </c>
      <c r="P2387" s="4" t="str">
        <f t="shared" si="226"/>
        <v>Low Quality</v>
      </c>
      <c r="Q2387" s="4" t="str">
        <f t="shared" si="227"/>
        <v>Moderate Growth</v>
      </c>
    </row>
    <row r="2388" spans="1:17" x14ac:dyDescent="0.35">
      <c r="A2388" s="2" t="s">
        <v>2399</v>
      </c>
      <c r="B2388" s="2">
        <v>5</v>
      </c>
      <c r="C2388" s="2">
        <v>43738694.799999997</v>
      </c>
      <c r="D2388" s="2">
        <v>1</v>
      </c>
      <c r="E2388" s="2">
        <v>14667496.789999999</v>
      </c>
      <c r="F2388" s="2">
        <v>38339956.299999997</v>
      </c>
      <c r="G2388" s="2">
        <v>1</v>
      </c>
      <c r="H2388" s="2">
        <v>1</v>
      </c>
      <c r="I2388" s="2">
        <v>2</v>
      </c>
      <c r="J2388" s="2">
        <v>1.2</v>
      </c>
      <c r="K2388" s="2" t="s">
        <v>1268</v>
      </c>
      <c r="L2388" s="2" t="str">
        <f t="shared" si="222"/>
        <v>Profitable</v>
      </c>
      <c r="M2388" s="2" t="str">
        <f t="shared" si="223"/>
        <v>Stable Earnings</v>
      </c>
      <c r="N2388" s="2" t="str">
        <f t="shared" si="224"/>
        <v>Low Quality</v>
      </c>
      <c r="O2388" s="4" t="str">
        <f t="shared" si="225"/>
        <v>Operational Growth</v>
      </c>
      <c r="P2388" s="4" t="str">
        <f t="shared" si="226"/>
        <v>Low Quality</v>
      </c>
      <c r="Q2388" s="4" t="str">
        <f t="shared" si="227"/>
        <v>Moderate Growth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tbl_allocation</vt:lpstr>
      <vt:lpstr>worksheet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Om Mishra</dc:creator>
  <cp:lastModifiedBy>Om Mishra</cp:lastModifiedBy>
  <dcterms:created xsi:type="dcterms:W3CDTF">2026-02-14T04:50:10Z</dcterms:created>
  <dcterms:modified xsi:type="dcterms:W3CDTF">2026-02-14T19:08:00Z</dcterms:modified>
</cp:coreProperties>
</file>